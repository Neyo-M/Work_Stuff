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amoeaki\Desktop\"/>
    </mc:Choice>
  </mc:AlternateContent>
  <xr:revisionPtr revIDLastSave="0" documentId="13_ncr:1_{1CCF76D9-0CD3-45CC-90FC-F37024A80869}" xr6:coauthVersionLast="47" xr6:coauthVersionMax="47" xr10:uidLastSave="{00000000-0000-0000-0000-000000000000}"/>
  <bookViews>
    <workbookView xWindow="-96" yWindow="-96" windowWidth="23232" windowHeight="13872" activeTab="2" xr2:uid="{FD130E46-382D-4D1A-8BC5-883C5266DDBB}"/>
  </bookViews>
  <sheets>
    <sheet name="Consolidation" sheetId="5" r:id="rId1"/>
    <sheet name="Data" sheetId="1" r:id="rId2"/>
    <sheet name="Monetary Policy Data" sheetId="4" r:id="rId3"/>
    <sheet name="GDP" sheetId="2" r:id="rId4"/>
    <sheet name="Monthly indicators" sheetId="3" r:id="rId5"/>
  </sheets>
  <calcPr calcId="191029"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146" i="4" l="1"/>
  <c r="FD10" i="3"/>
  <c r="FN10" i="3"/>
  <c r="FO10" i="3"/>
  <c r="FP10" i="3"/>
  <c r="FQ10" i="3"/>
  <c r="FR10" i="3"/>
  <c r="FS10" i="3"/>
  <c r="FT10" i="3"/>
  <c r="FU10" i="3"/>
  <c r="FV10" i="3"/>
  <c r="FW10" i="3"/>
  <c r="FX10" i="3"/>
  <c r="FY10" i="3"/>
  <c r="FZ10" i="3"/>
  <c r="GA10" i="3"/>
  <c r="GB10" i="3"/>
  <c r="GC10" i="3"/>
  <c r="GD10" i="3"/>
  <c r="GE10" i="3"/>
  <c r="GF10" i="3"/>
  <c r="GG10" i="3"/>
  <c r="GH10" i="3"/>
  <c r="GP10" i="3"/>
  <c r="GI10" i="3"/>
  <c r="GJ10" i="3"/>
  <c r="GK10" i="3"/>
  <c r="GL10" i="3"/>
  <c r="GM10" i="3"/>
  <c r="GN10" i="3"/>
  <c r="GO10" i="3"/>
  <c r="GQ10" i="3"/>
  <c r="GR10" i="3"/>
  <c r="GS10" i="3"/>
  <c r="GT10" i="3"/>
  <c r="GU10" i="3"/>
  <c r="GV10" i="3"/>
  <c r="GW10" i="3"/>
  <c r="JM32" i="3" l="1"/>
  <c r="JM31" i="3"/>
  <c r="JM30" i="3"/>
  <c r="JM29" i="3"/>
  <c r="JM28" i="3"/>
  <c r="JM27" i="3"/>
  <c r="JM26" i="3"/>
  <c r="JM25" i="3"/>
  <c r="JM24" i="3"/>
  <c r="JM23" i="3"/>
  <c r="JM22" i="3"/>
  <c r="JM21" i="3"/>
  <c r="JK14" i="3"/>
  <c r="JJ14" i="3"/>
  <c r="JI14" i="3"/>
  <c r="JH14" i="3"/>
  <c r="JG14" i="3"/>
  <c r="JF14" i="3"/>
  <c r="JE14" i="3"/>
  <c r="JD14" i="3"/>
  <c r="JC14" i="3"/>
  <c r="JB14" i="3"/>
  <c r="JA14" i="3"/>
  <c r="IZ14" i="3"/>
  <c r="IY14" i="3"/>
  <c r="IX14" i="3"/>
  <c r="IW14" i="3"/>
  <c r="IV14" i="3"/>
  <c r="IU14" i="3"/>
  <c r="IT14" i="3"/>
  <c r="IS14" i="3"/>
  <c r="IR14" i="3"/>
  <c r="IQ14" i="3"/>
  <c r="IP14" i="3"/>
  <c r="IO14" i="3"/>
  <c r="IN14" i="3"/>
  <c r="IM14" i="3"/>
  <c r="IL14" i="3"/>
  <c r="IK14" i="3"/>
  <c r="IJ14" i="3"/>
  <c r="II14" i="3"/>
  <c r="IH14" i="3"/>
  <c r="IG14" i="3"/>
  <c r="IF14" i="3"/>
  <c r="IE14" i="3"/>
  <c r="ID14" i="3"/>
  <c r="IC14" i="3"/>
  <c r="IB14" i="3"/>
  <c r="IA14" i="3"/>
  <c r="HZ14" i="3"/>
  <c r="HY14" i="3"/>
  <c r="HX14" i="3"/>
  <c r="HW14" i="3"/>
  <c r="HV14" i="3"/>
  <c r="HU14" i="3"/>
  <c r="HT14" i="3"/>
  <c r="HS14" i="3"/>
  <c r="HR14" i="3"/>
  <c r="HQ14" i="3"/>
  <c r="HP14" i="3"/>
  <c r="HO14" i="3"/>
  <c r="HN14" i="3"/>
  <c r="HM14" i="3"/>
  <c r="HL14" i="3"/>
  <c r="HK14" i="3"/>
  <c r="HJ14" i="3"/>
  <c r="HI14" i="3"/>
  <c r="HH14" i="3"/>
  <c r="HG14" i="3"/>
  <c r="HF14" i="3"/>
  <c r="HE14" i="3"/>
  <c r="HD14" i="3"/>
  <c r="HC14" i="3"/>
  <c r="HB14" i="3"/>
  <c r="HA14" i="3"/>
  <c r="GZ14" i="3"/>
  <c r="GY14" i="3"/>
  <c r="GX14" i="3"/>
  <c r="JK13" i="3"/>
  <c r="JJ13" i="3"/>
  <c r="JI13" i="3"/>
  <c r="JH13" i="3"/>
  <c r="JG13" i="3"/>
  <c r="JF13" i="3"/>
  <c r="JE13" i="3"/>
  <c r="JD13" i="3"/>
  <c r="JC13" i="3"/>
  <c r="JB13" i="3"/>
  <c r="JA13" i="3"/>
  <c r="IZ13" i="3"/>
  <c r="IY13" i="3"/>
  <c r="IX13" i="3"/>
  <c r="IW13" i="3"/>
  <c r="IV13" i="3"/>
  <c r="IU13" i="3"/>
  <c r="IT13" i="3"/>
  <c r="IS13" i="3"/>
  <c r="IR13" i="3"/>
  <c r="IQ13" i="3"/>
  <c r="IP13" i="3"/>
  <c r="IO13" i="3"/>
  <c r="IN13" i="3"/>
  <c r="IM13" i="3"/>
  <c r="IL13" i="3"/>
  <c r="IK13" i="3"/>
  <c r="IJ13" i="3"/>
  <c r="II13" i="3"/>
  <c r="IH13" i="3"/>
  <c r="IG13" i="3"/>
  <c r="IF13" i="3"/>
  <c r="IE13" i="3"/>
  <c r="ID13" i="3"/>
  <c r="IC13" i="3"/>
  <c r="IB13" i="3"/>
  <c r="IA13" i="3"/>
  <c r="HZ13" i="3"/>
  <c r="HY13" i="3"/>
  <c r="HX13" i="3"/>
  <c r="HW13" i="3"/>
  <c r="HV13" i="3"/>
  <c r="HU13" i="3"/>
  <c r="HT13" i="3"/>
  <c r="HS13" i="3"/>
  <c r="HR13" i="3"/>
  <c r="HQ13" i="3"/>
  <c r="HP13" i="3"/>
  <c r="HO13" i="3"/>
  <c r="HN13" i="3"/>
  <c r="HM13" i="3"/>
  <c r="HL13" i="3"/>
  <c r="HK13" i="3"/>
  <c r="HJ13" i="3"/>
  <c r="HI13" i="3"/>
  <c r="HH13" i="3"/>
  <c r="HG13" i="3"/>
  <c r="HF13" i="3"/>
  <c r="HE13" i="3"/>
  <c r="HD13" i="3"/>
  <c r="HC13" i="3"/>
  <c r="HB13" i="3"/>
  <c r="HA13" i="3"/>
  <c r="GZ13" i="3"/>
  <c r="GY13" i="3"/>
  <c r="GX13" i="3"/>
  <c r="JK11" i="3"/>
  <c r="JJ11" i="3"/>
  <c r="JI11" i="3"/>
  <c r="JH11" i="3"/>
  <c r="JG11" i="3"/>
  <c r="JF11" i="3"/>
  <c r="JE11" i="3"/>
  <c r="JD11" i="3"/>
  <c r="JC11" i="3"/>
  <c r="JB11" i="3"/>
  <c r="JA11" i="3"/>
  <c r="IZ11" i="3"/>
  <c r="IY11" i="3"/>
  <c r="IX11" i="3"/>
  <c r="IW11" i="3"/>
  <c r="IV11" i="3"/>
  <c r="IU11" i="3"/>
  <c r="IT11" i="3"/>
  <c r="IS11" i="3"/>
  <c r="IR11" i="3"/>
  <c r="IQ11" i="3"/>
  <c r="IP11" i="3"/>
  <c r="IO11" i="3"/>
  <c r="IN11" i="3"/>
  <c r="IM11" i="3"/>
  <c r="IL11" i="3"/>
  <c r="IK11" i="3"/>
  <c r="IJ11" i="3"/>
  <c r="II11" i="3"/>
  <c r="IH11" i="3"/>
  <c r="IG11" i="3"/>
  <c r="IF11" i="3"/>
  <c r="IE11" i="3"/>
  <c r="ID11" i="3"/>
  <c r="IC11" i="3"/>
  <c r="IB11" i="3"/>
  <c r="IA11" i="3"/>
  <c r="HZ11" i="3"/>
  <c r="HY11" i="3"/>
  <c r="HX11" i="3"/>
  <c r="HW11" i="3"/>
  <c r="HV11" i="3"/>
  <c r="HU11" i="3"/>
  <c r="HT11" i="3"/>
  <c r="HS11" i="3"/>
  <c r="HR11" i="3"/>
  <c r="HQ11" i="3"/>
  <c r="HP11" i="3"/>
  <c r="HO11" i="3"/>
  <c r="HN11" i="3"/>
  <c r="HM11" i="3"/>
  <c r="HL11" i="3"/>
  <c r="HK11" i="3"/>
  <c r="HJ11" i="3"/>
  <c r="HI11" i="3"/>
  <c r="HH11" i="3"/>
  <c r="HG11" i="3"/>
  <c r="HF11" i="3"/>
  <c r="HE11" i="3"/>
  <c r="HD11" i="3"/>
  <c r="HC11" i="3"/>
  <c r="HB11" i="3"/>
  <c r="HA11" i="3"/>
  <c r="GZ11" i="3"/>
  <c r="GY11" i="3"/>
  <c r="GX11" i="3"/>
  <c r="JK10" i="3"/>
  <c r="JJ10" i="3"/>
  <c r="JI10" i="3"/>
  <c r="JH10" i="3"/>
  <c r="JG10" i="3"/>
  <c r="JF10" i="3"/>
  <c r="JE10" i="3"/>
  <c r="JD10" i="3"/>
  <c r="JC10" i="3"/>
  <c r="JB10" i="3"/>
  <c r="JA10" i="3"/>
  <c r="IZ10" i="3"/>
  <c r="IY10" i="3"/>
  <c r="IX10" i="3"/>
  <c r="IW10" i="3"/>
  <c r="IV10" i="3"/>
  <c r="IU10" i="3"/>
  <c r="IT10" i="3"/>
  <c r="IS10" i="3"/>
  <c r="IR10" i="3"/>
  <c r="IQ10" i="3"/>
  <c r="IP10" i="3"/>
  <c r="IO10" i="3"/>
  <c r="IN10" i="3"/>
  <c r="IM10" i="3"/>
  <c r="IL10" i="3"/>
  <c r="IK10" i="3"/>
  <c r="IJ10" i="3"/>
  <c r="II10" i="3"/>
  <c r="IH10" i="3"/>
  <c r="IG10" i="3"/>
  <c r="IF10" i="3"/>
  <c r="IE10" i="3"/>
  <c r="ID10" i="3"/>
  <c r="IC10" i="3"/>
  <c r="IB10" i="3"/>
  <c r="IA10" i="3"/>
  <c r="HZ10" i="3"/>
  <c r="HY10" i="3"/>
  <c r="HX10" i="3"/>
  <c r="HW10" i="3"/>
  <c r="HV10" i="3"/>
  <c r="HU10" i="3"/>
  <c r="HT10" i="3"/>
  <c r="HS10" i="3"/>
  <c r="HR10" i="3"/>
  <c r="HQ10" i="3"/>
  <c r="HP10" i="3"/>
  <c r="HO10" i="3"/>
  <c r="HN10" i="3"/>
  <c r="HM10" i="3"/>
  <c r="HL10" i="3"/>
  <c r="HK10" i="3"/>
  <c r="HJ10" i="3"/>
  <c r="HI10" i="3"/>
  <c r="HH10" i="3"/>
  <c r="HG10" i="3"/>
  <c r="HF10" i="3"/>
  <c r="HE10" i="3"/>
  <c r="HD10" i="3"/>
  <c r="HC10" i="3"/>
  <c r="HB10" i="3"/>
  <c r="HA10" i="3"/>
  <c r="GZ10" i="3"/>
  <c r="GY10" i="3"/>
  <c r="GX10" i="3"/>
  <c r="JL8" i="3"/>
  <c r="JJ8" i="3"/>
  <c r="JK7" i="3"/>
  <c r="JK8" i="3" s="1"/>
  <c r="L33" i="2"/>
  <c r="L38" i="2" s="1"/>
  <c r="R30" i="2"/>
  <c r="R33" i="2" s="1"/>
  <c r="Q30" i="2"/>
  <c r="Q33" i="2" s="1"/>
  <c r="P30" i="2"/>
  <c r="P33" i="2" s="1"/>
  <c r="O30" i="2"/>
  <c r="O33" i="2" s="1"/>
  <c r="N30" i="2"/>
  <c r="N33" i="2" s="1"/>
  <c r="M30" i="2"/>
  <c r="M33" i="2" s="1"/>
  <c r="L30" i="2"/>
  <c r="K30" i="2"/>
  <c r="K33" i="2" s="1"/>
  <c r="J30" i="2"/>
  <c r="J33" i="2" s="1"/>
  <c r="I30" i="2"/>
  <c r="I33" i="2" s="1"/>
  <c r="H30" i="2"/>
  <c r="H33" i="2" s="1"/>
  <c r="G30" i="2"/>
  <c r="G33" i="2" s="1"/>
  <c r="F30" i="2"/>
  <c r="F33" i="2" s="1"/>
  <c r="E30" i="2"/>
  <c r="E33" i="2" s="1"/>
  <c r="D30" i="2"/>
  <c r="D33" i="2" s="1"/>
  <c r="C30" i="2"/>
  <c r="C33" i="2" s="1"/>
  <c r="B30" i="2"/>
  <c r="B33" i="2" s="1"/>
  <c r="O5" i="1" s="1"/>
  <c r="R5" i="2"/>
  <c r="Q5" i="2"/>
  <c r="P5" i="2"/>
  <c r="O5" i="2"/>
  <c r="N5" i="2"/>
  <c r="M5" i="2"/>
  <c r="L5" i="2"/>
  <c r="K5" i="2"/>
  <c r="J5" i="2"/>
  <c r="I5" i="2"/>
  <c r="H5" i="2"/>
  <c r="G5" i="2"/>
  <c r="F5" i="2"/>
  <c r="E5" i="2"/>
  <c r="D5" i="2"/>
  <c r="C5" i="2"/>
  <c r="B5" i="2"/>
  <c r="AV223" i="4"/>
  <c r="AT222" i="4"/>
  <c r="AH222" i="4"/>
  <c r="AG222" i="4"/>
  <c r="AF222" i="4"/>
  <c r="AE222" i="4"/>
  <c r="AD222" i="4"/>
  <c r="AC222" i="4"/>
  <c r="AB222" i="4"/>
  <c r="AA222" i="4"/>
  <c r="Z222" i="4"/>
  <c r="Y222" i="4"/>
  <c r="X222" i="4"/>
  <c r="W222" i="4"/>
  <c r="V222" i="4"/>
  <c r="AT221" i="4"/>
  <c r="AH221" i="4"/>
  <c r="AG221" i="4"/>
  <c r="AF221" i="4"/>
  <c r="AE221" i="4"/>
  <c r="AD221" i="4"/>
  <c r="AC221" i="4"/>
  <c r="AB221" i="4"/>
  <c r="AA221" i="4"/>
  <c r="Z221" i="4"/>
  <c r="Y221" i="4"/>
  <c r="X221" i="4"/>
  <c r="W221" i="4"/>
  <c r="V221" i="4"/>
  <c r="AT220" i="4"/>
  <c r="AH220" i="4"/>
  <c r="AG220" i="4"/>
  <c r="AF220" i="4"/>
  <c r="AE220" i="4"/>
  <c r="AD220" i="4"/>
  <c r="AC220" i="4"/>
  <c r="AB220" i="4"/>
  <c r="AA220" i="4"/>
  <c r="Z220" i="4"/>
  <c r="Y220" i="4"/>
  <c r="X220" i="4"/>
  <c r="W220" i="4"/>
  <c r="V220" i="4"/>
  <c r="AT219" i="4"/>
  <c r="AH219" i="4"/>
  <c r="AG219" i="4"/>
  <c r="AF219" i="4"/>
  <c r="AE219" i="4"/>
  <c r="AD219" i="4"/>
  <c r="AC219" i="4"/>
  <c r="AB219" i="4"/>
  <c r="AA219" i="4"/>
  <c r="Z219" i="4"/>
  <c r="Y219" i="4"/>
  <c r="X219" i="4"/>
  <c r="W219" i="4"/>
  <c r="V219" i="4"/>
  <c r="AU218" i="4"/>
  <c r="AH218" i="4"/>
  <c r="AG218" i="4"/>
  <c r="AF218" i="4"/>
  <c r="AE218" i="4"/>
  <c r="AD218" i="4"/>
  <c r="AC218" i="4"/>
  <c r="AB218" i="4"/>
  <c r="AA218" i="4"/>
  <c r="Z218" i="4"/>
  <c r="Y218" i="4"/>
  <c r="X218" i="4"/>
  <c r="W218" i="4"/>
  <c r="V218" i="4"/>
  <c r="AU217" i="4"/>
  <c r="AH217" i="4"/>
  <c r="AG217" i="4"/>
  <c r="AF217" i="4"/>
  <c r="AE217" i="4"/>
  <c r="AD217" i="4"/>
  <c r="AC217" i="4"/>
  <c r="AB217" i="4"/>
  <c r="AA217" i="4"/>
  <c r="Z217" i="4"/>
  <c r="Y217" i="4"/>
  <c r="X217" i="4"/>
  <c r="W217" i="4"/>
  <c r="V217" i="4"/>
  <c r="AU216" i="4"/>
  <c r="AH216" i="4"/>
  <c r="AG216" i="4"/>
  <c r="AF216" i="4"/>
  <c r="AE216" i="4"/>
  <c r="AD216" i="4"/>
  <c r="AC216" i="4"/>
  <c r="AB216" i="4"/>
  <c r="AA216" i="4"/>
  <c r="Z216" i="4"/>
  <c r="Y216" i="4"/>
  <c r="X216" i="4"/>
  <c r="W216" i="4"/>
  <c r="V216" i="4"/>
  <c r="AU215" i="4"/>
  <c r="AH215" i="4"/>
  <c r="AG215" i="4"/>
  <c r="AF215" i="4"/>
  <c r="AE215" i="4"/>
  <c r="AD215" i="4"/>
  <c r="AC215" i="4"/>
  <c r="AB215" i="4"/>
  <c r="AA215" i="4"/>
  <c r="Z215" i="4"/>
  <c r="Y215" i="4"/>
  <c r="X215" i="4"/>
  <c r="W215" i="4"/>
  <c r="V215" i="4"/>
  <c r="AH214" i="4"/>
  <c r="AG214" i="4"/>
  <c r="AF214" i="4"/>
  <c r="AE214" i="4"/>
  <c r="AD214" i="4"/>
  <c r="AC214" i="4"/>
  <c r="AB214" i="4"/>
  <c r="AA214" i="4"/>
  <c r="Z214" i="4"/>
  <c r="Y214" i="4"/>
  <c r="X214" i="4"/>
  <c r="W214" i="4"/>
  <c r="V214" i="4"/>
  <c r="AH213" i="4"/>
  <c r="AG213" i="4"/>
  <c r="AF213" i="4"/>
  <c r="AE213" i="4"/>
  <c r="AD213" i="4"/>
  <c r="AC213" i="4"/>
  <c r="AB213" i="4"/>
  <c r="AA213" i="4"/>
  <c r="Z213" i="4"/>
  <c r="Y213" i="4"/>
  <c r="X213" i="4"/>
  <c r="W213" i="4"/>
  <c r="V213" i="4"/>
  <c r="AH212" i="4"/>
  <c r="AG212" i="4"/>
  <c r="AF212" i="4"/>
  <c r="AE212" i="4"/>
  <c r="AD212" i="4"/>
  <c r="AC212" i="4"/>
  <c r="AB212" i="4"/>
  <c r="AA212" i="4"/>
  <c r="Z212" i="4"/>
  <c r="Y212" i="4"/>
  <c r="X212" i="4"/>
  <c r="W212" i="4"/>
  <c r="V212" i="4"/>
  <c r="AH211" i="4"/>
  <c r="AG211" i="4"/>
  <c r="AF211" i="4"/>
  <c r="AE211" i="4"/>
  <c r="AD211" i="4"/>
  <c r="AC211" i="4"/>
  <c r="AB211" i="4"/>
  <c r="AA211" i="4"/>
  <c r="Z211" i="4"/>
  <c r="Y211" i="4"/>
  <c r="X211" i="4"/>
  <c r="W211" i="4"/>
  <c r="V211" i="4"/>
  <c r="AH210" i="4"/>
  <c r="AG210" i="4"/>
  <c r="AF210" i="4"/>
  <c r="AE210" i="4"/>
  <c r="AD210" i="4"/>
  <c r="AC210" i="4"/>
  <c r="AB210" i="4"/>
  <c r="AA210" i="4"/>
  <c r="Z210" i="4"/>
  <c r="Y210" i="4"/>
  <c r="X210" i="4"/>
  <c r="W210" i="4"/>
  <c r="V210" i="4"/>
  <c r="AH209" i="4"/>
  <c r="AG209" i="4"/>
  <c r="AF209" i="4"/>
  <c r="AE209" i="4"/>
  <c r="AD209" i="4"/>
  <c r="AC209" i="4"/>
  <c r="AB209" i="4"/>
  <c r="AA209" i="4"/>
  <c r="Z209" i="4"/>
  <c r="Y209" i="4"/>
  <c r="X209" i="4"/>
  <c r="W209" i="4"/>
  <c r="V209" i="4"/>
  <c r="AH208" i="4"/>
  <c r="AG208" i="4"/>
  <c r="AF208" i="4"/>
  <c r="AE208" i="4"/>
  <c r="AD208" i="4"/>
  <c r="AC208" i="4"/>
  <c r="AB208" i="4"/>
  <c r="AA208" i="4"/>
  <c r="Z208" i="4"/>
  <c r="Y208" i="4"/>
  <c r="X208" i="4"/>
  <c r="W208" i="4"/>
  <c r="V208" i="4"/>
  <c r="AH207" i="4"/>
  <c r="AG207" i="4"/>
  <c r="AF207" i="4"/>
  <c r="AE207" i="4"/>
  <c r="AD207" i="4"/>
  <c r="AC207" i="4"/>
  <c r="AB207" i="4"/>
  <c r="AA207" i="4"/>
  <c r="Z207" i="4"/>
  <c r="Y207" i="4"/>
  <c r="X207" i="4"/>
  <c r="W207" i="4"/>
  <c r="V207" i="4"/>
  <c r="AH206" i="4"/>
  <c r="AG206" i="4"/>
  <c r="AF206" i="4"/>
  <c r="AE206" i="4"/>
  <c r="AD206" i="4"/>
  <c r="AC206" i="4"/>
  <c r="AB206" i="4"/>
  <c r="AA206" i="4"/>
  <c r="Z206" i="4"/>
  <c r="Y206" i="4"/>
  <c r="X206" i="4"/>
  <c r="W206" i="4"/>
  <c r="V206" i="4"/>
  <c r="AH205" i="4"/>
  <c r="AG205" i="4"/>
  <c r="AF205" i="4"/>
  <c r="AE205" i="4"/>
  <c r="AD205" i="4"/>
  <c r="AC205" i="4"/>
  <c r="AB205" i="4"/>
  <c r="AA205" i="4"/>
  <c r="Z205" i="4"/>
  <c r="Y205" i="4"/>
  <c r="X205" i="4"/>
  <c r="W205" i="4"/>
  <c r="V205" i="4"/>
  <c r="AH204" i="4"/>
  <c r="AG204" i="4"/>
  <c r="AF204" i="4"/>
  <c r="AE204" i="4"/>
  <c r="AD204" i="4"/>
  <c r="AC204" i="4"/>
  <c r="AB204" i="4"/>
  <c r="AA204" i="4"/>
  <c r="Z204" i="4"/>
  <c r="Y204" i="4"/>
  <c r="X204" i="4"/>
  <c r="W204" i="4"/>
  <c r="V204" i="4"/>
  <c r="AH203" i="4"/>
  <c r="AG203" i="4"/>
  <c r="AF203" i="4"/>
  <c r="AE203" i="4"/>
  <c r="AD203" i="4"/>
  <c r="AC203" i="4"/>
  <c r="AB203" i="4"/>
  <c r="AA203" i="4"/>
  <c r="Z203" i="4"/>
  <c r="Y203" i="4"/>
  <c r="X203" i="4"/>
  <c r="W203" i="4"/>
  <c r="V203" i="4"/>
  <c r="AH202" i="4"/>
  <c r="AG202" i="4"/>
  <c r="AF202" i="4"/>
  <c r="AE202" i="4"/>
  <c r="AD202" i="4"/>
  <c r="AC202" i="4"/>
  <c r="AB202" i="4"/>
  <c r="AA202" i="4"/>
  <c r="Z202" i="4"/>
  <c r="Y202" i="4"/>
  <c r="X202" i="4"/>
  <c r="W202" i="4"/>
  <c r="V202" i="4"/>
  <c r="AH201" i="4"/>
  <c r="AG201" i="4"/>
  <c r="AF201" i="4"/>
  <c r="AE201" i="4"/>
  <c r="AD201" i="4"/>
  <c r="AC201" i="4"/>
  <c r="AB201" i="4"/>
  <c r="AA201" i="4"/>
  <c r="Z201" i="4"/>
  <c r="Y201" i="4"/>
  <c r="X201" i="4"/>
  <c r="W201" i="4"/>
  <c r="V201" i="4"/>
  <c r="AH200" i="4"/>
  <c r="AG200" i="4"/>
  <c r="AF200" i="4"/>
  <c r="AE200" i="4"/>
  <c r="AD200" i="4"/>
  <c r="AC200" i="4"/>
  <c r="AB200" i="4"/>
  <c r="AA200" i="4"/>
  <c r="Z200" i="4"/>
  <c r="Y200" i="4"/>
  <c r="X200" i="4"/>
  <c r="W200" i="4"/>
  <c r="V200" i="4"/>
  <c r="AH199" i="4"/>
  <c r="AG199" i="4"/>
  <c r="AF199" i="4"/>
  <c r="AE199" i="4"/>
  <c r="AD199" i="4"/>
  <c r="AC199" i="4"/>
  <c r="AB199" i="4"/>
  <c r="AA199" i="4"/>
  <c r="Z199" i="4"/>
  <c r="Y199" i="4"/>
  <c r="X199" i="4"/>
  <c r="W199" i="4"/>
  <c r="V199" i="4"/>
  <c r="AH198" i="4"/>
  <c r="AG198" i="4"/>
  <c r="AF198" i="4"/>
  <c r="AE198" i="4"/>
  <c r="AD198" i="4"/>
  <c r="AC198" i="4"/>
  <c r="AB198" i="4"/>
  <c r="AA198" i="4"/>
  <c r="Z198" i="4"/>
  <c r="Y198" i="4"/>
  <c r="X198" i="4"/>
  <c r="W198" i="4"/>
  <c r="V198" i="4"/>
  <c r="AH197" i="4"/>
  <c r="AG197" i="4"/>
  <c r="AF197" i="4"/>
  <c r="AE197" i="4"/>
  <c r="AD197" i="4"/>
  <c r="AC197" i="4"/>
  <c r="AB197" i="4"/>
  <c r="AA197" i="4"/>
  <c r="Z197" i="4"/>
  <c r="Y197" i="4"/>
  <c r="X197" i="4"/>
  <c r="W197" i="4"/>
  <c r="V197" i="4"/>
  <c r="AH196" i="4"/>
  <c r="AG196" i="4"/>
  <c r="AF196" i="4"/>
  <c r="AE196" i="4"/>
  <c r="AD196" i="4"/>
  <c r="AC196" i="4"/>
  <c r="AB196" i="4"/>
  <c r="AA196" i="4"/>
  <c r="Z196" i="4"/>
  <c r="Y196" i="4"/>
  <c r="X196" i="4"/>
  <c r="W196" i="4"/>
  <c r="V196" i="4"/>
  <c r="AH195" i="4"/>
  <c r="AG195" i="4"/>
  <c r="AF195" i="4"/>
  <c r="AE195" i="4"/>
  <c r="AD195" i="4"/>
  <c r="AC195" i="4"/>
  <c r="AB195" i="4"/>
  <c r="AA195" i="4"/>
  <c r="Z195" i="4"/>
  <c r="Y195" i="4"/>
  <c r="X195" i="4"/>
  <c r="W195" i="4"/>
  <c r="V195" i="4"/>
  <c r="AH194" i="4"/>
  <c r="AG194" i="4"/>
  <c r="AF194" i="4"/>
  <c r="AE194" i="4"/>
  <c r="AD194" i="4"/>
  <c r="AC194" i="4"/>
  <c r="AB194" i="4"/>
  <c r="AA194" i="4"/>
  <c r="Z194" i="4"/>
  <c r="Y194" i="4"/>
  <c r="X194" i="4"/>
  <c r="W194" i="4"/>
  <c r="V194" i="4"/>
  <c r="AH193" i="4"/>
  <c r="AG193" i="4"/>
  <c r="AF193" i="4"/>
  <c r="AE193" i="4"/>
  <c r="AD193" i="4"/>
  <c r="AC193" i="4"/>
  <c r="AB193" i="4"/>
  <c r="AA193" i="4"/>
  <c r="Z193" i="4"/>
  <c r="Y193" i="4"/>
  <c r="X193" i="4"/>
  <c r="W193" i="4"/>
  <c r="V193" i="4"/>
  <c r="AH192" i="4"/>
  <c r="AG192" i="4"/>
  <c r="AF192" i="4"/>
  <c r="AE192" i="4"/>
  <c r="AD192" i="4"/>
  <c r="AC192" i="4"/>
  <c r="AB192" i="4"/>
  <c r="AA192" i="4"/>
  <c r="Z192" i="4"/>
  <c r="Y192" i="4"/>
  <c r="X192" i="4"/>
  <c r="W192" i="4"/>
  <c r="V192" i="4"/>
  <c r="AH191" i="4"/>
  <c r="AG191" i="4"/>
  <c r="AF191" i="4"/>
  <c r="AE191" i="4"/>
  <c r="AD191" i="4"/>
  <c r="AC191" i="4"/>
  <c r="AB191" i="4"/>
  <c r="AA191" i="4"/>
  <c r="Z191" i="4"/>
  <c r="Y191" i="4"/>
  <c r="X191" i="4"/>
  <c r="W191" i="4"/>
  <c r="V191" i="4"/>
  <c r="AH190" i="4"/>
  <c r="AG190" i="4"/>
  <c r="AF190" i="4"/>
  <c r="AE190" i="4"/>
  <c r="AD190" i="4"/>
  <c r="AC190" i="4"/>
  <c r="AB190" i="4"/>
  <c r="AA190" i="4"/>
  <c r="Z190" i="4"/>
  <c r="Y190" i="4"/>
  <c r="X190" i="4"/>
  <c r="W190" i="4"/>
  <c r="V190" i="4"/>
  <c r="AH189" i="4"/>
  <c r="AG189" i="4"/>
  <c r="AF189" i="4"/>
  <c r="AE189" i="4"/>
  <c r="AD189" i="4"/>
  <c r="AC189" i="4"/>
  <c r="AB189" i="4"/>
  <c r="AA189" i="4"/>
  <c r="Z189" i="4"/>
  <c r="Y189" i="4"/>
  <c r="X189" i="4"/>
  <c r="W189" i="4"/>
  <c r="V189" i="4"/>
  <c r="AH188" i="4"/>
  <c r="AG188" i="4"/>
  <c r="AF188" i="4"/>
  <c r="AE188" i="4"/>
  <c r="AD188" i="4"/>
  <c r="AC188" i="4"/>
  <c r="AB188" i="4"/>
  <c r="AA188" i="4"/>
  <c r="Z188" i="4"/>
  <c r="Y188" i="4"/>
  <c r="X188" i="4"/>
  <c r="W188" i="4"/>
  <c r="V188" i="4"/>
  <c r="AH187" i="4"/>
  <c r="AG187" i="4"/>
  <c r="AF187" i="4"/>
  <c r="AE187" i="4"/>
  <c r="AD187" i="4"/>
  <c r="AC187" i="4"/>
  <c r="AB187" i="4"/>
  <c r="AA187" i="4"/>
  <c r="Z187" i="4"/>
  <c r="Y187" i="4"/>
  <c r="X187" i="4"/>
  <c r="W187" i="4"/>
  <c r="V187" i="4"/>
  <c r="AH186" i="4"/>
  <c r="AG186" i="4"/>
  <c r="AF186" i="4"/>
  <c r="AE186" i="4"/>
  <c r="AD186" i="4"/>
  <c r="AC186" i="4"/>
  <c r="AB186" i="4"/>
  <c r="AA186" i="4"/>
  <c r="Z186" i="4"/>
  <c r="Y186" i="4"/>
  <c r="X186" i="4"/>
  <c r="W186" i="4"/>
  <c r="V186" i="4"/>
  <c r="AH185" i="4"/>
  <c r="AG185" i="4"/>
  <c r="AF185" i="4"/>
  <c r="AE185" i="4"/>
  <c r="AD185" i="4"/>
  <c r="AC185" i="4"/>
  <c r="AB185" i="4"/>
  <c r="AA185" i="4"/>
  <c r="Z185" i="4"/>
  <c r="Y185" i="4"/>
  <c r="X185" i="4"/>
  <c r="W185" i="4"/>
  <c r="V185" i="4"/>
  <c r="AH184" i="4"/>
  <c r="AG184" i="4"/>
  <c r="AF184" i="4"/>
  <c r="AE184" i="4"/>
  <c r="AD184" i="4"/>
  <c r="AC184" i="4"/>
  <c r="AB184" i="4"/>
  <c r="AA184" i="4"/>
  <c r="Z184" i="4"/>
  <c r="Y184" i="4"/>
  <c r="X184" i="4"/>
  <c r="W184" i="4"/>
  <c r="V184" i="4"/>
  <c r="AH183" i="4"/>
  <c r="AG183" i="4"/>
  <c r="AF183" i="4"/>
  <c r="AE183" i="4"/>
  <c r="AD183" i="4"/>
  <c r="AC183" i="4"/>
  <c r="AB183" i="4"/>
  <c r="AA183" i="4"/>
  <c r="Z183" i="4"/>
  <c r="Y183" i="4"/>
  <c r="X183" i="4"/>
  <c r="W183" i="4"/>
  <c r="V183" i="4"/>
  <c r="AH182" i="4"/>
  <c r="AG182" i="4"/>
  <c r="AF182" i="4"/>
  <c r="AE182" i="4"/>
  <c r="AD182" i="4"/>
  <c r="AC182" i="4"/>
  <c r="AB182" i="4"/>
  <c r="AA182" i="4"/>
  <c r="Z182" i="4"/>
  <c r="Y182" i="4"/>
  <c r="X182" i="4"/>
  <c r="W182" i="4"/>
  <c r="V182" i="4"/>
  <c r="AH181" i="4"/>
  <c r="AG181" i="4"/>
  <c r="AF181" i="4"/>
  <c r="AE181" i="4"/>
  <c r="AD181" i="4"/>
  <c r="AC181" i="4"/>
  <c r="AB181" i="4"/>
  <c r="AA181" i="4"/>
  <c r="Z181" i="4"/>
  <c r="Y181" i="4"/>
  <c r="X181" i="4"/>
  <c r="W181" i="4"/>
  <c r="V181" i="4"/>
  <c r="AH180" i="4"/>
  <c r="AG180" i="4"/>
  <c r="AF180" i="4"/>
  <c r="AE180" i="4"/>
  <c r="AD180" i="4"/>
  <c r="AC180" i="4"/>
  <c r="AB180" i="4"/>
  <c r="AA180" i="4"/>
  <c r="Z180" i="4"/>
  <c r="Y180" i="4"/>
  <c r="X180" i="4"/>
  <c r="W180" i="4"/>
  <c r="V180" i="4"/>
  <c r="AH179" i="4"/>
  <c r="AG179" i="4"/>
  <c r="AF179" i="4"/>
  <c r="AE179" i="4"/>
  <c r="AD179" i="4"/>
  <c r="AC179" i="4"/>
  <c r="AB179" i="4"/>
  <c r="AA179" i="4"/>
  <c r="Z179" i="4"/>
  <c r="Y179" i="4"/>
  <c r="X179" i="4"/>
  <c r="W179" i="4"/>
  <c r="V179" i="4"/>
  <c r="AH178" i="4"/>
  <c r="AG178" i="4"/>
  <c r="AF178" i="4"/>
  <c r="AE178" i="4"/>
  <c r="AD178" i="4"/>
  <c r="AC178" i="4"/>
  <c r="AB178" i="4"/>
  <c r="AA178" i="4"/>
  <c r="Z178" i="4"/>
  <c r="Y178" i="4"/>
  <c r="X178" i="4"/>
  <c r="W178" i="4"/>
  <c r="V178" i="4"/>
  <c r="AH177" i="4"/>
  <c r="AG177" i="4"/>
  <c r="AF177" i="4"/>
  <c r="AE177" i="4"/>
  <c r="AD177" i="4"/>
  <c r="AC177" i="4"/>
  <c r="AB177" i="4"/>
  <c r="AA177" i="4"/>
  <c r="Z177" i="4"/>
  <c r="Y177" i="4"/>
  <c r="X177" i="4"/>
  <c r="W177" i="4"/>
  <c r="V177" i="4"/>
  <c r="AH176" i="4"/>
  <c r="AG176" i="4"/>
  <c r="AF176" i="4"/>
  <c r="AE176" i="4"/>
  <c r="AD176" i="4"/>
  <c r="AC176" i="4"/>
  <c r="AB176" i="4"/>
  <c r="AA176" i="4"/>
  <c r="Z176" i="4"/>
  <c r="Y176" i="4"/>
  <c r="X176" i="4"/>
  <c r="W176" i="4"/>
  <c r="V176" i="4"/>
  <c r="AH175" i="4"/>
  <c r="AG175" i="4"/>
  <c r="AF175" i="4"/>
  <c r="AE175" i="4"/>
  <c r="AD175" i="4"/>
  <c r="AC175" i="4"/>
  <c r="AB175" i="4"/>
  <c r="AA175" i="4"/>
  <c r="Z175" i="4"/>
  <c r="Y175" i="4"/>
  <c r="X175" i="4"/>
  <c r="W175" i="4"/>
  <c r="V175" i="4"/>
  <c r="AH174" i="4"/>
  <c r="AG174" i="4"/>
  <c r="AF174" i="4"/>
  <c r="AE174" i="4"/>
  <c r="AD174" i="4"/>
  <c r="AC174" i="4"/>
  <c r="AB174" i="4"/>
  <c r="AA174" i="4"/>
  <c r="Z174" i="4"/>
  <c r="Y174" i="4"/>
  <c r="X174" i="4"/>
  <c r="W174" i="4"/>
  <c r="V174" i="4"/>
  <c r="AH173" i="4"/>
  <c r="AG173" i="4"/>
  <c r="AF173" i="4"/>
  <c r="AE173" i="4"/>
  <c r="AD173" i="4"/>
  <c r="AC173" i="4"/>
  <c r="AB173" i="4"/>
  <c r="AA173" i="4"/>
  <c r="Z173" i="4"/>
  <c r="Y173" i="4"/>
  <c r="X173" i="4"/>
  <c r="W173" i="4"/>
  <c r="V173" i="4"/>
  <c r="AH172" i="4"/>
  <c r="AG172" i="4"/>
  <c r="AF172" i="4"/>
  <c r="AE172" i="4"/>
  <c r="AD172" i="4"/>
  <c r="AC172" i="4"/>
  <c r="AB172" i="4"/>
  <c r="AA172" i="4"/>
  <c r="Z172" i="4"/>
  <c r="Y172" i="4"/>
  <c r="X172" i="4"/>
  <c r="W172" i="4"/>
  <c r="V172" i="4"/>
  <c r="AH171" i="4"/>
  <c r="AG171" i="4"/>
  <c r="AF171" i="4"/>
  <c r="AE171" i="4"/>
  <c r="AD171" i="4"/>
  <c r="AC171" i="4"/>
  <c r="AB171" i="4"/>
  <c r="AA171" i="4"/>
  <c r="Z171" i="4"/>
  <c r="Y171" i="4"/>
  <c r="X171" i="4"/>
  <c r="W171" i="4"/>
  <c r="V171" i="4"/>
  <c r="AH170" i="4"/>
  <c r="AG170" i="4"/>
  <c r="AF170" i="4"/>
  <c r="AE170" i="4"/>
  <c r="AD170" i="4"/>
  <c r="AC170" i="4"/>
  <c r="AB170" i="4"/>
  <c r="AA170" i="4"/>
  <c r="Z170" i="4"/>
  <c r="Y170" i="4"/>
  <c r="X170" i="4"/>
  <c r="W170" i="4"/>
  <c r="V170" i="4"/>
  <c r="AH169" i="4"/>
  <c r="AG169" i="4"/>
  <c r="AF169" i="4"/>
  <c r="AE169" i="4"/>
  <c r="AD169" i="4"/>
  <c r="AC169" i="4"/>
  <c r="AB169" i="4"/>
  <c r="AA169" i="4"/>
  <c r="Z169" i="4"/>
  <c r="Y169" i="4"/>
  <c r="X169" i="4"/>
  <c r="W169" i="4"/>
  <c r="V169" i="4"/>
  <c r="AH168" i="4"/>
  <c r="AG168" i="4"/>
  <c r="AF168" i="4"/>
  <c r="AE168" i="4"/>
  <c r="AD168" i="4"/>
  <c r="AC168" i="4"/>
  <c r="AB168" i="4"/>
  <c r="AA168" i="4"/>
  <c r="Z168" i="4"/>
  <c r="Y168" i="4"/>
  <c r="X168" i="4"/>
  <c r="W168" i="4"/>
  <c r="V168" i="4"/>
  <c r="AH167" i="4"/>
  <c r="AG167" i="4"/>
  <c r="AF167" i="4"/>
  <c r="AE167" i="4"/>
  <c r="AD167" i="4"/>
  <c r="AC167" i="4"/>
  <c r="AB167" i="4"/>
  <c r="AA167" i="4"/>
  <c r="Z167" i="4"/>
  <c r="Y167" i="4"/>
  <c r="X167" i="4"/>
  <c r="W167" i="4"/>
  <c r="V167" i="4"/>
  <c r="AH166" i="4"/>
  <c r="AG166" i="4"/>
  <c r="AF166" i="4"/>
  <c r="AE166" i="4"/>
  <c r="AD166" i="4"/>
  <c r="AC166" i="4"/>
  <c r="AB166" i="4"/>
  <c r="AA166" i="4"/>
  <c r="Z166" i="4"/>
  <c r="Y166" i="4"/>
  <c r="X166" i="4"/>
  <c r="W166" i="4"/>
  <c r="V166" i="4"/>
  <c r="AH165" i="4"/>
  <c r="AG165" i="4"/>
  <c r="AF165" i="4"/>
  <c r="AE165" i="4"/>
  <c r="AD165" i="4"/>
  <c r="AC165" i="4"/>
  <c r="AB165" i="4"/>
  <c r="AA165" i="4"/>
  <c r="Z165" i="4"/>
  <c r="Y165" i="4"/>
  <c r="X165" i="4"/>
  <c r="W165" i="4"/>
  <c r="V165" i="4"/>
  <c r="AH164" i="4"/>
  <c r="AG164" i="4"/>
  <c r="AF164" i="4"/>
  <c r="AE164" i="4"/>
  <c r="AD164" i="4"/>
  <c r="AC164" i="4"/>
  <c r="AB164" i="4"/>
  <c r="AA164" i="4"/>
  <c r="Z164" i="4"/>
  <c r="Y164" i="4"/>
  <c r="X164" i="4"/>
  <c r="W164" i="4"/>
  <c r="V164" i="4"/>
  <c r="AH163" i="4"/>
  <c r="AG163" i="4"/>
  <c r="AF163" i="4"/>
  <c r="AE163" i="4"/>
  <c r="AD163" i="4"/>
  <c r="AC163" i="4"/>
  <c r="AB163" i="4"/>
  <c r="AA163" i="4"/>
  <c r="Z163" i="4"/>
  <c r="Y163" i="4"/>
  <c r="X163" i="4"/>
  <c r="W163" i="4"/>
  <c r="V163" i="4"/>
  <c r="AH162" i="4"/>
  <c r="AG162" i="4"/>
  <c r="AF162" i="4"/>
  <c r="AE162" i="4"/>
  <c r="AD162" i="4"/>
  <c r="AC162" i="4"/>
  <c r="AB162" i="4"/>
  <c r="AA162" i="4"/>
  <c r="Z162" i="4"/>
  <c r="Y162" i="4"/>
  <c r="X162" i="4"/>
  <c r="W162" i="4"/>
  <c r="V162" i="4"/>
  <c r="AH161" i="4"/>
  <c r="AG161" i="4"/>
  <c r="AF161" i="4"/>
  <c r="AE161" i="4"/>
  <c r="AD161" i="4"/>
  <c r="AC161" i="4"/>
  <c r="AB161" i="4"/>
  <c r="AA161" i="4"/>
  <c r="Z161" i="4"/>
  <c r="Y161" i="4"/>
  <c r="X161" i="4"/>
  <c r="W161" i="4"/>
  <c r="V161" i="4"/>
  <c r="AH160" i="4"/>
  <c r="AG160" i="4"/>
  <c r="AF160" i="4"/>
  <c r="AE160" i="4"/>
  <c r="AD160" i="4"/>
  <c r="AC160" i="4"/>
  <c r="AB160" i="4"/>
  <c r="AA160" i="4"/>
  <c r="Z160" i="4"/>
  <c r="Y160" i="4"/>
  <c r="X160" i="4"/>
  <c r="W160" i="4"/>
  <c r="V160" i="4"/>
  <c r="AH159" i="4"/>
  <c r="AG159" i="4"/>
  <c r="AF159" i="4"/>
  <c r="AE159" i="4"/>
  <c r="AD159" i="4"/>
  <c r="AC159" i="4"/>
  <c r="AB159" i="4"/>
  <c r="AA159" i="4"/>
  <c r="Z159" i="4"/>
  <c r="Y159" i="4"/>
  <c r="X159" i="4"/>
  <c r="W159" i="4"/>
  <c r="V159" i="4"/>
  <c r="AH158" i="4"/>
  <c r="AG158" i="4"/>
  <c r="AF158" i="4"/>
  <c r="AE158" i="4"/>
  <c r="AD158" i="4"/>
  <c r="AC158" i="4"/>
  <c r="AB158" i="4"/>
  <c r="AA158" i="4"/>
  <c r="Z158" i="4"/>
  <c r="Y158" i="4"/>
  <c r="X158" i="4"/>
  <c r="W158" i="4"/>
  <c r="V158" i="4"/>
  <c r="AH157" i="4"/>
  <c r="AG157" i="4"/>
  <c r="AF157" i="4"/>
  <c r="AE157" i="4"/>
  <c r="AD157" i="4"/>
  <c r="AC157" i="4"/>
  <c r="AB157" i="4"/>
  <c r="AA157" i="4"/>
  <c r="Z157" i="4"/>
  <c r="Y157" i="4"/>
  <c r="X157" i="4"/>
  <c r="W157" i="4"/>
  <c r="V157" i="4"/>
  <c r="AH156" i="4"/>
  <c r="AG156" i="4"/>
  <c r="AF156" i="4"/>
  <c r="AE156" i="4"/>
  <c r="AD156" i="4"/>
  <c r="AC156" i="4"/>
  <c r="AB156" i="4"/>
  <c r="AA156" i="4"/>
  <c r="Z156" i="4"/>
  <c r="Y156" i="4"/>
  <c r="X156" i="4"/>
  <c r="W156" i="4"/>
  <c r="V156" i="4"/>
  <c r="AH155" i="4"/>
  <c r="AG155" i="4"/>
  <c r="AF155" i="4"/>
  <c r="AE155" i="4"/>
  <c r="AD155" i="4"/>
  <c r="AC155" i="4"/>
  <c r="AB155" i="4"/>
  <c r="AA155" i="4"/>
  <c r="Z155" i="4"/>
  <c r="Y155" i="4"/>
  <c r="X155" i="4"/>
  <c r="W155" i="4"/>
  <c r="V155" i="4"/>
  <c r="AH154" i="4"/>
  <c r="AG154" i="4"/>
  <c r="AF154" i="4"/>
  <c r="AE154" i="4"/>
  <c r="AD154" i="4"/>
  <c r="AC154" i="4"/>
  <c r="AB154" i="4"/>
  <c r="AA154" i="4"/>
  <c r="Z154" i="4"/>
  <c r="Y154" i="4"/>
  <c r="X154" i="4"/>
  <c r="W154" i="4"/>
  <c r="V154" i="4"/>
  <c r="AH153" i="4"/>
  <c r="AG153" i="4"/>
  <c r="AF153" i="4"/>
  <c r="AE153" i="4"/>
  <c r="AD153" i="4"/>
  <c r="AC153" i="4"/>
  <c r="AB153" i="4"/>
  <c r="AA153" i="4"/>
  <c r="Z153" i="4"/>
  <c r="Y153" i="4"/>
  <c r="X153" i="4"/>
  <c r="W153" i="4"/>
  <c r="V153" i="4"/>
  <c r="AH152" i="4"/>
  <c r="AG152" i="4"/>
  <c r="AF152" i="4"/>
  <c r="AE152" i="4"/>
  <c r="AD152" i="4"/>
  <c r="AC152" i="4"/>
  <c r="AB152" i="4"/>
  <c r="AA152" i="4"/>
  <c r="Z152" i="4"/>
  <c r="Y152" i="4"/>
  <c r="X152" i="4"/>
  <c r="W152" i="4"/>
  <c r="V152" i="4"/>
  <c r="AH151" i="4"/>
  <c r="AG151" i="4"/>
  <c r="AF151" i="4"/>
  <c r="AE151" i="4"/>
  <c r="AD151" i="4"/>
  <c r="AC151" i="4"/>
  <c r="AB151" i="4"/>
  <c r="AA151" i="4"/>
  <c r="Z151" i="4"/>
  <c r="Y151" i="4"/>
  <c r="X151" i="4"/>
  <c r="W151" i="4"/>
  <c r="V151" i="4"/>
  <c r="AH150" i="4"/>
  <c r="AG150" i="4"/>
  <c r="AF150" i="4"/>
  <c r="AE150" i="4"/>
  <c r="AD150" i="4"/>
  <c r="AC150" i="4"/>
  <c r="AB150" i="4"/>
  <c r="AA150" i="4"/>
  <c r="Z150" i="4"/>
  <c r="Y150" i="4"/>
  <c r="X150" i="4"/>
  <c r="W150" i="4"/>
  <c r="V150" i="4"/>
  <c r="AH149" i="4"/>
  <c r="AG149" i="4"/>
  <c r="AF149" i="4"/>
  <c r="AE149" i="4"/>
  <c r="AD149" i="4"/>
  <c r="AC149" i="4"/>
  <c r="AB149" i="4"/>
  <c r="AA149" i="4"/>
  <c r="Z149" i="4"/>
  <c r="Y149" i="4"/>
  <c r="X149" i="4"/>
  <c r="W149" i="4"/>
  <c r="V149" i="4"/>
  <c r="AH148" i="4"/>
  <c r="AG148" i="4"/>
  <c r="AF148" i="4"/>
  <c r="AE148" i="4"/>
  <c r="AD148" i="4"/>
  <c r="AC148" i="4"/>
  <c r="AB148" i="4"/>
  <c r="AA148" i="4"/>
  <c r="Z148" i="4"/>
  <c r="Y148" i="4"/>
  <c r="X148" i="4"/>
  <c r="W148" i="4"/>
  <c r="V148" i="4"/>
  <c r="AH147" i="4"/>
  <c r="AG147" i="4"/>
  <c r="AF147" i="4"/>
  <c r="AE147" i="4"/>
  <c r="AD147" i="4"/>
  <c r="AC147" i="4"/>
  <c r="AB147" i="4"/>
  <c r="AA147" i="4"/>
  <c r="Z147" i="4"/>
  <c r="Y147" i="4"/>
  <c r="X147" i="4"/>
  <c r="W147" i="4"/>
  <c r="V147" i="4"/>
  <c r="AH146" i="4"/>
  <c r="AG146" i="4"/>
  <c r="AE146" i="4"/>
  <c r="AD146" i="4"/>
  <c r="AC146" i="4"/>
  <c r="AB146" i="4"/>
  <c r="AA146" i="4"/>
  <c r="Z146" i="4"/>
  <c r="Y146" i="4"/>
  <c r="X146" i="4"/>
  <c r="W146" i="4"/>
  <c r="V146" i="4"/>
  <c r="AH145" i="4"/>
  <c r="AG145" i="4"/>
  <c r="AF145" i="4"/>
  <c r="AE145" i="4"/>
  <c r="AD145" i="4"/>
  <c r="AC145" i="4"/>
  <c r="AB145" i="4"/>
  <c r="AA145" i="4"/>
  <c r="Z145" i="4"/>
  <c r="Y145" i="4"/>
  <c r="X145" i="4"/>
  <c r="W145" i="4"/>
  <c r="V145" i="4"/>
  <c r="AH144" i="4"/>
  <c r="AG144" i="4"/>
  <c r="AF144" i="4"/>
  <c r="AE144" i="4"/>
  <c r="AD144" i="4"/>
  <c r="AC144" i="4"/>
  <c r="AB144" i="4"/>
  <c r="AA144" i="4"/>
  <c r="Z144" i="4"/>
  <c r="Y144" i="4"/>
  <c r="X144" i="4"/>
  <c r="W144" i="4"/>
  <c r="V144" i="4"/>
  <c r="AH143" i="4"/>
  <c r="AG143" i="4"/>
  <c r="AF143" i="4"/>
  <c r="AE143" i="4"/>
  <c r="AD143" i="4"/>
  <c r="AC143" i="4"/>
  <c r="AB143" i="4"/>
  <c r="AA143" i="4"/>
  <c r="Z143" i="4"/>
  <c r="Y143" i="4"/>
  <c r="X143" i="4"/>
  <c r="W143" i="4"/>
  <c r="V143" i="4"/>
  <c r="AH142" i="4"/>
  <c r="AG142" i="4"/>
  <c r="AF142" i="4"/>
  <c r="AE142" i="4"/>
  <c r="AD142" i="4"/>
  <c r="AC142" i="4"/>
  <c r="AB142" i="4"/>
  <c r="AA142" i="4"/>
  <c r="Z142" i="4"/>
  <c r="Y142" i="4"/>
  <c r="X142" i="4"/>
  <c r="W142" i="4"/>
  <c r="V142" i="4"/>
  <c r="AH141" i="4"/>
  <c r="AG141" i="4"/>
  <c r="AF141" i="4"/>
  <c r="AE141" i="4"/>
  <c r="AD141" i="4"/>
  <c r="AC141" i="4"/>
  <c r="AB141" i="4"/>
  <c r="AA141" i="4"/>
  <c r="Z141" i="4"/>
  <c r="Y141" i="4"/>
  <c r="X141" i="4"/>
  <c r="W141" i="4"/>
  <c r="V141" i="4"/>
  <c r="AH140" i="4"/>
  <c r="AG140" i="4"/>
  <c r="AF140" i="4"/>
  <c r="AE140" i="4"/>
  <c r="AD140" i="4"/>
  <c r="AC140" i="4"/>
  <c r="AB140" i="4"/>
  <c r="AA140" i="4"/>
  <c r="Z140" i="4"/>
  <c r="Y140" i="4"/>
  <c r="X140" i="4"/>
  <c r="W140" i="4"/>
  <c r="V140" i="4"/>
  <c r="AH139" i="4"/>
  <c r="AG139" i="4"/>
  <c r="AF139" i="4"/>
  <c r="AE139" i="4"/>
  <c r="AD139" i="4"/>
  <c r="AC139" i="4"/>
  <c r="AB139" i="4"/>
  <c r="AA139" i="4"/>
  <c r="Z139" i="4"/>
  <c r="Y139" i="4"/>
  <c r="X139" i="4"/>
  <c r="W139" i="4"/>
  <c r="V139" i="4"/>
  <c r="AH138" i="4"/>
  <c r="AG138" i="4"/>
  <c r="AF138" i="4"/>
  <c r="AE138" i="4"/>
  <c r="AD138" i="4"/>
  <c r="AC138" i="4"/>
  <c r="AB138" i="4"/>
  <c r="AA138" i="4"/>
  <c r="Z138" i="4"/>
  <c r="Y138" i="4"/>
  <c r="X138" i="4"/>
  <c r="W138" i="4"/>
  <c r="V138" i="4"/>
  <c r="AH137" i="4"/>
  <c r="AG137" i="4"/>
  <c r="AF137" i="4"/>
  <c r="AE137" i="4"/>
  <c r="AD137" i="4"/>
  <c r="AC137" i="4"/>
  <c r="AB137" i="4"/>
  <c r="AA137" i="4"/>
  <c r="Z137" i="4"/>
  <c r="Y137" i="4"/>
  <c r="X137" i="4"/>
  <c r="W137" i="4"/>
  <c r="V137" i="4"/>
  <c r="AH136" i="4"/>
  <c r="AG136" i="4"/>
  <c r="AF136" i="4"/>
  <c r="AE136" i="4"/>
  <c r="AD136" i="4"/>
  <c r="AC136" i="4"/>
  <c r="AB136" i="4"/>
  <c r="AA136" i="4"/>
  <c r="Z136" i="4"/>
  <c r="Y136" i="4"/>
  <c r="X136" i="4"/>
  <c r="W136" i="4"/>
  <c r="V136" i="4"/>
  <c r="AH135" i="4"/>
  <c r="AG135" i="4"/>
  <c r="AF135" i="4"/>
  <c r="AE135" i="4"/>
  <c r="AD135" i="4"/>
  <c r="AC135" i="4"/>
  <c r="AB135" i="4"/>
  <c r="AA135" i="4"/>
  <c r="Z135" i="4"/>
  <c r="Y135" i="4"/>
  <c r="X135" i="4"/>
  <c r="W135" i="4"/>
  <c r="V135" i="4"/>
  <c r="AH134" i="4"/>
  <c r="AG134" i="4"/>
  <c r="AF134" i="4"/>
  <c r="AE134" i="4"/>
  <c r="AD134" i="4"/>
  <c r="AC134" i="4"/>
  <c r="AB134" i="4"/>
  <c r="AA134" i="4"/>
  <c r="Z134" i="4"/>
  <c r="Y134" i="4"/>
  <c r="X134" i="4"/>
  <c r="W134" i="4"/>
  <c r="V134" i="4"/>
  <c r="AH133" i="4"/>
  <c r="AG133" i="4"/>
  <c r="AF133" i="4"/>
  <c r="AE133" i="4"/>
  <c r="AD133" i="4"/>
  <c r="AC133" i="4"/>
  <c r="AB133" i="4"/>
  <c r="AA133" i="4"/>
  <c r="Z133" i="4"/>
  <c r="Y133" i="4"/>
  <c r="X133" i="4"/>
  <c r="W133" i="4"/>
  <c r="V133" i="4"/>
  <c r="AH132" i="4"/>
  <c r="AG132" i="4"/>
  <c r="AF132" i="4"/>
  <c r="AE132" i="4"/>
  <c r="AD132" i="4"/>
  <c r="AC132" i="4"/>
  <c r="AB132" i="4"/>
  <c r="AA132" i="4"/>
  <c r="Z132" i="4"/>
  <c r="Y132" i="4"/>
  <c r="X132" i="4"/>
  <c r="W132" i="4"/>
  <c r="V132" i="4"/>
  <c r="AH131" i="4"/>
  <c r="AG131" i="4"/>
  <c r="AF131" i="4"/>
  <c r="AE131" i="4"/>
  <c r="AD131" i="4"/>
  <c r="AC131" i="4"/>
  <c r="AB131" i="4"/>
  <c r="AA131" i="4"/>
  <c r="Z131" i="4"/>
  <c r="Y131" i="4"/>
  <c r="X131" i="4"/>
  <c r="W131" i="4"/>
  <c r="V131" i="4"/>
  <c r="AH130" i="4"/>
  <c r="AG130" i="4"/>
  <c r="AF130" i="4"/>
  <c r="AE130" i="4"/>
  <c r="AD130" i="4"/>
  <c r="AC130" i="4"/>
  <c r="AB130" i="4"/>
  <c r="AA130" i="4"/>
  <c r="Z130" i="4"/>
  <c r="Y130" i="4"/>
  <c r="X130" i="4"/>
  <c r="W130" i="4"/>
  <c r="V130" i="4"/>
  <c r="AH129" i="4"/>
  <c r="AG129" i="4"/>
  <c r="AF129" i="4"/>
  <c r="AE129" i="4"/>
  <c r="AD129" i="4"/>
  <c r="AC129" i="4"/>
  <c r="AB129" i="4"/>
  <c r="AA129" i="4"/>
  <c r="Z129" i="4"/>
  <c r="Y129" i="4"/>
  <c r="X129" i="4"/>
  <c r="W129" i="4"/>
  <c r="V129" i="4"/>
  <c r="AH128" i="4"/>
  <c r="AG128" i="4"/>
  <c r="AF128" i="4"/>
  <c r="AE128" i="4"/>
  <c r="AD128" i="4"/>
  <c r="AC128" i="4"/>
  <c r="AB128" i="4"/>
  <c r="AA128" i="4"/>
  <c r="Z128" i="4"/>
  <c r="Y128" i="4"/>
  <c r="X128" i="4"/>
  <c r="W128" i="4"/>
  <c r="V128" i="4"/>
  <c r="AH127" i="4"/>
  <c r="AG127" i="4"/>
  <c r="AF127" i="4"/>
  <c r="AE127" i="4"/>
  <c r="AD127" i="4"/>
  <c r="AC127" i="4"/>
  <c r="AB127" i="4"/>
  <c r="AA127" i="4"/>
  <c r="Z127" i="4"/>
  <c r="Y127" i="4"/>
  <c r="X127" i="4"/>
  <c r="W127" i="4"/>
  <c r="V127" i="4"/>
  <c r="AH126" i="4"/>
  <c r="AG126" i="4"/>
  <c r="AF126" i="4"/>
  <c r="AE126" i="4"/>
  <c r="AD126" i="4"/>
  <c r="AC126" i="4"/>
  <c r="AB126" i="4"/>
  <c r="AA126" i="4"/>
  <c r="Z126" i="4"/>
  <c r="Y126" i="4"/>
  <c r="X126" i="4"/>
  <c r="W126" i="4"/>
  <c r="V126" i="4"/>
  <c r="AH125" i="4"/>
  <c r="AG125" i="4"/>
  <c r="AF125" i="4"/>
  <c r="AE125" i="4"/>
  <c r="AD125" i="4"/>
  <c r="AC125" i="4"/>
  <c r="AB125" i="4"/>
  <c r="AA125" i="4"/>
  <c r="Z125" i="4"/>
  <c r="Y125" i="4"/>
  <c r="X125" i="4"/>
  <c r="W125" i="4"/>
  <c r="V125" i="4"/>
  <c r="AH124" i="4"/>
  <c r="AG124" i="4"/>
  <c r="AF124" i="4"/>
  <c r="AE124" i="4"/>
  <c r="AD124" i="4"/>
  <c r="AC124" i="4"/>
  <c r="AB124" i="4"/>
  <c r="AA124" i="4"/>
  <c r="Z124" i="4"/>
  <c r="Y124" i="4"/>
  <c r="X124" i="4"/>
  <c r="W124" i="4"/>
  <c r="V124" i="4"/>
  <c r="AH123" i="4"/>
  <c r="AG123" i="4"/>
  <c r="AF123" i="4"/>
  <c r="AE123" i="4"/>
  <c r="AD123" i="4"/>
  <c r="AC123" i="4"/>
  <c r="AB123" i="4"/>
  <c r="AA123" i="4"/>
  <c r="Z123" i="4"/>
  <c r="Y123" i="4"/>
  <c r="X123" i="4"/>
  <c r="W123" i="4"/>
  <c r="V123" i="4"/>
  <c r="AH122" i="4"/>
  <c r="AG122" i="4"/>
  <c r="AF122" i="4"/>
  <c r="AE122" i="4"/>
  <c r="AD122" i="4"/>
  <c r="AC122" i="4"/>
  <c r="AB122" i="4"/>
  <c r="AA122" i="4"/>
  <c r="Z122" i="4"/>
  <c r="Y122" i="4"/>
  <c r="X122" i="4"/>
  <c r="W122" i="4"/>
  <c r="V122" i="4"/>
  <c r="AH121" i="4"/>
  <c r="AG121" i="4"/>
  <c r="AF121" i="4"/>
  <c r="AE121" i="4"/>
  <c r="AD121" i="4"/>
  <c r="AC121" i="4"/>
  <c r="AB121" i="4"/>
  <c r="AA121" i="4"/>
  <c r="Z121" i="4"/>
  <c r="Y121" i="4"/>
  <c r="X121" i="4"/>
  <c r="W121" i="4"/>
  <c r="V121" i="4"/>
  <c r="AH120" i="4"/>
  <c r="AG120" i="4"/>
  <c r="AF120" i="4"/>
  <c r="AE120" i="4"/>
  <c r="AD120" i="4"/>
  <c r="AC120" i="4"/>
  <c r="AB120" i="4"/>
  <c r="AA120" i="4"/>
  <c r="Z120" i="4"/>
  <c r="Y120" i="4"/>
  <c r="X120" i="4"/>
  <c r="W120" i="4"/>
  <c r="V120" i="4"/>
  <c r="AH119" i="4"/>
  <c r="AG119" i="4"/>
  <c r="AF119" i="4"/>
  <c r="AE119" i="4"/>
  <c r="AD119" i="4"/>
  <c r="AC119" i="4"/>
  <c r="AB119" i="4"/>
  <c r="AA119" i="4"/>
  <c r="Z119" i="4"/>
  <c r="Y119" i="4"/>
  <c r="X119" i="4"/>
  <c r="W119" i="4"/>
  <c r="V119" i="4"/>
  <c r="AH118" i="4"/>
  <c r="AG118" i="4"/>
  <c r="AF118" i="4"/>
  <c r="AE118" i="4"/>
  <c r="AD118" i="4"/>
  <c r="AC118" i="4"/>
  <c r="AB118" i="4"/>
  <c r="AA118" i="4"/>
  <c r="Z118" i="4"/>
  <c r="Y118" i="4"/>
  <c r="X118" i="4"/>
  <c r="W118" i="4"/>
  <c r="V118" i="4"/>
  <c r="AH117" i="4"/>
  <c r="AG117" i="4"/>
  <c r="AF117" i="4"/>
  <c r="AE117" i="4"/>
  <c r="AD117" i="4"/>
  <c r="AC117" i="4"/>
  <c r="AB117" i="4"/>
  <c r="AA117" i="4"/>
  <c r="Z117" i="4"/>
  <c r="Y117" i="4"/>
  <c r="X117" i="4"/>
  <c r="W117" i="4"/>
  <c r="V117" i="4"/>
  <c r="AH116" i="4"/>
  <c r="AG116" i="4"/>
  <c r="AF116" i="4"/>
  <c r="AE116" i="4"/>
  <c r="AD116" i="4"/>
  <c r="AC116" i="4"/>
  <c r="AB116" i="4"/>
  <c r="AA116" i="4"/>
  <c r="Z116" i="4"/>
  <c r="Y116" i="4"/>
  <c r="X116" i="4"/>
  <c r="W116" i="4"/>
  <c r="V116" i="4"/>
  <c r="AH115" i="4"/>
  <c r="AG115" i="4"/>
  <c r="AF115" i="4"/>
  <c r="AE115" i="4"/>
  <c r="AD115" i="4"/>
  <c r="AC115" i="4"/>
  <c r="AB115" i="4"/>
  <c r="AA115" i="4"/>
  <c r="Z115" i="4"/>
  <c r="Y115" i="4"/>
  <c r="X115" i="4"/>
  <c r="W115" i="4"/>
  <c r="V115" i="4"/>
  <c r="AH114" i="4"/>
  <c r="AG114" i="4"/>
  <c r="AF114" i="4"/>
  <c r="AE114" i="4"/>
  <c r="AD114" i="4"/>
  <c r="AC114" i="4"/>
  <c r="AB114" i="4"/>
  <c r="AA114" i="4"/>
  <c r="Z114" i="4"/>
  <c r="Y114" i="4"/>
  <c r="X114" i="4"/>
  <c r="W114" i="4"/>
  <c r="V114" i="4"/>
  <c r="AH113" i="4"/>
  <c r="AG113" i="4"/>
  <c r="AF113" i="4"/>
  <c r="AE113" i="4"/>
  <c r="AD113" i="4"/>
  <c r="AC113" i="4"/>
  <c r="AB113" i="4"/>
  <c r="AA113" i="4"/>
  <c r="Z113" i="4"/>
  <c r="Y113" i="4"/>
  <c r="X113" i="4"/>
  <c r="W113" i="4"/>
  <c r="V113" i="4"/>
  <c r="AH112" i="4"/>
  <c r="AG112" i="4"/>
  <c r="AF112" i="4"/>
  <c r="AE112" i="4"/>
  <c r="AD112" i="4"/>
  <c r="AC112" i="4"/>
  <c r="AB112" i="4"/>
  <c r="AA112" i="4"/>
  <c r="Z112" i="4"/>
  <c r="Y112" i="4"/>
  <c r="X112" i="4"/>
  <c r="W112" i="4"/>
  <c r="V112" i="4"/>
  <c r="AH111" i="4"/>
  <c r="AG111" i="4"/>
  <c r="AF111" i="4"/>
  <c r="AE111" i="4"/>
  <c r="AD111" i="4"/>
  <c r="AC111" i="4"/>
  <c r="AB111" i="4"/>
  <c r="AA111" i="4"/>
  <c r="Z111" i="4"/>
  <c r="Y111" i="4"/>
  <c r="X111" i="4"/>
  <c r="W111" i="4"/>
  <c r="V111" i="4"/>
  <c r="AH110" i="4"/>
  <c r="AG110" i="4"/>
  <c r="AF110" i="4"/>
  <c r="AE110" i="4"/>
  <c r="AD110" i="4"/>
  <c r="AC110" i="4"/>
  <c r="AB110" i="4"/>
  <c r="AA110" i="4"/>
  <c r="Z110" i="4"/>
  <c r="Y110" i="4"/>
  <c r="X110" i="4"/>
  <c r="W110" i="4"/>
  <c r="V110" i="4"/>
  <c r="AH109" i="4"/>
  <c r="AG109" i="4"/>
  <c r="AF109" i="4"/>
  <c r="AE109" i="4"/>
  <c r="AD109" i="4"/>
  <c r="AC109" i="4"/>
  <c r="AB109" i="4"/>
  <c r="AA109" i="4"/>
  <c r="Z109" i="4"/>
  <c r="Y109" i="4"/>
  <c r="X109" i="4"/>
  <c r="W109" i="4"/>
  <c r="V109" i="4"/>
  <c r="AH108" i="4"/>
  <c r="AG108" i="4"/>
  <c r="AF108" i="4"/>
  <c r="AE108" i="4"/>
  <c r="AD108" i="4"/>
  <c r="AC108" i="4"/>
  <c r="AB108" i="4"/>
  <c r="AA108" i="4"/>
  <c r="Z108" i="4"/>
  <c r="Y108" i="4"/>
  <c r="X108" i="4"/>
  <c r="W108" i="4"/>
  <c r="V108" i="4"/>
  <c r="AH107" i="4"/>
  <c r="AG107" i="4"/>
  <c r="AF107" i="4"/>
  <c r="AE107" i="4"/>
  <c r="AD107" i="4"/>
  <c r="AC107" i="4"/>
  <c r="AB107" i="4"/>
  <c r="AA107" i="4"/>
  <c r="Z107" i="4"/>
  <c r="Y107" i="4"/>
  <c r="X107" i="4"/>
  <c r="W107" i="4"/>
  <c r="V107" i="4"/>
  <c r="AH106" i="4"/>
  <c r="AG106" i="4"/>
  <c r="AF106" i="4"/>
  <c r="AE106" i="4"/>
  <c r="AD106" i="4"/>
  <c r="AC106" i="4"/>
  <c r="AB106" i="4"/>
  <c r="AA106" i="4"/>
  <c r="Z106" i="4"/>
  <c r="Y106" i="4"/>
  <c r="X106" i="4"/>
  <c r="W106" i="4"/>
  <c r="V106" i="4"/>
  <c r="AH105" i="4"/>
  <c r="AG105" i="4"/>
  <c r="AF105" i="4"/>
  <c r="AE105" i="4"/>
  <c r="AD105" i="4"/>
  <c r="AC105" i="4"/>
  <c r="AB105" i="4"/>
  <c r="AA105" i="4"/>
  <c r="Z105" i="4"/>
  <c r="Y105" i="4"/>
  <c r="X105" i="4"/>
  <c r="W105" i="4"/>
  <c r="V105" i="4"/>
  <c r="AH104" i="4"/>
  <c r="AG104" i="4"/>
  <c r="AF104" i="4"/>
  <c r="AE104" i="4"/>
  <c r="AD104" i="4"/>
  <c r="AC104" i="4"/>
  <c r="AB104" i="4"/>
  <c r="AA104" i="4"/>
  <c r="Z104" i="4"/>
  <c r="Y104" i="4"/>
  <c r="X104" i="4"/>
  <c r="W104" i="4"/>
  <c r="V104" i="4"/>
  <c r="AH103" i="4"/>
  <c r="AG103" i="4"/>
  <c r="AF103" i="4"/>
  <c r="AE103" i="4"/>
  <c r="AD103" i="4"/>
  <c r="AC103" i="4"/>
  <c r="AB103" i="4"/>
  <c r="AA103" i="4"/>
  <c r="Z103" i="4"/>
  <c r="Y103" i="4"/>
  <c r="X103" i="4"/>
  <c r="W103" i="4"/>
  <c r="V103" i="4"/>
  <c r="AH102" i="4"/>
  <c r="AG102" i="4"/>
  <c r="AF102" i="4"/>
  <c r="AE102" i="4"/>
  <c r="AD102" i="4"/>
  <c r="AC102" i="4"/>
  <c r="AB102" i="4"/>
  <c r="AA102" i="4"/>
  <c r="Z102" i="4"/>
  <c r="Y102" i="4"/>
  <c r="X102" i="4"/>
  <c r="W102" i="4"/>
  <c r="V102" i="4"/>
  <c r="AH101" i="4"/>
  <c r="AG101" i="4"/>
  <c r="AF101" i="4"/>
  <c r="AE101" i="4"/>
  <c r="AD101" i="4"/>
  <c r="AC101" i="4"/>
  <c r="AB101" i="4"/>
  <c r="AA101" i="4"/>
  <c r="Z101" i="4"/>
  <c r="Y101" i="4"/>
  <c r="X101" i="4"/>
  <c r="W101" i="4"/>
  <c r="V101" i="4"/>
  <c r="AH100" i="4"/>
  <c r="AG100" i="4"/>
  <c r="AF100" i="4"/>
  <c r="AE100" i="4"/>
  <c r="AD100" i="4"/>
  <c r="AC100" i="4"/>
  <c r="AB100" i="4"/>
  <c r="AA100" i="4"/>
  <c r="Z100" i="4"/>
  <c r="Y100" i="4"/>
  <c r="X100" i="4"/>
  <c r="W100" i="4"/>
  <c r="V100" i="4"/>
  <c r="AH99" i="4"/>
  <c r="AG99" i="4"/>
  <c r="AF99" i="4"/>
  <c r="AE99" i="4"/>
  <c r="AD99" i="4"/>
  <c r="AC99" i="4"/>
  <c r="AB99" i="4"/>
  <c r="AA99" i="4"/>
  <c r="Z99" i="4"/>
  <c r="Y99" i="4"/>
  <c r="X99" i="4"/>
  <c r="W99" i="4"/>
  <c r="V99" i="4"/>
  <c r="AH98" i="4"/>
  <c r="AG98" i="4"/>
  <c r="AF98" i="4"/>
  <c r="AE98" i="4"/>
  <c r="AD98" i="4"/>
  <c r="AC98" i="4"/>
  <c r="AB98" i="4"/>
  <c r="AA98" i="4"/>
  <c r="Z98" i="4"/>
  <c r="Y98" i="4"/>
  <c r="X98" i="4"/>
  <c r="W98" i="4"/>
  <c r="V98" i="4"/>
  <c r="AH97" i="4"/>
  <c r="AG97" i="4"/>
  <c r="AF97" i="4"/>
  <c r="AE97" i="4"/>
  <c r="AD97" i="4"/>
  <c r="AC97" i="4"/>
  <c r="AB97" i="4"/>
  <c r="AA97" i="4"/>
  <c r="Z97" i="4"/>
  <c r="Y97" i="4"/>
  <c r="X97" i="4"/>
  <c r="W97" i="4"/>
  <c r="V97" i="4"/>
  <c r="AH96" i="4"/>
  <c r="AG96" i="4"/>
  <c r="AF96" i="4"/>
  <c r="AE96" i="4"/>
  <c r="AD96" i="4"/>
  <c r="AC96" i="4"/>
  <c r="AB96" i="4"/>
  <c r="AA96" i="4"/>
  <c r="Z96" i="4"/>
  <c r="Y96" i="4"/>
  <c r="X96" i="4"/>
  <c r="W96" i="4"/>
  <c r="V96" i="4"/>
  <c r="AH95" i="4"/>
  <c r="AG95" i="4"/>
  <c r="AF95" i="4"/>
  <c r="AE95" i="4"/>
  <c r="AD95" i="4"/>
  <c r="AC95" i="4"/>
  <c r="AB95" i="4"/>
  <c r="AA95" i="4"/>
  <c r="Z95" i="4"/>
  <c r="Y95" i="4"/>
  <c r="X95" i="4"/>
  <c r="W95" i="4"/>
  <c r="V95" i="4"/>
  <c r="AH94" i="4"/>
  <c r="AG94" i="4"/>
  <c r="AF94" i="4"/>
  <c r="AE94" i="4"/>
  <c r="AD94" i="4"/>
  <c r="AC94" i="4"/>
  <c r="AB94" i="4"/>
  <c r="AA94" i="4"/>
  <c r="Z94" i="4"/>
  <c r="Y94" i="4"/>
  <c r="X94" i="4"/>
  <c r="W94" i="4"/>
  <c r="V94" i="4"/>
  <c r="AH93" i="4"/>
  <c r="AG93" i="4"/>
  <c r="AF93" i="4"/>
  <c r="AE93" i="4"/>
  <c r="AD93" i="4"/>
  <c r="AC93" i="4"/>
  <c r="AB93" i="4"/>
  <c r="AA93" i="4"/>
  <c r="Z93" i="4"/>
  <c r="Y93" i="4"/>
  <c r="X93" i="4"/>
  <c r="W93" i="4"/>
  <c r="V93" i="4"/>
  <c r="AH92" i="4"/>
  <c r="AG92" i="4"/>
  <c r="AF92" i="4"/>
  <c r="AE92" i="4"/>
  <c r="AD92" i="4"/>
  <c r="AC92" i="4"/>
  <c r="AB92" i="4"/>
  <c r="AA92" i="4"/>
  <c r="Z92" i="4"/>
  <c r="Y92" i="4"/>
  <c r="X92" i="4"/>
  <c r="W92" i="4"/>
  <c r="V92" i="4"/>
  <c r="AH91" i="4"/>
  <c r="AG91" i="4"/>
  <c r="AF91" i="4"/>
  <c r="AE91" i="4"/>
  <c r="AD91" i="4"/>
  <c r="AC91" i="4"/>
  <c r="AB91" i="4"/>
  <c r="AA91" i="4"/>
  <c r="Z91" i="4"/>
  <c r="Y91" i="4"/>
  <c r="X91" i="4"/>
  <c r="W91" i="4"/>
  <c r="V91" i="4"/>
  <c r="AH90" i="4"/>
  <c r="AG90" i="4"/>
  <c r="AF90" i="4"/>
  <c r="AE90" i="4"/>
  <c r="AD90" i="4"/>
  <c r="AC90" i="4"/>
  <c r="AB90" i="4"/>
  <c r="AA90" i="4"/>
  <c r="Z90" i="4"/>
  <c r="Y90" i="4"/>
  <c r="X90" i="4"/>
  <c r="W90" i="4"/>
  <c r="V90" i="4"/>
  <c r="AH89" i="4"/>
  <c r="AG89" i="4"/>
  <c r="AF89" i="4"/>
  <c r="AE89" i="4"/>
  <c r="AD89" i="4"/>
  <c r="AC89" i="4"/>
  <c r="AB89" i="4"/>
  <c r="AA89" i="4"/>
  <c r="Z89" i="4"/>
  <c r="Y89" i="4"/>
  <c r="X89" i="4"/>
  <c r="W89" i="4"/>
  <c r="V89" i="4"/>
  <c r="AH88" i="4"/>
  <c r="AG88" i="4"/>
  <c r="AF88" i="4"/>
  <c r="AE88" i="4"/>
  <c r="AD88" i="4"/>
  <c r="AC88" i="4"/>
  <c r="AB88" i="4"/>
  <c r="AA88" i="4"/>
  <c r="Z88" i="4"/>
  <c r="Y88" i="4"/>
  <c r="X88" i="4"/>
  <c r="W88" i="4"/>
  <c r="V88" i="4"/>
  <c r="AH87" i="4"/>
  <c r="AG87" i="4"/>
  <c r="AF87" i="4"/>
  <c r="AE87" i="4"/>
  <c r="AD87" i="4"/>
  <c r="AC87" i="4"/>
  <c r="AB87" i="4"/>
  <c r="AA87" i="4"/>
  <c r="Z87" i="4"/>
  <c r="Y87" i="4"/>
  <c r="X87" i="4"/>
  <c r="W87" i="4"/>
  <c r="V87" i="4"/>
  <c r="AH86" i="4"/>
  <c r="AG86" i="4"/>
  <c r="AF86" i="4"/>
  <c r="AE86" i="4"/>
  <c r="AD86" i="4"/>
  <c r="AC86" i="4"/>
  <c r="AB86" i="4"/>
  <c r="AA86" i="4"/>
  <c r="Z86" i="4"/>
  <c r="Y86" i="4"/>
  <c r="X86" i="4"/>
  <c r="W86" i="4"/>
  <c r="V86" i="4"/>
  <c r="AH85" i="4"/>
  <c r="AG85" i="4"/>
  <c r="AF85" i="4"/>
  <c r="AE85" i="4"/>
  <c r="AD85" i="4"/>
  <c r="AC85" i="4"/>
  <c r="AB85" i="4"/>
  <c r="AA85" i="4"/>
  <c r="Z85" i="4"/>
  <c r="Y85" i="4"/>
  <c r="X85" i="4"/>
  <c r="W85" i="4"/>
  <c r="V85" i="4"/>
  <c r="AH84" i="4"/>
  <c r="AG84" i="4"/>
  <c r="AF84" i="4"/>
  <c r="AE84" i="4"/>
  <c r="AD84" i="4"/>
  <c r="AC84" i="4"/>
  <c r="AB84" i="4"/>
  <c r="AA84" i="4"/>
  <c r="Z84" i="4"/>
  <c r="Y84" i="4"/>
  <c r="X84" i="4"/>
  <c r="W84" i="4"/>
  <c r="V84" i="4"/>
  <c r="AH83" i="4"/>
  <c r="AG83" i="4"/>
  <c r="AF83" i="4"/>
  <c r="AE83" i="4"/>
  <c r="AD83" i="4"/>
  <c r="AC83" i="4"/>
  <c r="AB83" i="4"/>
  <c r="AA83" i="4"/>
  <c r="Z83" i="4"/>
  <c r="Y83" i="4"/>
  <c r="X83" i="4"/>
  <c r="W83" i="4"/>
  <c r="V83" i="4"/>
  <c r="AH82" i="4"/>
  <c r="AG82" i="4"/>
  <c r="AF82" i="4"/>
  <c r="AE82" i="4"/>
  <c r="AD82" i="4"/>
  <c r="AC82" i="4"/>
  <c r="AB82" i="4"/>
  <c r="AA82" i="4"/>
  <c r="Z82" i="4"/>
  <c r="Y82" i="4"/>
  <c r="X82" i="4"/>
  <c r="W82" i="4"/>
  <c r="V82" i="4"/>
  <c r="AH81" i="4"/>
  <c r="AG81" i="4"/>
  <c r="AF81" i="4"/>
  <c r="AE81" i="4"/>
  <c r="AD81" i="4"/>
  <c r="AC81" i="4"/>
  <c r="AB81" i="4"/>
  <c r="AA81" i="4"/>
  <c r="Z81" i="4"/>
  <c r="Y81" i="4"/>
  <c r="X81" i="4"/>
  <c r="W81" i="4"/>
  <c r="V81" i="4"/>
  <c r="AH80" i="4"/>
  <c r="AG80" i="4"/>
  <c r="AF80" i="4"/>
  <c r="AE80" i="4"/>
  <c r="AD80" i="4"/>
  <c r="AC80" i="4"/>
  <c r="AB80" i="4"/>
  <c r="AA80" i="4"/>
  <c r="Z80" i="4"/>
  <c r="Y80" i="4"/>
  <c r="X80" i="4"/>
  <c r="W80" i="4"/>
  <c r="V80" i="4"/>
  <c r="AH79" i="4"/>
  <c r="AG79" i="4"/>
  <c r="AF79" i="4"/>
  <c r="AE79" i="4"/>
  <c r="AD79" i="4"/>
  <c r="AC79" i="4"/>
  <c r="AB79" i="4"/>
  <c r="AA79" i="4"/>
  <c r="Z79" i="4"/>
  <c r="Y79" i="4"/>
  <c r="X79" i="4"/>
  <c r="W79" i="4"/>
  <c r="V79" i="4"/>
  <c r="AH78" i="4"/>
  <c r="AG78" i="4"/>
  <c r="AF78" i="4"/>
  <c r="AE78" i="4"/>
  <c r="AD78" i="4"/>
  <c r="AC78" i="4"/>
  <c r="AB78" i="4"/>
  <c r="AA78" i="4"/>
  <c r="Z78" i="4"/>
  <c r="Y78" i="4"/>
  <c r="X78" i="4"/>
  <c r="W78" i="4"/>
  <c r="V78" i="4"/>
  <c r="AH77" i="4"/>
  <c r="AG77" i="4"/>
  <c r="AF77" i="4"/>
  <c r="AE77" i="4"/>
  <c r="AD77" i="4"/>
  <c r="AC77" i="4"/>
  <c r="AB77" i="4"/>
  <c r="AA77" i="4"/>
  <c r="Z77" i="4"/>
  <c r="Y77" i="4"/>
  <c r="X77" i="4"/>
  <c r="W77" i="4"/>
  <c r="V77" i="4"/>
  <c r="AH76" i="4"/>
  <c r="AG76" i="4"/>
  <c r="AF76" i="4"/>
  <c r="AE76" i="4"/>
  <c r="AD76" i="4"/>
  <c r="AC76" i="4"/>
  <c r="AB76" i="4"/>
  <c r="AA76" i="4"/>
  <c r="Z76" i="4"/>
  <c r="Y76" i="4"/>
  <c r="X76" i="4"/>
  <c r="W76" i="4"/>
  <c r="V76" i="4"/>
  <c r="AH75" i="4"/>
  <c r="AG75" i="4"/>
  <c r="AF75" i="4"/>
  <c r="AE75" i="4"/>
  <c r="AD75" i="4"/>
  <c r="AC75" i="4"/>
  <c r="AB75" i="4"/>
  <c r="AA75" i="4"/>
  <c r="Z75" i="4"/>
  <c r="Y75" i="4"/>
  <c r="X75" i="4"/>
  <c r="W75" i="4"/>
  <c r="V75" i="4"/>
  <c r="AH74" i="4"/>
  <c r="AG74" i="4"/>
  <c r="AF74" i="4"/>
  <c r="AE74" i="4"/>
  <c r="AD74" i="4"/>
  <c r="AC74" i="4"/>
  <c r="AB74" i="4"/>
  <c r="AA74" i="4"/>
  <c r="Z74" i="4"/>
  <c r="Y74" i="4"/>
  <c r="X74" i="4"/>
  <c r="W74" i="4"/>
  <c r="V74" i="4"/>
  <c r="AH73" i="4"/>
  <c r="AG73" i="4"/>
  <c r="AF73" i="4"/>
  <c r="AE73" i="4"/>
  <c r="AD73" i="4"/>
  <c r="AC73" i="4"/>
  <c r="AB73" i="4"/>
  <c r="AA73" i="4"/>
  <c r="Z73" i="4"/>
  <c r="Y73" i="4"/>
  <c r="X73" i="4"/>
  <c r="W73" i="4"/>
  <c r="V73" i="4"/>
  <c r="AH72" i="4"/>
  <c r="AG72" i="4"/>
  <c r="AF72" i="4"/>
  <c r="AE72" i="4"/>
  <c r="AD72" i="4"/>
  <c r="AC72" i="4"/>
  <c r="AB72" i="4"/>
  <c r="AA72" i="4"/>
  <c r="Z72" i="4"/>
  <c r="Y72" i="4"/>
  <c r="X72" i="4"/>
  <c r="W72" i="4"/>
  <c r="V72" i="4"/>
  <c r="AH71" i="4"/>
  <c r="AG71" i="4"/>
  <c r="AF71" i="4"/>
  <c r="AE71" i="4"/>
  <c r="AD71" i="4"/>
  <c r="AC71" i="4"/>
  <c r="AB71" i="4"/>
  <c r="AA71" i="4"/>
  <c r="Z71" i="4"/>
  <c r="Y71" i="4"/>
  <c r="X71" i="4"/>
  <c r="W71" i="4"/>
  <c r="V71" i="4"/>
  <c r="AH70" i="4"/>
  <c r="AG70" i="4"/>
  <c r="AF70" i="4"/>
  <c r="AE70" i="4"/>
  <c r="AD70" i="4"/>
  <c r="AC70" i="4"/>
  <c r="AB70" i="4"/>
  <c r="AA70" i="4"/>
  <c r="Z70" i="4"/>
  <c r="Y70" i="4"/>
  <c r="X70" i="4"/>
  <c r="W70" i="4"/>
  <c r="V70" i="4"/>
  <c r="AH69" i="4"/>
  <c r="AG69" i="4"/>
  <c r="AF69" i="4"/>
  <c r="AE69" i="4"/>
  <c r="AD69" i="4"/>
  <c r="AC69" i="4"/>
  <c r="AB69" i="4"/>
  <c r="AA69" i="4"/>
  <c r="Z69" i="4"/>
  <c r="Y69" i="4"/>
  <c r="X69" i="4"/>
  <c r="W69" i="4"/>
  <c r="V69" i="4"/>
  <c r="AH68" i="4"/>
  <c r="AG68" i="4"/>
  <c r="AF68" i="4"/>
  <c r="AE68" i="4"/>
  <c r="AD68" i="4"/>
  <c r="AC68" i="4"/>
  <c r="AB68" i="4"/>
  <c r="AA68" i="4"/>
  <c r="Z68" i="4"/>
  <c r="Y68" i="4"/>
  <c r="X68" i="4"/>
  <c r="W68" i="4"/>
  <c r="V68" i="4"/>
  <c r="AH67" i="4"/>
  <c r="AG67" i="4"/>
  <c r="AF67" i="4"/>
  <c r="AE67" i="4"/>
  <c r="AD67" i="4"/>
  <c r="AC67" i="4"/>
  <c r="AB67" i="4"/>
  <c r="AA67" i="4"/>
  <c r="Z67" i="4"/>
  <c r="Y67" i="4"/>
  <c r="X67" i="4"/>
  <c r="W67" i="4"/>
  <c r="V67" i="4"/>
  <c r="AH66" i="4"/>
  <c r="AG66" i="4"/>
  <c r="AF66" i="4"/>
  <c r="AE66" i="4"/>
  <c r="AD66" i="4"/>
  <c r="AC66" i="4"/>
  <c r="AB66" i="4"/>
  <c r="AA66" i="4"/>
  <c r="Z66" i="4"/>
  <c r="Y66" i="4"/>
  <c r="X66" i="4"/>
  <c r="W66" i="4"/>
  <c r="V66" i="4"/>
  <c r="AH65" i="4"/>
  <c r="AG65" i="4"/>
  <c r="AF65" i="4"/>
  <c r="AE65" i="4"/>
  <c r="AD65" i="4"/>
  <c r="AC65" i="4"/>
  <c r="AB65" i="4"/>
  <c r="AA65" i="4"/>
  <c r="Z65" i="4"/>
  <c r="Y65" i="4"/>
  <c r="X65" i="4"/>
  <c r="W65" i="4"/>
  <c r="V65" i="4"/>
  <c r="AH64" i="4"/>
  <c r="AG64" i="4"/>
  <c r="AF64" i="4"/>
  <c r="AE64" i="4"/>
  <c r="AD64" i="4"/>
  <c r="AC64" i="4"/>
  <c r="AB64" i="4"/>
  <c r="AA64" i="4"/>
  <c r="Z64" i="4"/>
  <c r="Y64" i="4"/>
  <c r="X64" i="4"/>
  <c r="W64" i="4"/>
  <c r="V64" i="4"/>
  <c r="AH63" i="4"/>
  <c r="AG63" i="4"/>
  <c r="AF63" i="4"/>
  <c r="AE63" i="4"/>
  <c r="AD63" i="4"/>
  <c r="AC63" i="4"/>
  <c r="AB63" i="4"/>
  <c r="AA63" i="4"/>
  <c r="Z63" i="4"/>
  <c r="Y63" i="4"/>
  <c r="X63" i="4"/>
  <c r="W63" i="4"/>
  <c r="V63" i="4"/>
  <c r="AH62" i="4"/>
  <c r="AG62" i="4"/>
  <c r="AF62" i="4"/>
  <c r="AE62" i="4"/>
  <c r="AD62" i="4"/>
  <c r="AC62" i="4"/>
  <c r="AB62" i="4"/>
  <c r="AA62" i="4"/>
  <c r="Z62" i="4"/>
  <c r="Y62" i="4"/>
  <c r="X62" i="4"/>
  <c r="W62" i="4"/>
  <c r="V62" i="4"/>
  <c r="AH61" i="4"/>
  <c r="AG61" i="4"/>
  <c r="AF61" i="4"/>
  <c r="AE61" i="4"/>
  <c r="AD61" i="4"/>
  <c r="AC61" i="4"/>
  <c r="AB61" i="4"/>
  <c r="AA61" i="4"/>
  <c r="Z61" i="4"/>
  <c r="Y61" i="4"/>
  <c r="X61" i="4"/>
  <c r="W61" i="4"/>
  <c r="V61" i="4"/>
  <c r="AH60" i="4"/>
  <c r="AG60" i="4"/>
  <c r="AF60" i="4"/>
  <c r="AE60" i="4"/>
  <c r="AD60" i="4"/>
  <c r="AC60" i="4"/>
  <c r="AB60" i="4"/>
  <c r="AA60" i="4"/>
  <c r="Z60" i="4"/>
  <c r="Y60" i="4"/>
  <c r="X60" i="4"/>
  <c r="W60" i="4"/>
  <c r="V60" i="4"/>
  <c r="AH59" i="4"/>
  <c r="AG59" i="4"/>
  <c r="AF59" i="4"/>
  <c r="AE59" i="4"/>
  <c r="AD59" i="4"/>
  <c r="AC59" i="4"/>
  <c r="AB59" i="4"/>
  <c r="AA59" i="4"/>
  <c r="Z59" i="4"/>
  <c r="Y59" i="4"/>
  <c r="X59" i="4"/>
  <c r="W59" i="4"/>
  <c r="V59" i="4"/>
  <c r="AH58" i="4"/>
  <c r="AG58" i="4"/>
  <c r="AF58" i="4"/>
  <c r="AE58" i="4"/>
  <c r="AD58" i="4"/>
  <c r="AC58" i="4"/>
  <c r="AB58" i="4"/>
  <c r="AA58" i="4"/>
  <c r="Z58" i="4"/>
  <c r="Y58" i="4"/>
  <c r="X58" i="4"/>
  <c r="W58" i="4"/>
  <c r="V58" i="4"/>
  <c r="AH57" i="4"/>
  <c r="AG57" i="4"/>
  <c r="AF57" i="4"/>
  <c r="AE57" i="4"/>
  <c r="AD57" i="4"/>
  <c r="AC57" i="4"/>
  <c r="AB57" i="4"/>
  <c r="AA57" i="4"/>
  <c r="Z57" i="4"/>
  <c r="Y57" i="4"/>
  <c r="X57" i="4"/>
  <c r="W57" i="4"/>
  <c r="V57" i="4"/>
  <c r="AH56" i="4"/>
  <c r="AG56" i="4"/>
  <c r="AF56" i="4"/>
  <c r="AE56" i="4"/>
  <c r="AD56" i="4"/>
  <c r="AC56" i="4"/>
  <c r="AB56" i="4"/>
  <c r="AA56" i="4"/>
  <c r="Z56" i="4"/>
  <c r="Y56" i="4"/>
  <c r="X56" i="4"/>
  <c r="W56" i="4"/>
  <c r="V56" i="4"/>
  <c r="AH55" i="4"/>
  <c r="AG55" i="4"/>
  <c r="AF55" i="4"/>
  <c r="AE55" i="4"/>
  <c r="AD55" i="4"/>
  <c r="AC55" i="4"/>
  <c r="AB55" i="4"/>
  <c r="AA55" i="4"/>
  <c r="Z55" i="4"/>
  <c r="Y55" i="4"/>
  <c r="X55" i="4"/>
  <c r="W55" i="4"/>
  <c r="V55" i="4"/>
  <c r="AH54" i="4"/>
  <c r="AG54" i="4"/>
  <c r="AF54" i="4"/>
  <c r="AE54" i="4"/>
  <c r="AD54" i="4"/>
  <c r="AC54" i="4"/>
  <c r="AB54" i="4"/>
  <c r="AA54" i="4"/>
  <c r="Z54" i="4"/>
  <c r="Y54" i="4"/>
  <c r="X54" i="4"/>
  <c r="W54" i="4"/>
  <c r="V54" i="4"/>
  <c r="AH53" i="4"/>
  <c r="AG53" i="4"/>
  <c r="AF53" i="4"/>
  <c r="AE53" i="4"/>
  <c r="AD53" i="4"/>
  <c r="AC53" i="4"/>
  <c r="AB53" i="4"/>
  <c r="AA53" i="4"/>
  <c r="Z53" i="4"/>
  <c r="Y53" i="4"/>
  <c r="X53" i="4"/>
  <c r="W53" i="4"/>
  <c r="V53" i="4"/>
  <c r="AE52" i="4"/>
  <c r="AB52" i="4"/>
  <c r="Y52" i="4"/>
  <c r="AH51" i="4"/>
  <c r="AH52" i="4" s="1"/>
  <c r="AG51" i="4"/>
  <c r="AG52" i="4" s="1"/>
  <c r="AF51" i="4"/>
  <c r="AF52" i="4" s="1"/>
  <c r="AE51" i="4"/>
  <c r="AD51" i="4"/>
  <c r="AD52" i="4" s="1"/>
  <c r="AC51" i="4"/>
  <c r="AC52" i="4" s="1"/>
  <c r="AB51" i="4"/>
  <c r="AA51" i="4"/>
  <c r="AA52" i="4" s="1"/>
  <c r="Z51" i="4"/>
  <c r="Z52" i="4" s="1"/>
  <c r="Y51" i="4"/>
  <c r="X51" i="4"/>
  <c r="X52" i="4" s="1"/>
  <c r="W51" i="4"/>
  <c r="W52" i="4" s="1"/>
  <c r="V51" i="4"/>
  <c r="V52" i="4" s="1"/>
  <c r="AH50" i="4"/>
  <c r="AG50" i="4"/>
  <c r="AF50" i="4"/>
  <c r="AE50" i="4"/>
  <c r="AD50" i="4"/>
  <c r="AC50" i="4"/>
  <c r="AB50" i="4"/>
  <c r="AA50" i="4"/>
  <c r="Z50" i="4"/>
  <c r="Y50" i="4"/>
  <c r="X50" i="4"/>
  <c r="W50" i="4"/>
  <c r="V50" i="4"/>
  <c r="AH49" i="4"/>
  <c r="AG49" i="4"/>
  <c r="AF49" i="4"/>
  <c r="AE49" i="4"/>
  <c r="AD49" i="4"/>
  <c r="AC49" i="4"/>
  <c r="AB49" i="4"/>
  <c r="AA49" i="4"/>
  <c r="Z49" i="4"/>
  <c r="Y49" i="4"/>
  <c r="X49" i="4"/>
  <c r="W49" i="4"/>
  <c r="V49" i="4"/>
  <c r="AH48" i="4"/>
  <c r="AG48" i="4"/>
  <c r="AF48" i="4"/>
  <c r="AE48" i="4"/>
  <c r="AD48" i="4"/>
  <c r="AC48" i="4"/>
  <c r="AB48" i="4"/>
  <c r="AA48" i="4"/>
  <c r="Z48" i="4"/>
  <c r="Y48" i="4"/>
  <c r="X48" i="4"/>
  <c r="W48" i="4"/>
  <c r="V48" i="4"/>
  <c r="AH47" i="4"/>
  <c r="AG47" i="4"/>
  <c r="AF47" i="4"/>
  <c r="AE47" i="4"/>
  <c r="AD47" i="4"/>
  <c r="AC47" i="4"/>
  <c r="AB47" i="4"/>
  <c r="AA47" i="4"/>
  <c r="Z47" i="4"/>
  <c r="Y47" i="4"/>
  <c r="X47" i="4"/>
  <c r="W47" i="4"/>
  <c r="V47" i="4"/>
  <c r="AH46" i="4"/>
  <c r="AG46" i="4"/>
  <c r="AF46" i="4"/>
  <c r="AE46" i="4"/>
  <c r="AD46" i="4"/>
  <c r="AC46" i="4"/>
  <c r="AB46" i="4"/>
  <c r="AA46" i="4"/>
  <c r="Z46" i="4"/>
  <c r="Y46" i="4"/>
  <c r="X46" i="4"/>
  <c r="W46" i="4"/>
  <c r="V46" i="4"/>
  <c r="AH45" i="4"/>
  <c r="AG45" i="4"/>
  <c r="AF45" i="4"/>
  <c r="AE45" i="4"/>
  <c r="AD45" i="4"/>
  <c r="AC45" i="4"/>
  <c r="AB45" i="4"/>
  <c r="AA45" i="4"/>
  <c r="Z45" i="4"/>
  <c r="Y45" i="4"/>
  <c r="X45" i="4"/>
  <c r="W45" i="4"/>
  <c r="V45" i="4"/>
  <c r="AH44" i="4"/>
  <c r="AG44" i="4"/>
  <c r="AF44" i="4"/>
  <c r="AE44" i="4"/>
  <c r="AD44" i="4"/>
  <c r="AC44" i="4"/>
  <c r="AB44" i="4"/>
  <c r="AA44" i="4"/>
  <c r="Z44" i="4"/>
  <c r="Y44" i="4"/>
  <c r="X44" i="4"/>
  <c r="W44" i="4"/>
  <c r="V44" i="4"/>
  <c r="AH43" i="4"/>
  <c r="AG43" i="4"/>
  <c r="AF43" i="4"/>
  <c r="AE43" i="4"/>
  <c r="AD43" i="4"/>
  <c r="AC43" i="4"/>
  <c r="AB43" i="4"/>
  <c r="AA43" i="4"/>
  <c r="Z43" i="4"/>
  <c r="Y43" i="4"/>
  <c r="X43" i="4"/>
  <c r="W43" i="4"/>
  <c r="V43" i="4"/>
  <c r="AH42" i="4"/>
  <c r="AG42" i="4"/>
  <c r="AF42" i="4"/>
  <c r="AE42" i="4"/>
  <c r="AD42" i="4"/>
  <c r="AC42" i="4"/>
  <c r="AB42" i="4"/>
  <c r="AA42" i="4"/>
  <c r="Z42" i="4"/>
  <c r="Y42" i="4"/>
  <c r="X42" i="4"/>
  <c r="W42" i="4"/>
  <c r="V42" i="4"/>
  <c r="AH41" i="4"/>
  <c r="AG41" i="4"/>
  <c r="AF41" i="4"/>
  <c r="AE41" i="4"/>
  <c r="AD41" i="4"/>
  <c r="AC41" i="4"/>
  <c r="AB41" i="4"/>
  <c r="AA41" i="4"/>
  <c r="Z41" i="4"/>
  <c r="Y41" i="4"/>
  <c r="X41" i="4"/>
  <c r="W41" i="4"/>
  <c r="V41" i="4"/>
  <c r="AH40" i="4"/>
  <c r="AG40" i="4"/>
  <c r="AF40" i="4"/>
  <c r="AE40" i="4"/>
  <c r="AD40" i="4"/>
  <c r="AC40" i="4"/>
  <c r="AB40" i="4"/>
  <c r="AA40" i="4"/>
  <c r="Z40" i="4"/>
  <c r="Y40" i="4"/>
  <c r="X40" i="4"/>
  <c r="W40" i="4"/>
  <c r="V40" i="4"/>
  <c r="AH39" i="4"/>
  <c r="AG39" i="4"/>
  <c r="AF39" i="4"/>
  <c r="AE39" i="4"/>
  <c r="AD39" i="4"/>
  <c r="AC39" i="4"/>
  <c r="AB39" i="4"/>
  <c r="AA39" i="4"/>
  <c r="Z39" i="4"/>
  <c r="Y39" i="4"/>
  <c r="X39" i="4"/>
  <c r="W39" i="4"/>
  <c r="V39" i="4"/>
  <c r="AH38" i="4"/>
  <c r="AG38" i="4"/>
  <c r="AF38" i="4"/>
  <c r="AE38" i="4"/>
  <c r="AD38" i="4"/>
  <c r="AC38" i="4"/>
  <c r="AB38" i="4"/>
  <c r="AA38" i="4"/>
  <c r="Z38" i="4"/>
  <c r="Y38" i="4"/>
  <c r="X38" i="4"/>
  <c r="W38" i="4"/>
  <c r="V38" i="4"/>
  <c r="AH37" i="4"/>
  <c r="AG37" i="4"/>
  <c r="AF37" i="4"/>
  <c r="AE37" i="4"/>
  <c r="AD37" i="4"/>
  <c r="AC37" i="4"/>
  <c r="AB37" i="4"/>
  <c r="AA37" i="4"/>
  <c r="Z37" i="4"/>
  <c r="Y37" i="4"/>
  <c r="X37" i="4"/>
  <c r="W37" i="4"/>
  <c r="V37" i="4"/>
  <c r="AH36" i="4"/>
  <c r="AG36" i="4"/>
  <c r="AF36" i="4"/>
  <c r="AE36" i="4"/>
  <c r="AD36" i="4"/>
  <c r="AC36" i="4"/>
  <c r="AB36" i="4"/>
  <c r="AA36" i="4"/>
  <c r="Z36" i="4"/>
  <c r="Y36" i="4"/>
  <c r="X36" i="4"/>
  <c r="W36" i="4"/>
  <c r="V36" i="4"/>
  <c r="AH35" i="4"/>
  <c r="AG35" i="4"/>
  <c r="AF35" i="4"/>
  <c r="AE35" i="4"/>
  <c r="AD35" i="4"/>
  <c r="AC35" i="4"/>
  <c r="AB35" i="4"/>
  <c r="AA35" i="4"/>
  <c r="Z35" i="4"/>
  <c r="Y35" i="4"/>
  <c r="X35" i="4"/>
  <c r="W35" i="4"/>
  <c r="V35" i="4"/>
  <c r="AH34" i="4"/>
  <c r="AG34" i="4"/>
  <c r="AF34" i="4"/>
  <c r="AE34" i="4"/>
  <c r="AD34" i="4"/>
  <c r="AC34" i="4"/>
  <c r="AB34" i="4"/>
  <c r="AA34" i="4"/>
  <c r="Z34" i="4"/>
  <c r="Y34" i="4"/>
  <c r="X34" i="4"/>
  <c r="W34" i="4"/>
  <c r="V34" i="4"/>
  <c r="AH33" i="4"/>
  <c r="AG33" i="4"/>
  <c r="AF33" i="4"/>
  <c r="AE33" i="4"/>
  <c r="AD33" i="4"/>
  <c r="AC33" i="4"/>
  <c r="AB33" i="4"/>
  <c r="AA33" i="4"/>
  <c r="Z33" i="4"/>
  <c r="Y33" i="4"/>
  <c r="X33" i="4"/>
  <c r="W33" i="4"/>
  <c r="V33" i="4"/>
  <c r="AH32" i="4"/>
  <c r="AG32" i="4"/>
  <c r="AF32" i="4"/>
  <c r="AE32" i="4"/>
  <c r="AD32" i="4"/>
  <c r="AC32" i="4"/>
  <c r="AB32" i="4"/>
  <c r="AA32" i="4"/>
  <c r="Z32" i="4"/>
  <c r="Y32" i="4"/>
  <c r="X32" i="4"/>
  <c r="W32" i="4"/>
  <c r="V32" i="4"/>
  <c r="AH31" i="4"/>
  <c r="AG31" i="4"/>
  <c r="AF31" i="4"/>
  <c r="AE31" i="4"/>
  <c r="AD31" i="4"/>
  <c r="AC31" i="4"/>
  <c r="AB31" i="4"/>
  <c r="AA31" i="4"/>
  <c r="Z31" i="4"/>
  <c r="Y31" i="4"/>
  <c r="X31" i="4"/>
  <c r="W31" i="4"/>
  <c r="V31" i="4"/>
  <c r="N20" i="4"/>
  <c r="M20" i="4"/>
  <c r="L20" i="4"/>
  <c r="K20" i="4"/>
  <c r="J20" i="4"/>
  <c r="I20" i="4"/>
  <c r="H20" i="4"/>
  <c r="G20" i="4"/>
  <c r="F20" i="4"/>
  <c r="E20" i="4"/>
  <c r="D20" i="4"/>
  <c r="C20" i="4"/>
  <c r="B20" i="4"/>
  <c r="N19" i="4"/>
  <c r="M19" i="4"/>
  <c r="L19" i="4"/>
  <c r="K19" i="4"/>
  <c r="J19" i="4"/>
  <c r="I19" i="4"/>
  <c r="H19" i="4"/>
  <c r="G19" i="4"/>
  <c r="F19" i="4"/>
  <c r="E19" i="4"/>
  <c r="D19" i="4"/>
  <c r="C19" i="4"/>
  <c r="B19" i="4"/>
  <c r="N18" i="4"/>
  <c r="M18" i="4"/>
  <c r="L18" i="4"/>
  <c r="K18" i="4"/>
  <c r="J18" i="4"/>
  <c r="I18" i="4"/>
  <c r="H18" i="4"/>
  <c r="G18" i="4"/>
  <c r="F18" i="4"/>
  <c r="E18" i="4"/>
  <c r="D18" i="4"/>
  <c r="C18" i="4"/>
  <c r="B18" i="4"/>
  <c r="N11" i="4"/>
  <c r="M11" i="4"/>
  <c r="L11" i="4"/>
  <c r="K11" i="4"/>
  <c r="J11" i="4"/>
  <c r="I11" i="4"/>
  <c r="H11" i="4"/>
  <c r="G11" i="4"/>
  <c r="F11" i="4"/>
  <c r="E11" i="4"/>
  <c r="D11" i="4"/>
  <c r="C11" i="4"/>
  <c r="B11" i="4"/>
  <c r="N10" i="4"/>
  <c r="M10" i="4"/>
  <c r="L10" i="4"/>
  <c r="K10" i="4"/>
  <c r="J10" i="4"/>
  <c r="I10" i="4"/>
  <c r="H10" i="4"/>
  <c r="G10" i="4"/>
  <c r="F10" i="4"/>
  <c r="E10" i="4"/>
  <c r="D10" i="4"/>
  <c r="C10" i="4"/>
  <c r="B10" i="4"/>
  <c r="N9" i="4"/>
  <c r="M9" i="4"/>
  <c r="L9" i="4"/>
  <c r="K9" i="4"/>
  <c r="J9" i="4"/>
  <c r="I9" i="4"/>
  <c r="H9" i="4"/>
  <c r="G9" i="4"/>
  <c r="F9" i="4"/>
  <c r="E9" i="4"/>
  <c r="D9" i="4"/>
  <c r="C9" i="4"/>
  <c r="B9" i="4"/>
  <c r="P3" i="4"/>
  <c r="M23" i="1"/>
  <c r="M22" i="1"/>
  <c r="B22" i="1"/>
  <c r="M21" i="1"/>
  <c r="U6" i="1" a="1"/>
  <c r="U6" i="1" s="1"/>
  <c r="B6" i="1" a="1"/>
  <c r="B6" i="1" s="1"/>
  <c r="Y5" i="1" l="1"/>
  <c r="B5" i="1" a="1"/>
  <c r="B5" i="1" s="1"/>
  <c r="AB5" i="1"/>
  <c r="O38" i="2"/>
  <c r="AC5" i="1"/>
  <c r="P38" i="2"/>
  <c r="AD5" i="1"/>
  <c r="Q38" i="2"/>
  <c r="S5" i="1"/>
  <c r="F38" i="2"/>
  <c r="AE5" i="1"/>
  <c r="R38" i="2"/>
  <c r="T5" i="1"/>
  <c r="G38" i="2"/>
  <c r="U5" i="1"/>
  <c r="H38" i="2"/>
  <c r="I38" i="2"/>
  <c r="V5" i="1"/>
  <c r="W5" i="1"/>
  <c r="J38" i="2"/>
  <c r="K38" i="2"/>
  <c r="X5" i="1"/>
  <c r="M38" i="2"/>
  <c r="Z5" i="1"/>
  <c r="P5" i="1"/>
  <c r="C38" i="2"/>
  <c r="Q5" i="1"/>
  <c r="D38" i="2"/>
  <c r="R5" i="1"/>
  <c r="E38" i="2"/>
  <c r="N38" i="2"/>
  <c r="AA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tc={C4F7F16B-80BF-4585-9DD8-D033503655B3}</author>
    <author>'Ana Lotuma Falefehi Ika</author>
    <author>Antonio Moeaki</author>
    <author>tc={963154D4-5BA1-4656-A6DC-1E1236381EA9}</author>
  </authors>
  <commentList>
    <comment ref="JC3" authorId="0" shapeId="0" xr:uid="{C4F7F16B-80BF-4585-9DD8-D033503655B3}">
      <text>
        <t xml:space="preserve">[Threaded comment]
Your version of Excel allows you to read this threaded comment; however, any edits to it will get removed if the file is opened in a newer version of Excel. Learn more: https://go.microsoft.com/fwlink/?linkid=870924
Comment:
    Tonga's official foreign reserves rose sharply in October 2025 by $42.3 million to $939.5 million, owing to inflows of official grants and remittances. This is equivalent to 10.9 months of imports cover, above the IMF's recommended threshold of 7.5 months. Similarly, the foreign reserves increased over the year by $41.3 million. </t>
      </text>
    </comment>
    <comment ref="EL4" authorId="1" shapeId="0" xr:uid="{A8E55D42-59B4-427E-BF00-F98E65F3F841}">
      <text>
        <r>
          <rPr>
            <b/>
            <sz val="9"/>
            <color indexed="81"/>
            <rFont val="Tahoma"/>
            <family val="2"/>
          </rPr>
          <t xml:space="preserve">aika:
</t>
        </r>
        <r>
          <rPr>
            <sz val="9"/>
            <color indexed="81"/>
            <rFont val="Tahoma"/>
            <family val="2"/>
          </rPr>
          <t xml:space="preserve">update using the new method started in Sept 2015 onwards
</t>
        </r>
      </text>
    </comment>
    <comment ref="JK13" authorId="2" shapeId="0" xr:uid="{E913A3AD-3EA7-49BD-86CE-C158B14DE5DA}">
      <text>
        <r>
          <rPr>
            <b/>
            <sz val="9"/>
            <color indexed="81"/>
            <rFont val="Tahoma"/>
            <family val="2"/>
          </rPr>
          <t>Antonio Moeaki:</t>
        </r>
        <r>
          <rPr>
            <sz val="9"/>
            <color indexed="81"/>
            <rFont val="Tahoma"/>
            <family val="2"/>
          </rPr>
          <t xml:space="preserve">
CPI consists of two main components: local goods and imported goods. These compnents are important for monitoring inflation trends, including annual inflation. Over the 12 months to June 2026, prices for both local and imported goods increased; however, the increase in imported goods prices were considerably higher than that of local goods. 13.1% for imported goods, 1.9% for local goods.</t>
        </r>
      </text>
    </comment>
    <comment ref="A17" authorId="3" shapeId="0" xr:uid="{963154D4-5BA1-4656-A6DC-1E1236381EA9}">
      <text>
        <t>[Threaded comment]
Your version of Excel allows you to read this threaded comment; however, any edits to it will get removed if the file is opened in a newer version of Excel. Learn more: https://go.microsoft.com/fwlink/?linkid=870924
Comment:
    These CPI indexes are a separate CPI calculation of all the imported categories</t>
      </text>
    </comment>
    <comment ref="HF21" authorId="2" shapeId="0" xr:uid="{A662EDF4-6DD3-4EC0-B7B9-B76428037F47}">
      <text>
        <r>
          <rPr>
            <b/>
            <sz val="9"/>
            <color indexed="81"/>
            <rFont val="Tahoma"/>
            <family val="2"/>
          </rPr>
          <t>Antonio Moeaki:</t>
        </r>
        <r>
          <rPr>
            <sz val="9"/>
            <color indexed="81"/>
            <rFont val="Tahoma"/>
            <family val="2"/>
          </rPr>
          <t xml:space="preserve">
</t>
        </r>
        <r>
          <rPr>
            <sz val="10"/>
            <color indexed="81"/>
            <rFont val="Tahoma"/>
            <family val="2"/>
          </rPr>
          <t>2021 rebasement uses the weights of September</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<sst xmlns="http://schemas.openxmlformats.org/spreadsheetml/2006/main" count="296" uniqueCount="173">
  <si>
    <t>Primary Sector</t>
  </si>
  <si>
    <t>Fishing</t>
  </si>
  <si>
    <t>Industrial Sector</t>
  </si>
  <si>
    <t>Manufacturing</t>
  </si>
  <si>
    <t>Electricity, water and waste</t>
  </si>
  <si>
    <t>Construction with PG</t>
  </si>
  <si>
    <t>Financial and insurance activities</t>
  </si>
  <si>
    <t>Real estate activities</t>
  </si>
  <si>
    <t>Ownership of dwellings</t>
  </si>
  <si>
    <t>Other real estate activities</t>
  </si>
  <si>
    <t>Professional, scientific and technical activities</t>
  </si>
  <si>
    <t>Administrative and support service activities</t>
  </si>
  <si>
    <t>Education</t>
  </si>
  <si>
    <t>Human health and social work activities</t>
  </si>
  <si>
    <t>Arts, entertainment and recreation</t>
  </si>
  <si>
    <t>Other service activities</t>
  </si>
  <si>
    <t>GDP at factor cost</t>
  </si>
  <si>
    <t>2011/12</t>
  </si>
  <si>
    <t>2012/13</t>
  </si>
  <si>
    <t>2013/14</t>
  </si>
  <si>
    <t>2014/15</t>
  </si>
  <si>
    <t>2015/16</t>
  </si>
  <si>
    <t>2016/17</t>
  </si>
  <si>
    <t>2017/18</t>
  </si>
  <si>
    <t>2018/19</t>
  </si>
  <si>
    <t>2019/20r</t>
  </si>
  <si>
    <t>2020/21</t>
  </si>
  <si>
    <t>2021/22</t>
  </si>
  <si>
    <t>2022/23</t>
  </si>
  <si>
    <t>2023/24f</t>
  </si>
  <si>
    <t>2024/25f</t>
  </si>
  <si>
    <t>2025/26f</t>
  </si>
  <si>
    <t>2026/27f</t>
  </si>
  <si>
    <t>2027/28f</t>
  </si>
  <si>
    <t>GDP at constant prices (2016/17 prices TOPm)</t>
  </si>
  <si>
    <t>11/12</t>
  </si>
  <si>
    <t>12/13</t>
  </si>
  <si>
    <t>13/14</t>
  </si>
  <si>
    <t>014/15</t>
  </si>
  <si>
    <t>15/16</t>
  </si>
  <si>
    <t>16/17</t>
  </si>
  <si>
    <t>17/18</t>
  </si>
  <si>
    <t>18/19</t>
  </si>
  <si>
    <t>19/20r</t>
  </si>
  <si>
    <t>20/21</t>
  </si>
  <si>
    <t>21/22</t>
  </si>
  <si>
    <t>22/23p</t>
  </si>
  <si>
    <t>23/24f</t>
  </si>
  <si>
    <t>24/25f</t>
  </si>
  <si>
    <t>25/26f</t>
  </si>
  <si>
    <t>26/27f</t>
  </si>
  <si>
    <t>27/28f</t>
  </si>
  <si>
    <t>Agriculture sector</t>
  </si>
  <si>
    <t>Mining and Quarrying</t>
  </si>
  <si>
    <t xml:space="preserve">Services </t>
  </si>
  <si>
    <t>Wholesale and retail</t>
  </si>
  <si>
    <t>Transport and stroage</t>
  </si>
  <si>
    <t>Accommodation and food services</t>
  </si>
  <si>
    <t xml:space="preserve">Information and communication </t>
  </si>
  <si>
    <t>Public adminitration and defence</t>
  </si>
  <si>
    <t>add taxes (VAT, excise)</t>
  </si>
  <si>
    <t>less subsidies on products</t>
  </si>
  <si>
    <t>GDP at market prices</t>
  </si>
  <si>
    <t xml:space="preserve">GDP growth </t>
  </si>
  <si>
    <t xml:space="preserve">IMF GDP </t>
  </si>
  <si>
    <t xml:space="preserve">NRBT </t>
  </si>
  <si>
    <t>Statistics</t>
  </si>
  <si>
    <t>Primary</t>
  </si>
  <si>
    <t>Secondary</t>
  </si>
  <si>
    <t>Tertiary</t>
  </si>
  <si>
    <t>Nominal GDP</t>
  </si>
  <si>
    <t>Real GDP</t>
  </si>
  <si>
    <t>FY2018</t>
  </si>
  <si>
    <t>FY2019</t>
  </si>
  <si>
    <t>FY2020</t>
  </si>
  <si>
    <t>FY2021</t>
  </si>
  <si>
    <t>FY2022</t>
  </si>
  <si>
    <t>FY2023</t>
  </si>
  <si>
    <t>FY2024</t>
  </si>
  <si>
    <t>FY2025</t>
  </si>
  <si>
    <t>FY2026</t>
  </si>
  <si>
    <t>FY2027</t>
  </si>
  <si>
    <t>FY2028</t>
  </si>
  <si>
    <t>FY2029</t>
  </si>
  <si>
    <t>MOF GDP</t>
  </si>
  <si>
    <t>Inflation</t>
  </si>
  <si>
    <t>Foreign Reserves</t>
  </si>
  <si>
    <t>Exports</t>
  </si>
  <si>
    <t>Imports</t>
  </si>
  <si>
    <t>Remmittances</t>
  </si>
  <si>
    <t>Total private</t>
  </si>
  <si>
    <t>Monetary Indicators</t>
  </si>
  <si>
    <t>2019/20</t>
  </si>
  <si>
    <t>470/68</t>
  </si>
  <si>
    <t>2023/24</t>
  </si>
  <si>
    <t>Housing</t>
  </si>
  <si>
    <t>Personal</t>
  </si>
  <si>
    <t>Business</t>
  </si>
  <si>
    <t>Agriculture</t>
  </si>
  <si>
    <t>Other</t>
  </si>
  <si>
    <t>Fiscal Indicators</t>
  </si>
  <si>
    <t>1998/99</t>
  </si>
  <si>
    <t>1999/00</t>
  </si>
  <si>
    <t>2000/01</t>
  </si>
  <si>
    <t>2001/02</t>
  </si>
  <si>
    <t>2002/03</t>
  </si>
  <si>
    <t>2003/04</t>
  </si>
  <si>
    <t>2004/05</t>
  </si>
  <si>
    <t>2005/06</t>
  </si>
  <si>
    <t>2006/07</t>
  </si>
  <si>
    <t>2007/08</t>
  </si>
  <si>
    <t>2008/09</t>
  </si>
  <si>
    <t>2009/10</t>
  </si>
  <si>
    <t>2010/11</t>
  </si>
  <si>
    <t>2024/25</t>
  </si>
  <si>
    <t>2025/26</t>
  </si>
  <si>
    <t>2026/27</t>
  </si>
  <si>
    <t>2027/28</t>
  </si>
  <si>
    <t>2028/29</t>
  </si>
  <si>
    <t>Remittances</t>
  </si>
  <si>
    <t>Import cover</t>
  </si>
  <si>
    <t xml:space="preserve">Import Cover </t>
  </si>
  <si>
    <t>AUD</t>
  </si>
  <si>
    <t>CAD</t>
  </si>
  <si>
    <t>CHF</t>
  </si>
  <si>
    <t>EUR</t>
  </si>
  <si>
    <t>FJD</t>
  </si>
  <si>
    <t>GBP</t>
  </si>
  <si>
    <t>JPY</t>
  </si>
  <si>
    <t>NZD</t>
  </si>
  <si>
    <t>SEK</t>
  </si>
  <si>
    <t>SGD</t>
  </si>
  <si>
    <t>USD</t>
  </si>
  <si>
    <t>WST</t>
  </si>
  <si>
    <t>CNY</t>
  </si>
  <si>
    <t>961,7</t>
  </si>
  <si>
    <t>CPI</t>
  </si>
  <si>
    <t>Component</t>
  </si>
  <si>
    <t>Imported</t>
  </si>
  <si>
    <t>Local</t>
  </si>
  <si>
    <t>Food and non-alcoholic beverages</t>
  </si>
  <si>
    <t>Alcohol beverages, tobacco and kava</t>
  </si>
  <si>
    <t>Clothing and footwear</t>
  </si>
  <si>
    <t>Housing, water, electricity and gas</t>
  </si>
  <si>
    <t>Furnishing, household equipment and hosehold maintenance</t>
  </si>
  <si>
    <t>Health</t>
  </si>
  <si>
    <t>Transportation</t>
  </si>
  <si>
    <t>Communications</t>
  </si>
  <si>
    <t>Recreation and culture</t>
  </si>
  <si>
    <t>Restaurants and hotels</t>
  </si>
  <si>
    <t>Misc. goods and services</t>
  </si>
  <si>
    <t>Annual Inflation rate</t>
  </si>
  <si>
    <t>Monthly inflation rate</t>
  </si>
  <si>
    <t>Imported (Composition)</t>
  </si>
  <si>
    <t>Local (Composition)</t>
  </si>
  <si>
    <t>PACCOICOP groups (proportion of all items)</t>
  </si>
  <si>
    <t>Imported inflation</t>
  </si>
  <si>
    <r>
      <t xml:space="preserve">Imported inflation </t>
    </r>
    <r>
      <rPr>
        <sz val="11"/>
        <color theme="4"/>
        <rFont val="Aptos Narrow"/>
        <family val="2"/>
        <scheme val="minor"/>
      </rPr>
      <t>(yoy)</t>
    </r>
  </si>
  <si>
    <r>
      <t xml:space="preserve">Local Inflation </t>
    </r>
    <r>
      <rPr>
        <sz val="11"/>
        <color theme="4"/>
        <rFont val="Aptos Narrow"/>
        <family val="2"/>
        <scheme val="minor"/>
      </rPr>
      <t>(yoy)</t>
    </r>
  </si>
  <si>
    <t>Monetary variables</t>
  </si>
  <si>
    <t>Year</t>
  </si>
  <si>
    <t>All items CPI</t>
  </si>
  <si>
    <t xml:space="preserve">Inflation </t>
  </si>
  <si>
    <t>Local inflation</t>
  </si>
  <si>
    <t>0..4263</t>
  </si>
  <si>
    <t>N/A</t>
  </si>
  <si>
    <t>NEER</t>
  </si>
  <si>
    <t>REER</t>
  </si>
  <si>
    <t>Broad money</t>
  </si>
  <si>
    <t>m3 used in 2017 before</t>
  </si>
  <si>
    <t>Import Prices</t>
  </si>
  <si>
    <t>Brent Oil Price</t>
  </si>
  <si>
    <t>Broad Money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</si>
</sst>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
    <numFmt numFmtId="165" formatCode="#,##0.0"/>
    <numFmt numFmtId="166" formatCode="_-* #,##0.0_-;\-* #,##0.0_-;_-* &quot;-&quot;??_-;_-@_-"/>
    <numFmt numFmtId="168" formatCode="_(* #,##0_);_(* \(#,##0\);_(* &quot;-&quot;??_);_(@_)"/>
  </numFmts>
  <fonts count="31" x14ac:knownFonts="1">
    <font>
      <sz val="11"/>
      <color theme="1"/>
      <name val="Aptos Narrow"/>
      <family val="2"/>
      <scheme val="minor"/>
    </font>
    <font>
      <sz val="11"/>
      <color theme="1"/>
      <name val="Aptos Narrow"/>
      <family val="2"/>
      <scheme val="minor"/>
    </font>
    <font>
      <b/>
      <sz val="11"/>
      <color theme="1"/>
      <name val="Aptos Narrow"/>
      <family val="2"/>
      <scheme val="minor"/>
    </font>
    <font>
      <sz val="10"/>
      <name val="Times New Roman"/>
      <family val="1"/>
    </font>
    <font>
      <b/>
      <sz val="12"/>
      <name val="Aptos Narrow"/>
      <family val="2"/>
      <scheme val="minor"/>
    </font>
    <font>
      <b/>
      <sz val="11"/>
      <name val="Aptos Narrow"/>
      <family val="2"/>
      <scheme val="minor"/>
    </font>
    <font>
      <b/>
      <sz val="12"/>
      <color indexed="8"/>
      <name val="Aptos Narrow"/>
      <family val="2"/>
      <scheme val="minor"/>
    </font>
    <font>
      <b/>
      <sz val="11"/>
      <color theme="4"/>
      <name val="Aptos Narrow"/>
      <family val="2"/>
      <scheme val="minor"/>
    </font>
    <font>
      <sz val="11"/>
      <color theme="2" tint="-0.499984740745262"/>
      <name val="Aptos Narrow"/>
      <family val="2"/>
      <scheme val="minor"/>
    </font>
    <font>
      <sz val="10"/>
      <color theme="1"/>
      <name val="Times New Roman"/>
      <family val="2"/>
    </font>
    <font>
      <sz val="8"/>
      <name val="Aptos Narrow"/>
      <family val="2"/>
      <scheme val="minor"/>
    </font>
    <font>
      <b/>
      <sz val="18"/>
      <color theme="0"/>
      <name val="Aptos Narrow"/>
      <family val="2"/>
      <scheme val="minor"/>
    </font>
    <font>
      <sz val="12"/>
      <name val="Aptos Narrow"/>
      <family val="2"/>
      <scheme val="minor"/>
    </font>
    <font>
      <sz val="12"/>
      <color rgb="FFFF0000"/>
      <name val="Aptos Narrow"/>
      <family val="2"/>
      <scheme val="minor"/>
    </font>
    <font>
      <b/>
      <sz val="12"/>
      <color theme="1"/>
      <name val="Aptos Narrow"/>
      <family val="2"/>
      <scheme val="minor"/>
    </font>
    <font>
      <b/>
      <sz val="9"/>
      <color indexed="81"/>
      <name val="Tahoma"/>
      <family val="2"/>
    </font>
    <font>
      <sz val="9"/>
      <color indexed="81"/>
      <name val="Tahoma"/>
      <family val="2"/>
    </font>
    <font>
      <b/>
      <sz val="10"/>
      <color rgb="FF000000"/>
      <name val="Segoe UI"/>
      <family val="2"/>
    </font>
    <font>
      <sz val="10"/>
      <color rgb="FF000000"/>
      <name val="Segoe UI"/>
      <family val="2"/>
    </font>
    <font>
      <sz val="11"/>
      <color indexed="8"/>
      <name val="Aptos Narrow"/>
      <family val="2"/>
    </font>
    <font>
      <sz val="12"/>
      <color theme="1"/>
      <name val="Calibri"/>
      <family val="2"/>
    </font>
    <font>
      <sz val="11"/>
      <color theme="1"/>
      <name val="Aptos Narrow"/>
      <family val="2"/>
    </font>
    <font>
      <sz val="11"/>
      <color theme="4"/>
      <name val="Aptos Narrow"/>
      <family val="2"/>
      <scheme val="minor"/>
    </font>
    <font>
      <b/>
      <sz val="12"/>
      <color theme="1"/>
      <name val="Calibri"/>
      <family val="2"/>
    </font>
    <font>
      <sz val="10"/>
      <color indexed="81"/>
      <name val="Tahoma"/>
      <family val="2"/>
    </font>
    <font>
      <b/>
      <sz val="11"/>
      <color indexed="8"/>
      <name val="Aptos Narrow"/>
      <family val="2"/>
    </font>
    <font>
      <b/>
      <sz val="10"/>
      <color theme="0"/>
      <name val="Segoe UI"/>
      <family val="2"/>
    </font>
    <font>
      <sz val="10"/>
      <color theme="0"/>
      <name val="Segoe UI"/>
      <family val="2"/>
    </font>
    <font>
      <sz val="10"/>
      <name val="Segoe UI"/>
      <family val="2"/>
    </font>
    <font>
      <b/>
      <sz val="11"/>
      <color rgb="FFF22A3D"/>
      <name val="Aptos Narrow"/>
      <family val="2"/>
      <scheme val="minor"/>
    </font>
    <font>
      <sz val="11"/>
      <name val="Segoe"/>
    </font>
  </fonts>
  <fills count="19">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6"/>
        <bgColor indexed="64"/>
      </patternFill>
    </fill>
    <fill>
      <patternFill patternType="solid">
        <fgColor theme="0"/>
        <bgColor indexed="64"/>
      </patternFill>
    </fill>
    <fill>
      <patternFill patternType="solid">
        <fgColor theme="4" tint="0.39997558519241921"/>
        <bgColor indexed="64"/>
      </patternFill>
    </fill>
    <fill>
      <patternFill patternType="solid">
        <fgColor theme="3" tint="0.89999084444715716"/>
        <bgColor indexed="64"/>
      </patternFill>
    </fill>
    <fill>
      <patternFill patternType="solid">
        <fgColor theme="4"/>
        <bgColor indexed="64"/>
      </patternFill>
    </fill>
    <fill>
      <patternFill patternType="solid">
        <fgColor theme="2"/>
        <bgColor indexed="64"/>
      </patternFill>
    </fill>
    <fill>
      <patternFill patternType="solid">
        <fgColor theme="5" tint="0.79998168889431442"/>
        <bgColor indexed="64"/>
      </patternFill>
    </fill>
    <fill>
      <patternFill patternType="solid">
        <fgColor rgb="FFFFFFFF"/>
        <bgColor rgb="FF000000"/>
      </patternFill>
    </fill>
    <fill>
      <patternFill patternType="solid">
        <fgColor theme="0" tint="-0.14999847407452621"/>
        <bgColor rgb="FF000000"/>
      </patternFill>
    </fill>
    <fill>
      <patternFill patternType="solid">
        <fgColor rgb="FFF22A3D"/>
        <bgColor indexed="64"/>
      </patternFill>
    </fill>
    <fill>
      <patternFill patternType="solid">
        <fgColor theme="9"/>
        <bgColor indexed="64"/>
      </patternFill>
    </fill>
    <fill>
      <patternFill patternType="solid">
        <fgColor theme="5"/>
        <bgColor rgb="FF000000"/>
      </patternFill>
    </fill>
    <fill>
      <patternFill patternType="solid">
        <fgColor theme="5"/>
        <bgColor indexed="64"/>
      </patternFill>
    </fill>
    <fill>
      <patternFill patternType="solid">
        <fgColor theme="9"/>
        <bgColor rgb="FF000000"/>
      </patternFill>
    </fill>
    <fill>
      <patternFill patternType="solid">
        <fgColor rgb="FFFFC000"/>
        <bgColor indexed="64"/>
      </patternFill>
    </fill>
  </fills>
  <borders count="15">
    <border>
      <left/>
      <right/>
      <top/>
      <bottom/>
      <diagonal/>
    </border>
    <border>
      <left/>
      <right/>
      <top style="thin">
        <color auto="1"/>
      </top>
      <bottom style="medium">
        <color auto="1"/>
      </bottom>
      <diagonal/>
    </border>
    <border>
      <left/>
      <right style="thin">
        <color auto="1"/>
      </right>
      <top/>
      <bottom/>
      <diagonal/>
    </border>
    <border>
      <left/>
      <right/>
      <top/>
      <bottom style="thin">
        <color indexed="64"/>
      </bottom>
      <diagonal/>
    </border>
    <border>
      <left/>
      <right/>
      <top style="thin">
        <color indexed="64"/>
      </top>
      <bottom style="double">
        <color indexed="64"/>
      </bottom>
      <diagonal/>
    </border>
    <border>
      <left/>
      <right/>
      <top style="thin">
        <color indexed="64"/>
      </top>
      <bottom style="thin">
        <color indexed="64"/>
      </bottom>
      <diagonal/>
    </border>
    <border>
      <left/>
      <right/>
      <top style="thin">
        <color auto="1"/>
      </top>
      <bottom/>
      <diagonal/>
    </border>
    <border>
      <left/>
      <right style="thin">
        <color indexed="64"/>
      </right>
      <top style="thin">
        <color auto="1"/>
      </top>
      <bottom/>
      <diagonal/>
    </border>
    <border>
      <left/>
      <right/>
      <top/>
      <bottom style="medium">
        <color auto="1"/>
      </bottom>
      <diagonal/>
    </border>
    <border>
      <left style="thin">
        <color theme="0" tint="-0.14996795556505021"/>
      </left>
      <right style="thin">
        <color theme="0" tint="-0.14996795556505021"/>
      </right>
      <top/>
      <bottom style="medium">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0" borderId="0"/>
    <xf numFmtId="0" fontId="3" fillId="0" borderId="0"/>
    <xf numFmtId="43" fontId="1" fillId="0" borderId="0" applyFont="0" applyFill="0" applyBorder="0" applyAlignment="0" applyProtection="0"/>
    <xf numFmtId="43" fontId="3" fillId="0" borderId="0" applyFont="0" applyFill="0" applyBorder="0" applyAlignment="0" applyProtection="0"/>
    <xf numFmtId="0" fontId="9" fillId="0" borderId="0"/>
    <xf numFmtId="43" fontId="1" fillId="0" borderId="0" applyFont="0" applyFill="0" applyBorder="0" applyAlignment="0" applyProtection="0"/>
  </cellStyleXfs>
  <cellXfs count="152">
    <xf numFmtId="0" fontId="0" fillId="0" borderId="0" xfId="0"/>
    <xf numFmtId="0" fontId="2" fillId="2" borderId="3" xfId="0" applyFont="1" applyFill="1" applyBorder="1" applyAlignment="1">
      <alignment horizontal="right" vertical="center"/>
    </xf>
    <xf numFmtId="0" fontId="2" fillId="2" borderId="0" xfId="0" applyFont="1" applyFill="1" applyAlignment="1">
      <alignment horizontal="right" vertical="center"/>
    </xf>
    <xf numFmtId="0" fontId="2" fillId="0" borderId="0" xfId="0" applyFont="1" applyAlignment="1">
      <alignment horizontal="right" vertical="center"/>
    </xf>
    <xf numFmtId="0" fontId="5" fillId="0" borderId="0" xfId="0" applyFont="1" applyAlignment="1">
      <alignment horizontal="right" vertical="center"/>
    </xf>
    <xf numFmtId="0" fontId="2" fillId="0" borderId="2" xfId="0" applyFont="1" applyBorder="1" applyAlignment="1">
      <alignment horizontal="right" vertical="center"/>
    </xf>
    <xf numFmtId="0" fontId="2" fillId="3" borderId="0" xfId="0" applyFont="1" applyFill="1" applyAlignment="1">
      <alignment horizontal="right" vertical="center"/>
    </xf>
    <xf numFmtId="0" fontId="5" fillId="3" borderId="0" xfId="0" applyFont="1" applyFill="1" applyAlignment="1">
      <alignment horizontal="right" vertical="center"/>
    </xf>
    <xf numFmtId="0" fontId="5" fillId="4" borderId="0" xfId="0" applyFont="1" applyFill="1" applyAlignment="1">
      <alignment horizontal="right" vertical="center"/>
    </xf>
    <xf numFmtId="0" fontId="7" fillId="0" borderId="0" xfId="0" applyFont="1"/>
    <xf numFmtId="2" fontId="0" fillId="0" borderId="0" xfId="0" applyNumberFormat="1"/>
    <xf numFmtId="0" fontId="0" fillId="0" borderId="0" xfId="0" applyAlignment="1">
      <alignment horizontal="left" indent="3"/>
    </xf>
    <xf numFmtId="164" fontId="0" fillId="0" borderId="0" xfId="0" applyNumberFormat="1"/>
    <xf numFmtId="0" fontId="0" fillId="0" borderId="0" xfId="0" applyAlignment="1">
      <alignment horizontal="left" indent="4"/>
    </xf>
    <xf numFmtId="164" fontId="8" fillId="0" borderId="0" xfId="0" applyNumberFormat="1" applyFont="1"/>
    <xf numFmtId="0" fontId="0" fillId="0" borderId="4" xfId="0" applyBorder="1"/>
    <xf numFmtId="0" fontId="2" fillId="0" borderId="1" xfId="0" applyFont="1" applyBorder="1" applyAlignment="1">
      <alignment horizontal="left" indent="1"/>
    </xf>
    <xf numFmtId="164" fontId="0" fillId="0" borderId="1" xfId="0" applyNumberFormat="1" applyBorder="1"/>
    <xf numFmtId="0" fontId="2" fillId="0" borderId="5" xfId="0" applyFont="1" applyBorder="1"/>
    <xf numFmtId="164" fontId="2" fillId="0" borderId="5" xfId="0" applyNumberFormat="1" applyFont="1" applyBorder="1"/>
    <xf numFmtId="0" fontId="6" fillId="0" borderId="6" xfId="1" quotePrefix="1" applyFont="1" applyBorder="1" applyAlignment="1" applyProtection="1">
      <alignment vertical="top"/>
      <protection locked="0"/>
    </xf>
    <xf numFmtId="0" fontId="6" fillId="0" borderId="6" xfId="1" applyFont="1" applyBorder="1" applyAlignment="1" applyProtection="1">
      <alignment vertical="top"/>
      <protection locked="0"/>
    </xf>
    <xf numFmtId="0" fontId="4" fillId="0" borderId="6" xfId="1" applyFont="1" applyBorder="1" applyAlignment="1" applyProtection="1">
      <alignment vertical="top"/>
      <protection locked="0"/>
    </xf>
    <xf numFmtId="0" fontId="6" fillId="0" borderId="7" xfId="1" applyFont="1" applyBorder="1" applyAlignment="1" applyProtection="1">
      <alignment vertical="top"/>
      <protection locked="0"/>
    </xf>
    <xf numFmtId="0" fontId="6" fillId="3" borderId="6" xfId="1" applyFont="1" applyFill="1" applyBorder="1" applyAlignment="1" applyProtection="1">
      <alignment vertical="top"/>
      <protection locked="0"/>
    </xf>
    <xf numFmtId="0" fontId="4" fillId="3" borderId="6" xfId="1" applyFont="1" applyFill="1" applyBorder="1" applyAlignment="1" applyProtection="1">
      <alignment horizontal="right"/>
      <protection locked="0"/>
    </xf>
    <xf numFmtId="0" fontId="4" fillId="4" borderId="6" xfId="1" applyFont="1" applyFill="1" applyBorder="1" applyAlignment="1" applyProtection="1">
      <alignment horizontal="right"/>
      <protection locked="0"/>
    </xf>
    <xf numFmtId="0" fontId="7" fillId="0" borderId="1" xfId="0" applyFont="1" applyBorder="1"/>
    <xf numFmtId="164" fontId="0" fillId="0" borderId="6" xfId="0" applyNumberFormat="1" applyBorder="1"/>
    <xf numFmtId="0" fontId="6" fillId="6" borderId="0" xfId="1" applyFont="1" applyFill="1" applyAlignment="1" applyProtection="1">
      <alignment vertical="top"/>
      <protection locked="0"/>
    </xf>
    <xf numFmtId="0" fontId="6" fillId="6" borderId="0" xfId="1" quotePrefix="1" applyFont="1" applyFill="1" applyAlignment="1" applyProtection="1">
      <alignment vertical="top"/>
      <protection locked="0"/>
    </xf>
    <xf numFmtId="0" fontId="0" fillId="5" borderId="0" xfId="0" applyFill="1"/>
    <xf numFmtId="0" fontId="4" fillId="6" borderId="0" xfId="1" applyFont="1" applyFill="1" applyAlignment="1" applyProtection="1">
      <alignment vertical="top"/>
      <protection locked="0"/>
    </xf>
    <xf numFmtId="0" fontId="6" fillId="6" borderId="2" xfId="1" applyFont="1" applyFill="1" applyBorder="1" applyAlignment="1" applyProtection="1">
      <alignment vertical="top"/>
      <protection locked="0"/>
    </xf>
    <xf numFmtId="0" fontId="4" fillId="6" borderId="0" xfId="1" applyFont="1" applyFill="1" applyAlignment="1" applyProtection="1">
      <alignment horizontal="right"/>
      <protection locked="0"/>
    </xf>
    <xf numFmtId="0" fontId="7" fillId="7" borderId="1" xfId="0" applyFont="1" applyFill="1" applyBorder="1"/>
    <xf numFmtId="2" fontId="7" fillId="7" borderId="1" xfId="0" applyNumberFormat="1" applyFont="1" applyFill="1" applyBorder="1"/>
    <xf numFmtId="0" fontId="0" fillId="7" borderId="0" xfId="0" applyFill="1"/>
    <xf numFmtId="165" fontId="2" fillId="7" borderId="0" xfId="0" applyNumberFormat="1" applyFont="1" applyFill="1"/>
    <xf numFmtId="4" fontId="2" fillId="7" borderId="0" xfId="0" applyNumberFormat="1" applyFont="1" applyFill="1"/>
    <xf numFmtId="0" fontId="7" fillId="7" borderId="0" xfId="0" applyFont="1" applyFill="1"/>
    <xf numFmtId="2" fontId="7" fillId="7" borderId="0" xfId="0" applyNumberFormat="1" applyFont="1" applyFill="1"/>
    <xf numFmtId="0" fontId="0" fillId="0" borderId="0" xfId="0" applyAlignment="1">
      <alignment vertical="center"/>
    </xf>
    <xf numFmtId="0" fontId="11" fillId="8" borderId="0" xfId="0" applyFont="1" applyFill="1" applyAlignment="1">
      <alignment horizontal="left" vertical="center" wrapText="1"/>
    </xf>
    <xf numFmtId="2" fontId="4" fillId="0" borderId="8" xfId="0" applyNumberFormat="1" applyFont="1" applyBorder="1" applyAlignment="1">
      <alignment horizontal="center" wrapText="1"/>
    </xf>
    <xf numFmtId="2" fontId="4" fillId="9" borderId="8" xfId="0" applyNumberFormat="1" applyFont="1" applyFill="1" applyBorder="1" applyAlignment="1">
      <alignment horizontal="center" wrapText="1"/>
    </xf>
    <xf numFmtId="2" fontId="4" fillId="5" borderId="9" xfId="0" applyNumberFormat="1" applyFont="1" applyFill="1" applyBorder="1" applyAlignment="1">
      <alignment horizontal="center" wrapText="1"/>
    </xf>
    <xf numFmtId="14" fontId="4" fillId="5" borderId="9" xfId="0" applyNumberFormat="1" applyFont="1" applyFill="1" applyBorder="1" applyAlignment="1">
      <alignment horizontal="center" wrapText="1"/>
    </xf>
    <xf numFmtId="166" fontId="12" fillId="0" borderId="0" xfId="0" applyNumberFormat="1" applyFont="1" applyAlignment="1">
      <alignment horizontal="right"/>
    </xf>
    <xf numFmtId="166" fontId="12" fillId="0" borderId="0" xfId="5" applyNumberFormat="1" applyFont="1" applyAlignment="1">
      <alignment horizontal="right"/>
    </xf>
    <xf numFmtId="166" fontId="12" fillId="0" borderId="2" xfId="5" applyNumberFormat="1" applyFont="1" applyBorder="1" applyAlignment="1">
      <alignment horizontal="right"/>
    </xf>
    <xf numFmtId="166" fontId="12" fillId="0" borderId="0" xfId="5" applyNumberFormat="1" applyFont="1" applyAlignment="1">
      <alignment horizontal="right" vertical="center"/>
    </xf>
    <xf numFmtId="166" fontId="13" fillId="0" borderId="0" xfId="5" applyNumberFormat="1" applyFont="1" applyAlignment="1">
      <alignment horizontal="right" vertical="center"/>
    </xf>
    <xf numFmtId="166" fontId="13" fillId="0" borderId="0" xfId="5" applyNumberFormat="1" applyFont="1"/>
    <xf numFmtId="166" fontId="0" fillId="0" borderId="0" xfId="5" applyNumberFormat="1" applyFont="1"/>
    <xf numFmtId="17" fontId="14" fillId="0" borderId="1" xfId="0" applyNumberFormat="1" applyFont="1" applyBorder="1"/>
    <xf numFmtId="17" fontId="14" fillId="0" borderId="10" xfId="0" applyNumberFormat="1" applyFont="1" applyBorder="1"/>
    <xf numFmtId="17" fontId="14" fillId="0" borderId="11" xfId="0" applyNumberFormat="1" applyFont="1" applyBorder="1"/>
    <xf numFmtId="166" fontId="12" fillId="0" borderId="0" xfId="5" applyNumberFormat="1" applyFont="1"/>
    <xf numFmtId="166" fontId="12" fillId="0" borderId="0" xfId="0" applyNumberFormat="1" applyFont="1"/>
    <xf numFmtId="43" fontId="12" fillId="0" borderId="0" xfId="5" applyFont="1"/>
    <xf numFmtId="0" fontId="13" fillId="0" borderId="0" xfId="0" applyFont="1"/>
    <xf numFmtId="0" fontId="13" fillId="0" borderId="0" xfId="0" applyFont="1" applyAlignment="1">
      <alignment horizontal="right"/>
    </xf>
    <xf numFmtId="0" fontId="0" fillId="10" borderId="0" xfId="0" applyFill="1"/>
    <xf numFmtId="0" fontId="2" fillId="10" borderId="0" xfId="0" applyFont="1" applyFill="1"/>
    <xf numFmtId="0" fontId="0" fillId="10" borderId="3" xfId="0" applyFill="1" applyBorder="1"/>
    <xf numFmtId="0" fontId="0" fillId="0" borderId="6" xfId="0" applyBorder="1"/>
    <xf numFmtId="166" fontId="12" fillId="5" borderId="0" xfId="0" applyNumberFormat="1" applyFont="1" applyFill="1" applyAlignment="1">
      <alignment horizontal="right"/>
    </xf>
    <xf numFmtId="166" fontId="12" fillId="5" borderId="0" xfId="5" applyNumberFormat="1" applyFont="1" applyFill="1" applyAlignment="1">
      <alignment horizontal="right"/>
    </xf>
    <xf numFmtId="166" fontId="12" fillId="5" borderId="0" xfId="5" applyNumberFormat="1" applyFont="1" applyFill="1" applyBorder="1" applyAlignment="1">
      <alignment horizontal="right"/>
    </xf>
    <xf numFmtId="166" fontId="12" fillId="5" borderId="0" xfId="5" applyNumberFormat="1" applyFont="1" applyFill="1" applyAlignment="1">
      <alignment horizontal="right" vertical="center"/>
    </xf>
    <xf numFmtId="166" fontId="13" fillId="5" borderId="0" xfId="5" applyNumberFormat="1" applyFont="1" applyFill="1" applyAlignment="1">
      <alignment horizontal="right" vertical="center"/>
    </xf>
    <xf numFmtId="164" fontId="12" fillId="0" borderId="0" xfId="0" applyNumberFormat="1" applyFont="1"/>
    <xf numFmtId="2" fontId="12" fillId="0" borderId="0" xfId="0" applyNumberFormat="1" applyFont="1"/>
    <xf numFmtId="0" fontId="17" fillId="11" borderId="2" xfId="0" applyFont="1" applyFill="1" applyBorder="1" applyAlignment="1">
      <alignment horizontal="right" vertical="center" indent="2"/>
    </xf>
    <xf numFmtId="0" fontId="17" fillId="11" borderId="12" xfId="0" applyFont="1" applyFill="1" applyBorder="1" applyAlignment="1">
      <alignment horizontal="center" vertical="center"/>
    </xf>
    <xf numFmtId="17" fontId="18" fillId="11" borderId="13" xfId="0" applyNumberFormat="1" applyFont="1" applyFill="1" applyBorder="1" applyAlignment="1">
      <alignment horizontal="right" vertical="center" indent="1"/>
    </xf>
    <xf numFmtId="0" fontId="18" fillId="11" borderId="14" xfId="0" applyFont="1" applyFill="1" applyBorder="1" applyAlignment="1">
      <alignment horizontal="center" vertical="center"/>
    </xf>
    <xf numFmtId="166" fontId="0" fillId="0" borderId="0" xfId="0" applyNumberFormat="1"/>
    <xf numFmtId="166" fontId="0" fillId="0" borderId="0" xfId="0" applyNumberFormat="1" applyAlignment="1">
      <alignment horizontal="center"/>
    </xf>
    <xf numFmtId="166" fontId="0" fillId="0" borderId="0" xfId="0" applyNumberFormat="1" applyAlignment="1">
      <alignment horizontal="right"/>
    </xf>
    <xf numFmtId="0" fontId="2" fillId="10" borderId="0" xfId="0" applyFont="1" applyFill="1" applyAlignment="1">
      <alignment horizontal="left" indent="1"/>
    </xf>
    <xf numFmtId="0" fontId="0" fillId="10" borderId="0" xfId="0" applyFill="1" applyAlignment="1">
      <alignment horizontal="left" indent="2"/>
    </xf>
    <xf numFmtId="0" fontId="0" fillId="10" borderId="0" xfId="0" applyFill="1" applyAlignment="1">
      <alignment horizontal="left" wrapText="1" indent="2"/>
    </xf>
    <xf numFmtId="0" fontId="2" fillId="5" borderId="0" xfId="0" applyFont="1" applyFill="1"/>
    <xf numFmtId="0" fontId="21" fillId="0" borderId="0" xfId="0" applyFont="1"/>
    <xf numFmtId="164" fontId="0" fillId="7" borderId="0" xfId="0" applyNumberFormat="1" applyFill="1"/>
    <xf numFmtId="166" fontId="20" fillId="3" borderId="0" xfId="5" applyNumberFormat="1" applyFont="1" applyFill="1" applyBorder="1"/>
    <xf numFmtId="166" fontId="20" fillId="3" borderId="0" xfId="0" applyNumberFormat="1" applyFont="1" applyFill="1"/>
    <xf numFmtId="166" fontId="20" fillId="3" borderId="0" xfId="0" applyNumberFormat="1" applyFont="1" applyFill="1" applyAlignment="1">
      <alignment horizontal="right"/>
    </xf>
    <xf numFmtId="164" fontId="20" fillId="3" borderId="0" xfId="0" applyNumberFormat="1" applyFont="1" applyFill="1"/>
    <xf numFmtId="0" fontId="20" fillId="3" borderId="0" xfId="0" applyFont="1" applyFill="1"/>
    <xf numFmtId="0" fontId="0" fillId="3" borderId="0" xfId="0" applyFill="1"/>
    <xf numFmtId="166" fontId="20" fillId="12" borderId="0" xfId="0" applyNumberFormat="1" applyFont="1" applyFill="1"/>
    <xf numFmtId="166" fontId="0" fillId="9" borderId="0" xfId="5" applyNumberFormat="1" applyFont="1" applyFill="1"/>
    <xf numFmtId="0" fontId="0" fillId="9" borderId="0" xfId="0" applyFill="1"/>
    <xf numFmtId="166" fontId="12" fillId="9" borderId="0" xfId="0" applyNumberFormat="1" applyFont="1" applyFill="1" applyAlignment="1">
      <alignment horizontal="right"/>
    </xf>
    <xf numFmtId="166" fontId="19" fillId="9" borderId="0" xfId="0" applyNumberFormat="1" applyFont="1" applyFill="1" applyAlignment="1">
      <alignment horizontal="center"/>
    </xf>
    <xf numFmtId="166" fontId="0" fillId="9" borderId="0" xfId="0" applyNumberFormat="1" applyFill="1"/>
    <xf numFmtId="166" fontId="0" fillId="9" borderId="0" xfId="0" applyNumberFormat="1" applyFill="1" applyAlignment="1">
      <alignment horizontal="center"/>
    </xf>
    <xf numFmtId="164" fontId="0" fillId="9" borderId="0" xfId="0" applyNumberFormat="1" applyFill="1"/>
    <xf numFmtId="166" fontId="13" fillId="0" borderId="0" xfId="5" applyNumberFormat="1" applyFont="1" applyFill="1" applyAlignment="1">
      <alignment horizontal="right" vertical="center"/>
    </xf>
    <xf numFmtId="166" fontId="12" fillId="0" borderId="0" xfId="5" applyNumberFormat="1" applyFont="1" applyFill="1" applyAlignment="1">
      <alignment horizontal="right" vertical="center"/>
    </xf>
    <xf numFmtId="166" fontId="13" fillId="0" borderId="0" xfId="5" applyNumberFormat="1" applyFont="1" applyFill="1"/>
    <xf numFmtId="166" fontId="12" fillId="0" borderId="0" xfId="5" applyNumberFormat="1" applyFont="1" applyFill="1"/>
    <xf numFmtId="43" fontId="12" fillId="0" borderId="0" xfId="5" applyFont="1" applyFill="1"/>
    <xf numFmtId="166" fontId="0" fillId="0" borderId="0" xfId="5" applyNumberFormat="1" applyFont="1" applyFill="1"/>
    <xf numFmtId="166" fontId="19" fillId="0" borderId="0" xfId="0" applyNumberFormat="1" applyFont="1" applyAlignment="1">
      <alignment horizontal="center"/>
    </xf>
    <xf numFmtId="0" fontId="7" fillId="10" borderId="0" xfId="0" applyFont="1" applyFill="1" applyAlignment="1">
      <alignment horizontal="left" indent="2"/>
    </xf>
    <xf numFmtId="166" fontId="23" fillId="13" borderId="0" xfId="0" applyNumberFormat="1" applyFont="1" applyFill="1"/>
    <xf numFmtId="166" fontId="2" fillId="0" borderId="0" xfId="5" applyNumberFormat="1" applyFont="1"/>
    <xf numFmtId="166" fontId="2" fillId="2" borderId="0" xfId="5" applyNumberFormat="1" applyFont="1" applyFill="1"/>
    <xf numFmtId="166" fontId="4" fillId="0" borderId="0" xfId="0" applyNumberFormat="1" applyFont="1" applyAlignment="1">
      <alignment horizontal="right"/>
    </xf>
    <xf numFmtId="166" fontId="25" fillId="0" borderId="0" xfId="0" applyNumberFormat="1" applyFont="1" applyAlignment="1">
      <alignment horizontal="center"/>
    </xf>
    <xf numFmtId="166" fontId="2" fillId="0" borderId="0" xfId="0" applyNumberFormat="1" applyFont="1"/>
    <xf numFmtId="166" fontId="2" fillId="0" borderId="0" xfId="0" applyNumberFormat="1" applyFont="1" applyAlignment="1">
      <alignment horizontal="center"/>
    </xf>
    <xf numFmtId="164" fontId="2" fillId="0" borderId="0" xfId="0" applyNumberFormat="1" applyFont="1"/>
    <xf numFmtId="0" fontId="2" fillId="0" borderId="0" xfId="0" applyFont="1"/>
    <xf numFmtId="166" fontId="2" fillId="7" borderId="0" xfId="0" applyNumberFormat="1" applyFont="1" applyFill="1"/>
    <xf numFmtId="164" fontId="2" fillId="7" borderId="0" xfId="0" applyNumberFormat="1" applyFont="1" applyFill="1"/>
    <xf numFmtId="17" fontId="14" fillId="0" borderId="0" xfId="0" applyNumberFormat="1" applyFont="1"/>
    <xf numFmtId="0" fontId="2" fillId="10" borderId="1" xfId="0" applyFont="1" applyFill="1" applyBorder="1"/>
    <xf numFmtId="17" fontId="0" fillId="0" borderId="0" xfId="0" applyNumberFormat="1"/>
    <xf numFmtId="0" fontId="18" fillId="0" borderId="14" xfId="0" applyFont="1" applyBorder="1" applyAlignment="1">
      <alignment horizontal="center" vertical="center"/>
    </xf>
    <xf numFmtId="0" fontId="26" fillId="8" borderId="12" xfId="0" applyFont="1" applyFill="1" applyBorder="1" applyAlignment="1">
      <alignment horizontal="center" vertical="center"/>
    </xf>
    <xf numFmtId="0" fontId="27" fillId="8" borderId="14" xfId="0" applyFont="1" applyFill="1" applyBorder="1" applyAlignment="1">
      <alignment horizontal="center" vertical="center"/>
    </xf>
    <xf numFmtId="0" fontId="17" fillId="15" borderId="12" xfId="0" applyFont="1" applyFill="1" applyBorder="1" applyAlignment="1">
      <alignment horizontal="center" vertical="center"/>
    </xf>
    <xf numFmtId="0" fontId="18" fillId="16" borderId="14" xfId="0" applyFont="1" applyFill="1" applyBorder="1" applyAlignment="1">
      <alignment horizontal="center" vertical="center"/>
    </xf>
    <xf numFmtId="0" fontId="17" fillId="17" borderId="12" xfId="0" applyFont="1" applyFill="1" applyBorder="1" applyAlignment="1">
      <alignment horizontal="center" vertical="center"/>
    </xf>
    <xf numFmtId="0" fontId="18" fillId="14" borderId="14" xfId="0" applyFont="1" applyFill="1" applyBorder="1" applyAlignment="1">
      <alignment horizontal="center" vertical="center"/>
    </xf>
    <xf numFmtId="0" fontId="28" fillId="0" borderId="14" xfId="0" applyFont="1" applyBorder="1" applyAlignment="1">
      <alignment horizontal="center" vertical="center"/>
    </xf>
    <xf numFmtId="43" fontId="0" fillId="0" borderId="0" xfId="5" applyFont="1"/>
    <xf numFmtId="43" fontId="13" fillId="0" borderId="0" xfId="5" applyFont="1"/>
    <xf numFmtId="43" fontId="0" fillId="0" borderId="0" xfId="0" applyNumberFormat="1"/>
    <xf numFmtId="43" fontId="13" fillId="0" borderId="0" xfId="5" applyFont="1" applyAlignment="1">
      <alignment horizontal="right"/>
    </xf>
    <xf numFmtId="0" fontId="12" fillId="0" borderId="0" xfId="0" applyFont="1"/>
    <xf numFmtId="43" fontId="12" fillId="0" borderId="0" xfId="5" applyFont="1" applyAlignment="1">
      <alignment horizontal="right"/>
    </xf>
    <xf numFmtId="43" fontId="12" fillId="0" borderId="2" xfId="5" applyFont="1" applyBorder="1" applyAlignment="1">
      <alignment horizontal="right"/>
    </xf>
    <xf numFmtId="43" fontId="12" fillId="0" borderId="0" xfId="5" applyFont="1" applyAlignment="1">
      <alignment horizontal="right" vertical="center"/>
    </xf>
    <xf numFmtId="43" fontId="12" fillId="0" borderId="0" xfId="5" applyFont="1" applyAlignment="1">
      <alignment horizontal="right" vertical="center" wrapText="1"/>
    </xf>
    <xf numFmtId="166" fontId="12" fillId="0" borderId="2" xfId="5" applyNumberFormat="1" applyFont="1" applyBorder="1" applyAlignment="1">
      <alignment horizontal="right" vertical="center"/>
    </xf>
    <xf numFmtId="166" fontId="0" fillId="16" borderId="0" xfId="5" applyNumberFormat="1" applyFont="1" applyFill="1"/>
    <xf numFmtId="17" fontId="0" fillId="18" borderId="0" xfId="0" applyNumberFormat="1" applyFill="1"/>
    <xf numFmtId="166" fontId="0" fillId="18" borderId="0" xfId="5" applyNumberFormat="1" applyFont="1" applyFill="1"/>
    <xf numFmtId="43" fontId="29" fillId="0" borderId="0" xfId="0" applyNumberFormat="1" applyFont="1"/>
    <xf numFmtId="17" fontId="0" fillId="13" borderId="0" xfId="0" applyNumberFormat="1" applyFill="1"/>
    <xf numFmtId="166" fontId="12" fillId="13" borderId="0" xfId="5" applyNumberFormat="1" applyFont="1" applyFill="1" applyAlignment="1">
      <alignment horizontal="right" vertical="center"/>
    </xf>
    <xf numFmtId="0" fontId="11" fillId="8" borderId="0" xfId="0" applyFont="1" applyFill="1" applyAlignment="1">
      <alignment horizontal="left" vertical="center" wrapText="1"/>
    </xf>
    <xf numFmtId="0" fontId="11" fillId="8" borderId="0" xfId="0" applyFont="1" applyFill="1" applyAlignment="1">
      <alignment horizontal="left" vertical="center"/>
    </xf>
    <xf numFmtId="168" fontId="30" fillId="0" borderId="0" xfId="2" applyNumberFormat="1" applyFont="1" applyFill="1"/>
    <xf numFmtId="166" fontId="2" fillId="0" borderId="0" xfId="0" applyNumberFormat="1" applyFont="1" applyFill="1"/>
    <xf numFmtId="43" fontId="2" fillId="0" borderId="0" xfId="0" applyNumberFormat="1" applyFont="1" applyFill="1"/>
  </cellXfs>
  <cellStyles count="6">
    <cellStyle name="Comma" xfId="5" builtinId="3"/>
    <cellStyle name="Comma 2" xfId="2" xr:uid="{E77E5AA3-12A0-4F8A-8C57-A0DC79A4925D}"/>
    <cellStyle name="Comma 3" xfId="3" xr:uid="{5FBC3C64-E2AA-4AFF-9FD0-F1B71E1CF59D}"/>
    <cellStyle name="Normal" xfId="0" builtinId="0"/>
    <cellStyle name="Normal 2" xfId="1" xr:uid="{A4600BAC-F1CC-430E-A49A-56215F2AE521}"/>
    <cellStyle name="Normal 3" xfId="4" xr:uid="{81E5174B-A8F8-491A-9265-8A853B104EC3}"/>
  </cellStyles>
  <dxfs count="1">
    <dxf>
      <fill>
        <patternFill>
          <bgColor theme="9"/>
        </patternFill>
      </fill>
    </dxf>
  </dxfs>
  <tableStyles count="0" defaultTableStyle="TableStyleMedium2" defaultPivotStyle="PivotStyleLight16"/>
  <colors>
    <mruColors>
      <color rgb="FFF22A3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TO"/>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1366683624"/>
        <c:axId val="979636736"/>
        <c:extLst>
          <c:ext xmlns:c15="http://schemas.microsoft.com/office/drawing/2012/chart" uri="{02D57815-91ED-43cb-92C2-25804820EDAC}">
            <c15:filteredBarSeries>
              <c15:ser>
                <c:idx val="1"/>
                <c:order val="1"/>
                <c:tx>
                  <c:strRef>
                    <c:extLst>
                      <c:ext uri="{02D57815-91ED-43cb-92C2-25804820EDAC}">
                        <c15:formulaRef>
                          <c15:sqref>'Monthly indicators'!$IQ$54</c15:sqref>
                        </c15:formulaRef>
                      </c:ext>
                    </c:extLst>
                    <c:strCache>
                      <c:ptCount val="1"/>
                      <c:pt idx="0">
                        <c:v>Inflation </c:v>
                      </c:pt>
                    </c:strCache>
                  </c:strRef>
                </c:tx>
                <c:spPr>
                  <a:solidFill>
                    <a:schemeClr val="accent2"/>
                  </a:solidFill>
                  <a:ln>
                    <a:noFill/>
                  </a:ln>
                  <a:effectLst/>
                </c:spPr>
                <c:invertIfNegative val="0"/>
                <c:cat>
                  <c:numRef>
                    <c:extLst>
                      <c:ext uri="{02D57815-91ED-43cb-92C2-25804820EDAC}">
                        <c15:formulaRef>
                          <c15:sqref>'Monthly indicators'!$IR$52:$JU$52</c15:sqref>
                        </c15:formulaRef>
                      </c:ext>
                    </c:extLst>
                    <c:numCache>
                      <c:formatCode>mmm\-yy</c:formatCode>
                      <c:ptCount val="30"/>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numCache>
                  </c:numRef>
                </c:cat>
                <c:val>
                  <c:numRef>
                    <c:extLst>
                      <c:ext uri="{02D57815-91ED-43cb-92C2-25804820EDAC}">
                        <c15:formulaRef>
                          <c15:sqref>'Monthly indicators'!$IR$54:$JU$54</c15:sqref>
                        </c15:formulaRef>
                      </c:ext>
                    </c:extLst>
                    <c:numCache>
                      <c:formatCode>_-* #,##0.0_-;\-* #,##0.0_-;_-* "-"??_-;_-@_-</c:formatCode>
                      <c:ptCount val="30"/>
                      <c:pt idx="0">
                        <c:v>126.59030090329085</c:v>
                      </c:pt>
                      <c:pt idx="1">
                        <c:v>124.79980657149777</c:v>
                      </c:pt>
                      <c:pt idx="2">
                        <c:v>125.18665388280161</c:v>
                      </c:pt>
                      <c:pt idx="3">
                        <c:v>126.72397875814751</c:v>
                      </c:pt>
                      <c:pt idx="4">
                        <c:v>129.18648413242926</c:v>
                      </c:pt>
                      <c:pt idx="5">
                        <c:v>132.41932793699749</c:v>
                      </c:pt>
                      <c:pt idx="6">
                        <c:v>128.84887131203766</c:v>
                      </c:pt>
                      <c:pt idx="7">
                        <c:v>127.01434047644291</c:v>
                      </c:pt>
                      <c:pt idx="8">
                        <c:v>126.22508260386849</c:v>
                      </c:pt>
                      <c:pt idx="9">
                        <c:v>125.46826734114039</c:v>
                      </c:pt>
                      <c:pt idx="10">
                        <c:v>129.30000000000001</c:v>
                      </c:pt>
                      <c:pt idx="11">
                        <c:v>132.85545577061853</c:v>
                      </c:pt>
                      <c:pt idx="12">
                        <c:v>133.44605048505585</c:v>
                      </c:pt>
                      <c:pt idx="13" formatCode="0.0">
                        <c:v>129.8001975661104</c:v>
                      </c:pt>
                      <c:pt idx="14" formatCode="0.0">
                        <c:v>129.05527570374949</c:v>
                      </c:pt>
                      <c:pt idx="15" formatCode="0.0">
                        <c:v>129.41150410576856</c:v>
                      </c:pt>
                      <c:pt idx="16" formatCode="0.0">
                        <c:v>130.34550609061131</c:v>
                      </c:pt>
                      <c:pt idx="17" formatCode="0.0">
                        <c:v>133.79223284840472</c:v>
                      </c:pt>
                      <c:pt idx="18" formatCode="0.0">
                        <c:v>131.17617792603167</c:v>
                      </c:pt>
                      <c:pt idx="19" formatCode="0.0">
                        <c:v>130.15206456733728</c:v>
                      </c:pt>
                      <c:pt idx="20" formatCode="0.0">
                        <c:v>130.56967265253184</c:v>
                      </c:pt>
                      <c:pt idx="21" formatCode="General">
                        <c:v>130.5</c:v>
                      </c:pt>
                      <c:pt idx="22" formatCode="General">
                        <c:v>133.80000000000001</c:v>
                      </c:pt>
                      <c:pt idx="23" formatCode="General">
                        <c:v>136.9</c:v>
                      </c:pt>
                      <c:pt idx="24" formatCode="General">
                        <c:v>136.1</c:v>
                      </c:pt>
                      <c:pt idx="25" formatCode="General">
                        <c:v>133</c:v>
                      </c:pt>
                      <c:pt idx="26" formatCode="General">
                        <c:v>134.9</c:v>
                      </c:pt>
                      <c:pt idx="27" formatCode="General">
                        <c:v>136.5</c:v>
                      </c:pt>
                      <c:pt idx="28" formatCode="General">
                        <c:v>140.69999999999999</c:v>
                      </c:pt>
                      <c:pt idx="29" formatCode="General">
                        <c:v>143.30000000000001</c:v>
                      </c:pt>
                    </c:numCache>
                  </c:numRef>
                </c:val>
                <c:extLst>
                  <c:ext xmlns:c16="http://schemas.microsoft.com/office/drawing/2014/chart" uri="{C3380CC4-5D6E-409C-BE32-E72D297353CC}">
                    <c16:uniqueId val="{00000001-EFBC-444D-A820-FC9F0CBD3B35}"/>
                  </c:ext>
                </c:extLst>
              </c15:ser>
            </c15:filteredBarSeries>
          </c:ext>
        </c:extLst>
      </c:barChart>
      <c:lineChart>
        <c:grouping val="standard"/>
        <c:varyColors val="0"/>
        <c:ser>
          <c:idx val="0"/>
          <c:order val="0"/>
          <c:tx>
            <c:strRef>
              <c:f>'Monthly indicators'!$IQ$53</c:f>
              <c:strCache>
                <c:ptCount val="1"/>
                <c:pt idx="0">
                  <c:v>All items CPI</c:v>
                </c:pt>
              </c:strCache>
            </c:strRef>
          </c:tx>
          <c:spPr>
            <a:ln w="28575" cap="rnd">
              <a:solidFill>
                <a:schemeClr val="accent1"/>
              </a:solidFill>
              <a:round/>
            </a:ln>
            <a:effectLst/>
          </c:spPr>
          <c:marker>
            <c:symbol val="none"/>
          </c:marker>
          <c:cat>
            <c:numRef>
              <c:f>'Monthly indicators'!$IR$52:$JU$52</c:f>
              <c:numCache>
                <c:formatCode>mmm\-yy</c:formatCode>
                <c:ptCount val="30"/>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numCache>
            </c:numRef>
          </c:cat>
          <c:val>
            <c:numRef>
              <c:f>'Monthly indicators'!$IR$53:$JU$53</c:f>
              <c:numCache>
                <c:formatCode>_-* #,##0.0_-;\-* #,##0.0_-;_-* "-"??_-;_-@_-</c:formatCode>
                <c:ptCount val="30"/>
                <c:pt idx="0">
                  <c:v>8.4366750866370346</c:v>
                </c:pt>
                <c:pt idx="1">
                  <c:v>6.9432166905805115</c:v>
                </c:pt>
                <c:pt idx="2">
                  <c:v>7.568981592694235</c:v>
                </c:pt>
                <c:pt idx="3">
                  <c:v>7.215980592047111</c:v>
                </c:pt>
                <c:pt idx="4">
                  <c:v>6.6455161968700827</c:v>
                </c:pt>
                <c:pt idx="5">
                  <c:v>6.3903632230696061</c:v>
                </c:pt>
                <c:pt idx="6">
                  <c:v>4.1496082806696588</c:v>
                </c:pt>
                <c:pt idx="7">
                  <c:v>2.0865515630528186</c:v>
                </c:pt>
                <c:pt idx="8">
                  <c:v>1.0487266050652089</c:v>
                </c:pt>
                <c:pt idx="9">
                  <c:v>0.35022944120872701</c:v>
                </c:pt>
                <c:pt idx="10">
                  <c:v>4.9347603370220705</c:v>
                </c:pt>
                <c:pt idx="11">
                  <c:v>6.0373791687408085</c:v>
                </c:pt>
                <c:pt idx="12">
                  <c:v>5.4156989381062282</c:v>
                </c:pt>
                <c:pt idx="13">
                  <c:v>4.0067297634374999</c:v>
                </c:pt>
                <c:pt idx="14">
                  <c:v>3.0902829502653217</c:v>
                </c:pt>
                <c:pt idx="15">
                  <c:v>2.1207709653357609</c:v>
                </c:pt>
                <c:pt idx="16">
                  <c:v>0.8971696737206214</c:v>
                </c:pt>
                <c:pt idx="17">
                  <c:v>1.0367858928119977</c:v>
                </c:pt>
                <c:pt idx="18">
                  <c:v>1.8062297250224901</c:v>
                </c:pt>
                <c:pt idx="19">
                  <c:v>2.4703699433658244</c:v>
                </c:pt>
                <c:pt idx="20">
                  <c:v>3.4419387644989419</c:v>
                </c:pt>
                <c:pt idx="21">
                  <c:v>4.0103627518651042</c:v>
                </c:pt>
                <c:pt idx="22">
                  <c:v>3.4802784222737859</c:v>
                </c:pt>
                <c:pt idx="23">
                  <c:v>3.0443192610505765</c:v>
                </c:pt>
                <c:pt idx="24">
                  <c:v>1.9887808633507253</c:v>
                </c:pt>
                <c:pt idx="25">
                  <c:v>2.4651753185967795</c:v>
                </c:pt>
                <c:pt idx="26">
                  <c:v>4.5288534423554072</c:v>
                </c:pt>
                <c:pt idx="27">
                  <c:v>5.4774851302539451</c:v>
                </c:pt>
                <c:pt idx="28">
                  <c:v>7.9438825471977781</c:v>
                </c:pt>
                <c:pt idx="29">
                  <c:v>7.1063670507451659</c:v>
                </c:pt>
              </c:numCache>
            </c:numRef>
          </c:val>
          <c:smooth val="0"/>
          <c:extLst>
            <c:ext xmlns:c16="http://schemas.microsoft.com/office/drawing/2014/chart" uri="{C3380CC4-5D6E-409C-BE32-E72D297353CC}">
              <c16:uniqueId val="{00000000-EFBC-444D-A820-FC9F0CBD3B35}"/>
            </c:ext>
          </c:extLst>
        </c:ser>
        <c:ser>
          <c:idx val="2"/>
          <c:order val="2"/>
          <c:tx>
            <c:strRef>
              <c:f>'Monthly indicators'!$IQ$55</c:f>
              <c:strCache>
                <c:ptCount val="1"/>
                <c:pt idx="0">
                  <c:v>Imported inflation</c:v>
                </c:pt>
              </c:strCache>
            </c:strRef>
          </c:tx>
          <c:spPr>
            <a:ln w="28575" cap="rnd">
              <a:solidFill>
                <a:schemeClr val="accent3"/>
              </a:solidFill>
              <a:round/>
            </a:ln>
            <a:effectLst/>
          </c:spPr>
          <c:marker>
            <c:symbol val="none"/>
          </c:marker>
          <c:cat>
            <c:numRef>
              <c:f>'Monthly indicators'!$IR$52:$JU$52</c:f>
              <c:numCache>
                <c:formatCode>mmm\-yy</c:formatCode>
                <c:ptCount val="30"/>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numCache>
            </c:numRef>
          </c:cat>
          <c:val>
            <c:numRef>
              <c:f>'Monthly indicators'!$IR$55:$JU$55</c:f>
              <c:numCache>
                <c:formatCode>0.0</c:formatCode>
                <c:ptCount val="30"/>
                <c:pt idx="0">
                  <c:v>4.3174636754148343</c:v>
                </c:pt>
                <c:pt idx="1">
                  <c:v>3.5451959819248202</c:v>
                </c:pt>
                <c:pt idx="2">
                  <c:v>3.4295747101066976</c:v>
                </c:pt>
                <c:pt idx="3">
                  <c:v>3.3590716959059685</c:v>
                </c:pt>
                <c:pt idx="4">
                  <c:v>3.2089233227006186</c:v>
                </c:pt>
                <c:pt idx="5">
                  <c:v>1.8022251822946478</c:v>
                </c:pt>
                <c:pt idx="6">
                  <c:v>1.252310392732614</c:v>
                </c:pt>
                <c:pt idx="7">
                  <c:v>1.3267700548199812</c:v>
                </c:pt>
                <c:pt idx="8">
                  <c:v>0.59244026095761626</c:v>
                </c:pt>
                <c:pt idx="9">
                  <c:v>-6.8454805358653115E-2</c:v>
                </c:pt>
                <c:pt idx="10">
                  <c:v>1.0765126195342312</c:v>
                </c:pt>
                <c:pt idx="11">
                  <c:v>5.2559271673344288</c:v>
                </c:pt>
                <c:pt idx="12">
                  <c:v>3.4734343561925396</c:v>
                </c:pt>
                <c:pt idx="13">
                  <c:v>3.2095629613392296</c:v>
                </c:pt>
                <c:pt idx="14">
                  <c:v>3.0624273823622872</c:v>
                </c:pt>
                <c:pt idx="15">
                  <c:v>3.1564765573454778</c:v>
                </c:pt>
                <c:pt idx="16">
                  <c:v>3.5873873620833718</c:v>
                </c:pt>
                <c:pt idx="17">
                  <c:v>3.0071875649395396</c:v>
                </c:pt>
                <c:pt idx="18">
                  <c:v>3.82586051424747</c:v>
                </c:pt>
                <c:pt idx="19">
                  <c:v>3.9352073900426054</c:v>
                </c:pt>
                <c:pt idx="20">
                  <c:v>3.4811705908746937</c:v>
                </c:pt>
                <c:pt idx="21">
                  <c:v>4.0449951134574391</c:v>
                </c:pt>
                <c:pt idx="22">
                  <c:v>7.9905069890777725</c:v>
                </c:pt>
                <c:pt idx="23">
                  <c:v>5.5072193071911357</c:v>
                </c:pt>
                <c:pt idx="24">
                  <c:v>6.0018307641906965</c:v>
                </c:pt>
                <c:pt idx="25">
                  <c:v>4.6893421340141295</c:v>
                </c:pt>
                <c:pt idx="26">
                  <c:v>6.9132957168584586</c:v>
                </c:pt>
                <c:pt idx="27">
                  <c:v>8.8816670250301719</c:v>
                </c:pt>
                <c:pt idx="28">
                  <c:v>11.718529318103021</c:v>
                </c:pt>
                <c:pt idx="29">
                  <c:v>13.128695692556525</c:v>
                </c:pt>
              </c:numCache>
            </c:numRef>
          </c:val>
          <c:smooth val="0"/>
          <c:extLst>
            <c:ext xmlns:c16="http://schemas.microsoft.com/office/drawing/2014/chart" uri="{C3380CC4-5D6E-409C-BE32-E72D297353CC}">
              <c16:uniqueId val="{00000002-EFBC-444D-A820-FC9F0CBD3B35}"/>
            </c:ext>
          </c:extLst>
        </c:ser>
        <c:ser>
          <c:idx val="3"/>
          <c:order val="3"/>
          <c:tx>
            <c:strRef>
              <c:f>'Monthly indicators'!$IQ$56</c:f>
              <c:strCache>
                <c:ptCount val="1"/>
                <c:pt idx="0">
                  <c:v>Local inflation</c:v>
                </c:pt>
              </c:strCache>
            </c:strRef>
          </c:tx>
          <c:spPr>
            <a:ln w="28575" cap="rnd">
              <a:solidFill>
                <a:schemeClr val="accent4"/>
              </a:solidFill>
              <a:round/>
            </a:ln>
            <a:effectLst/>
          </c:spPr>
          <c:marker>
            <c:symbol val="none"/>
          </c:marker>
          <c:cat>
            <c:numRef>
              <c:f>'Monthly indicators'!$IR$52:$JU$52</c:f>
              <c:numCache>
                <c:formatCode>mmm\-yy</c:formatCode>
                <c:ptCount val="30"/>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numCache>
            </c:numRef>
          </c:cat>
          <c:val>
            <c:numRef>
              <c:f>'Monthly indicators'!$IR$56:$JU$56</c:f>
              <c:numCache>
                <c:formatCode>0.0</c:formatCode>
                <c:ptCount val="30"/>
                <c:pt idx="0">
                  <c:v>12.264309396149686</c:v>
                </c:pt>
                <c:pt idx="1">
                  <c:v>10.177439143917422</c:v>
                </c:pt>
                <c:pt idx="2">
                  <c:v>11.560311861991579</c:v>
                </c:pt>
                <c:pt idx="3">
                  <c:v>10.842691476660416</c:v>
                </c:pt>
                <c:pt idx="4">
                  <c:v>3.8394844450087229</c:v>
                </c:pt>
                <c:pt idx="5">
                  <c:v>10.473871065427032</c:v>
                </c:pt>
                <c:pt idx="6">
                  <c:v>6.751901417341033</c:v>
                </c:pt>
                <c:pt idx="7">
                  <c:v>2.7662527249190161</c:v>
                </c:pt>
                <c:pt idx="8">
                  <c:v>1.4639716777639311</c:v>
                </c:pt>
                <c:pt idx="9">
                  <c:v>0.73042924145370058</c:v>
                </c:pt>
                <c:pt idx="10">
                  <c:v>6.9271628972579213</c:v>
                </c:pt>
                <c:pt idx="11">
                  <c:v>6.731822018373701</c:v>
                </c:pt>
                <c:pt idx="12">
                  <c:v>7.0927259495314088</c:v>
                </c:pt>
                <c:pt idx="13">
                  <c:v>4.730658585401315</c:v>
                </c:pt>
                <c:pt idx="14">
                  <c:v>3.1151845119574029</c:v>
                </c:pt>
                <c:pt idx="15">
                  <c:v>1.2126338748632115</c:v>
                </c:pt>
                <c:pt idx="16">
                  <c:v>4.2245164054879325</c:v>
                </c:pt>
                <c:pt idx="17">
                  <c:v>-0.57924397872938238</c:v>
                </c:pt>
                <c:pt idx="18">
                  <c:v>8.5691316934255468E-2</c:v>
                </c:pt>
                <c:pt idx="19">
                  <c:v>1.1782810155501533</c:v>
                </c:pt>
                <c:pt idx="20">
                  <c:v>3.4065423698478536</c:v>
                </c:pt>
                <c:pt idx="21">
                  <c:v>3.9089282512687396</c:v>
                </c:pt>
                <c:pt idx="22">
                  <c:v>1.3057063535765412</c:v>
                </c:pt>
                <c:pt idx="23">
                  <c:v>0.91336928526017935</c:v>
                </c:pt>
                <c:pt idx="24">
                  <c:v>-2.0550277261371708</c:v>
                </c:pt>
                <c:pt idx="25">
                  <c:v>0.46816510318059557</c:v>
                </c:pt>
                <c:pt idx="26">
                  <c:v>2.4813006841841956</c:v>
                </c:pt>
                <c:pt idx="27">
                  <c:v>2.4929002163776692</c:v>
                </c:pt>
                <c:pt idx="28">
                  <c:v>4.4928755942230225</c:v>
                </c:pt>
                <c:pt idx="29">
                  <c:v>1.9408768701447032</c:v>
                </c:pt>
              </c:numCache>
            </c:numRef>
          </c:val>
          <c:smooth val="0"/>
          <c:extLst>
            <c:ext xmlns:c16="http://schemas.microsoft.com/office/drawing/2014/chart" uri="{C3380CC4-5D6E-409C-BE32-E72D297353CC}">
              <c16:uniqueId val="{00000003-EFBC-444D-A820-FC9F0CBD3B35}"/>
            </c:ext>
          </c:extLst>
        </c:ser>
        <c:dLbls>
          <c:showLegendKey val="0"/>
          <c:showVal val="0"/>
          <c:showCatName val="0"/>
          <c:showSerName val="0"/>
          <c:showPercent val="0"/>
          <c:showBubbleSize val="0"/>
        </c:dLbls>
        <c:marker val="1"/>
        <c:smooth val="0"/>
        <c:axId val="798645856"/>
        <c:axId val="798644776"/>
      </c:lineChart>
      <c:dateAx>
        <c:axId val="798645856"/>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O"/>
          </a:p>
        </c:txPr>
        <c:crossAx val="798644776"/>
        <c:crosses val="autoZero"/>
        <c:auto val="1"/>
        <c:lblOffset val="100"/>
        <c:baseTimeUnit val="months"/>
      </c:dateAx>
      <c:valAx>
        <c:axId val="798644776"/>
        <c:scaling>
          <c:orientation val="minMax"/>
        </c:scaling>
        <c:delete val="0"/>
        <c:axPos val="l"/>
        <c:majorGridlines>
          <c:spPr>
            <a:ln w="9525" cap="flat" cmpd="sng" algn="ctr">
              <a:solidFill>
                <a:schemeClr val="tx1">
                  <a:lumMod val="15000"/>
                  <a:lumOff val="85000"/>
                </a:schemeClr>
              </a:solidFill>
              <a:round/>
            </a:ln>
            <a:effectLst/>
          </c:spPr>
        </c:majorGridlines>
        <c:numFmt formatCode="_-* #,##0.0_-;\-* #,##0.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O"/>
          </a:p>
        </c:txPr>
        <c:crossAx val="798645856"/>
        <c:crosses val="autoZero"/>
        <c:crossBetween val="between"/>
      </c:valAx>
      <c:valAx>
        <c:axId val="979636736"/>
        <c:scaling>
          <c:orientation val="minMax"/>
        </c:scaling>
        <c:delete val="0"/>
        <c:axPos val="r"/>
        <c:numFmt formatCode="_-* #,##0.0_-;\-* #,##0.0_-;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O"/>
          </a:p>
        </c:txPr>
        <c:crossAx val="1366683624"/>
        <c:crosses val="max"/>
        <c:crossBetween val="between"/>
      </c:valAx>
      <c:catAx>
        <c:axId val="1366683624"/>
        <c:scaling>
          <c:orientation val="minMax"/>
        </c:scaling>
        <c:delete val="1"/>
        <c:axPos val="b"/>
        <c:numFmt formatCode="mmm\-yy" sourceLinked="1"/>
        <c:majorTickMark val="out"/>
        <c:minorTickMark val="none"/>
        <c:tickLblPos val="nextTo"/>
        <c:crossAx val="97963673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T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259</xdr:col>
      <xdr:colOff>322009</xdr:colOff>
      <xdr:row>56</xdr:row>
      <xdr:rowOff>128536</xdr:rowOff>
    </xdr:from>
    <xdr:to>
      <xdr:col>269</xdr:col>
      <xdr:colOff>35324</xdr:colOff>
      <xdr:row>81</xdr:row>
      <xdr:rowOff>74462</xdr:rowOff>
    </xdr:to>
    <xdr:graphicFrame macro="">
      <xdr:nvGraphicFramePr>
        <xdr:cNvPr id="2" name="Chart 1">
          <a:extLst>
            <a:ext uri="{FF2B5EF4-FFF2-40B4-BE49-F238E27FC236}">
              <a16:creationId xmlns:a16="http://schemas.microsoft.com/office/drawing/2014/main" id="{88E21D05-3EFF-816E-DB03-D15BE79A7F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276</xdr:col>
      <xdr:colOff>44419</xdr:colOff>
      <xdr:row>7</xdr:row>
      <xdr:rowOff>38702</xdr:rowOff>
    </xdr:from>
    <xdr:to>
      <xdr:col>284</xdr:col>
      <xdr:colOff>315597</xdr:colOff>
      <xdr:row>24</xdr:row>
      <xdr:rowOff>70672</xdr:rowOff>
    </xdr:to>
    <xdr:pic>
      <xdr:nvPicPr>
        <xdr:cNvPr id="5" name="Picture 4">
          <a:extLst>
            <a:ext uri="{FF2B5EF4-FFF2-40B4-BE49-F238E27FC236}">
              <a16:creationId xmlns:a16="http://schemas.microsoft.com/office/drawing/2014/main" id="{489974BE-2D02-91CE-B0E8-12FCBB54B06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568235" y="1475807"/>
          <a:ext cx="5083809" cy="3440918"/>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ntonio Moeaki" id="{BDB2A946-0132-454D-8A86-B13C8A6B202D}" userId="S::amoeaki@finance.gov.to::8e158eb0-2c70-46e8-8912-3c9582eadeed"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JC3" dT="2026-01-12T02:54:07.69" personId="{BDB2A946-0132-454D-8A86-B13C8A6B202D}" id="{C4F7F16B-80BF-4585-9DD8-D033503655B3}">
    <text xml:space="preserve">Tonga's official foreign reserves rose sharply in October 2025 by $42.3 million to $939.5 million, owing to inflows of official grants and remittances. This is equivalent to 10.9 months of imports cover, above the IMF's recommended threshold of 7.5 months. Similarly, the foreign reserves increased over the year by $41.3 million. </text>
  </threadedComment>
  <threadedComment ref="A17" dT="2026-07-14T23:40:22.41" personId="{BDB2A946-0132-454D-8A86-B13C8A6B202D}" id="{963154D4-5BA1-4656-A6DC-1E1236381EA9}">
    <text>These CPI indexes are a separate CPI calculation of all the imported categories</text>
  </threadedComment>
</ThreadedComment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FD873-93ED-4391-AC11-17176B41C990}">
  <dimension ref="A1"/>
  <sheetViews>
    <sheetView workbookViewId="0"/>
  </sheetViews>
  <sheetFormatPr defaultRowHeight="14.4"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0543B-13DE-4DE3-9BD9-DB534819B6CA}">
  <dimension ref="A1:AF27"/>
  <sheetViews>
    <sheetView topLeftCell="A4" workbookViewId="0">
      <pane xSplit="1" topLeftCell="B1" activePane="topRight" state="frozen"/>
      <selection pane="topRight" activeCell="F10" sqref="F10"/>
    </sheetView>
  </sheetViews>
  <sheetFormatPr defaultRowHeight="14.4" x14ac:dyDescent="0.3"/>
  <cols>
    <col min="1" max="1" width="28.44140625" customWidth="1"/>
  </cols>
  <sheetData>
    <row r="1" spans="1:32" x14ac:dyDescent="0.3">
      <c r="A1" s="148" t="s">
        <v>100</v>
      </c>
      <c r="B1" s="148"/>
      <c r="C1" s="148"/>
      <c r="D1" s="148"/>
      <c r="E1" s="148"/>
      <c r="F1" s="148"/>
      <c r="G1" s="148"/>
      <c r="H1" s="148"/>
      <c r="I1" s="148"/>
      <c r="J1" s="148"/>
      <c r="K1" s="148"/>
      <c r="L1" s="148"/>
      <c r="M1" s="148"/>
      <c r="N1" s="148"/>
      <c r="O1" s="148"/>
      <c r="P1" s="148"/>
      <c r="Q1" s="148"/>
      <c r="R1" s="148"/>
      <c r="S1" s="148"/>
    </row>
    <row r="2" spans="1:32" x14ac:dyDescent="0.3">
      <c r="A2" s="148"/>
      <c r="B2" s="148"/>
      <c r="C2" s="148"/>
      <c r="D2" s="148"/>
      <c r="E2" s="148"/>
      <c r="F2" s="148"/>
      <c r="G2" s="148"/>
      <c r="H2" s="148"/>
      <c r="I2" s="148"/>
      <c r="J2" s="148"/>
      <c r="K2" s="148"/>
      <c r="L2" s="148"/>
      <c r="M2" s="148"/>
      <c r="N2" s="148"/>
      <c r="O2" s="148"/>
      <c r="P2" s="148"/>
      <c r="Q2" s="148"/>
      <c r="R2" s="148"/>
      <c r="S2" s="148"/>
    </row>
    <row r="3" spans="1:32" x14ac:dyDescent="0.3">
      <c r="B3" t="s">
        <v>72</v>
      </c>
      <c r="C3" t="s">
        <v>73</v>
      </c>
      <c r="D3" t="s">
        <v>74</v>
      </c>
      <c r="E3" t="s">
        <v>75</v>
      </c>
      <c r="F3" t="s">
        <v>76</v>
      </c>
      <c r="G3" t="s">
        <v>77</v>
      </c>
      <c r="H3" t="s">
        <v>78</v>
      </c>
      <c r="I3" t="s">
        <v>79</v>
      </c>
      <c r="J3" t="s">
        <v>80</v>
      </c>
      <c r="K3" t="s">
        <v>81</v>
      </c>
      <c r="L3" t="s">
        <v>82</v>
      </c>
      <c r="M3" t="s">
        <v>83</v>
      </c>
    </row>
    <row r="4" spans="1:32" ht="16.2" thickBot="1" x14ac:dyDescent="0.35">
      <c r="B4" s="44" t="s">
        <v>101</v>
      </c>
      <c r="C4" s="44" t="s">
        <v>102</v>
      </c>
      <c r="D4" s="44" t="s">
        <v>103</v>
      </c>
      <c r="E4" s="44" t="s">
        <v>104</v>
      </c>
      <c r="F4" s="44" t="s">
        <v>105</v>
      </c>
      <c r="G4" s="44" t="s">
        <v>106</v>
      </c>
      <c r="H4" s="44" t="s">
        <v>107</v>
      </c>
      <c r="I4" s="44" t="s">
        <v>108</v>
      </c>
      <c r="J4" s="44" t="s">
        <v>109</v>
      </c>
      <c r="K4" s="44" t="s">
        <v>110</v>
      </c>
      <c r="L4" s="44" t="s">
        <v>111</v>
      </c>
      <c r="M4" s="44" t="s">
        <v>112</v>
      </c>
      <c r="N4" s="44" t="s">
        <v>113</v>
      </c>
      <c r="O4" s="44" t="s">
        <v>17</v>
      </c>
      <c r="P4" s="45" t="s">
        <v>18</v>
      </c>
      <c r="Q4" s="44" t="s">
        <v>19</v>
      </c>
      <c r="R4" s="46" t="s">
        <v>20</v>
      </c>
      <c r="S4" s="46" t="s">
        <v>21</v>
      </c>
      <c r="T4" s="46" t="s">
        <v>22</v>
      </c>
      <c r="U4" s="46" t="s">
        <v>23</v>
      </c>
      <c r="V4" s="46" t="s">
        <v>24</v>
      </c>
      <c r="W4" s="46" t="s">
        <v>92</v>
      </c>
      <c r="X4" s="47" t="s">
        <v>26</v>
      </c>
      <c r="Y4" s="47" t="s">
        <v>27</v>
      </c>
      <c r="Z4" s="47" t="s">
        <v>28</v>
      </c>
      <c r="AA4" s="47" t="s">
        <v>94</v>
      </c>
      <c r="AB4" s="47" t="s">
        <v>114</v>
      </c>
      <c r="AC4" s="47" t="s">
        <v>115</v>
      </c>
      <c r="AD4" s="47" t="s">
        <v>116</v>
      </c>
      <c r="AE4" s="47" t="s">
        <v>117</v>
      </c>
      <c r="AF4" s="47" t="s">
        <v>118</v>
      </c>
    </row>
    <row r="5" spans="1:32" x14ac:dyDescent="0.3">
      <c r="A5" t="s">
        <v>70</v>
      </c>
      <c r="B5" s="12" cm="1">
        <f t="array" ref="B5:L5">GDP!H30:R30</f>
        <v>849.27588600406932</v>
      </c>
      <c r="C5" s="12">
        <v>851.87880166118987</v>
      </c>
      <c r="D5" s="12">
        <v>872.36340435306738</v>
      </c>
      <c r="E5" s="12">
        <v>871.52186116635846</v>
      </c>
      <c r="F5" s="12">
        <v>845.38450573777436</v>
      </c>
      <c r="G5" s="12">
        <v>845.02151520560346</v>
      </c>
      <c r="H5" s="12">
        <v>856.58691467309177</v>
      </c>
      <c r="I5" s="12">
        <v>894.93264466489563</v>
      </c>
      <c r="J5" s="12">
        <v>936.61967014598895</v>
      </c>
      <c r="K5" s="12">
        <v>978.866606370824</v>
      </c>
      <c r="L5" s="12">
        <v>1030.4138336153326</v>
      </c>
      <c r="O5">
        <f>GDP!B33</f>
        <v>892.85834039913289</v>
      </c>
      <c r="P5">
        <f>GDP!C33</f>
        <v>896.2301657319814</v>
      </c>
      <c r="Q5">
        <f>GDP!D33</f>
        <v>914.06998705899446</v>
      </c>
      <c r="R5">
        <f>GDP!E33</f>
        <v>924.25038721539374</v>
      </c>
      <c r="S5">
        <f>GDP!F33</f>
        <v>985.23893782483026</v>
      </c>
      <c r="T5">
        <f>GDP!G33</f>
        <v>1016.7894069861433</v>
      </c>
      <c r="U5">
        <f>GDP!H33</f>
        <v>1023.7803484781393</v>
      </c>
      <c r="V5">
        <f>GDP!I33</f>
        <v>1021.6464064408061</v>
      </c>
      <c r="W5">
        <f>GDP!J33</f>
        <v>1039.8663966516285</v>
      </c>
      <c r="X5">
        <f>GDP!K33</f>
        <v>1043.6369727104193</v>
      </c>
      <c r="Y5">
        <f>GDP!L33</f>
        <v>1019.5304194486577</v>
      </c>
      <c r="Z5">
        <f>GDP!M33</f>
        <v>1040.779002335124</v>
      </c>
      <c r="AA5">
        <f>GDP!N33</f>
        <v>1058.9869146730919</v>
      </c>
      <c r="AB5">
        <f>GDP!O33</f>
        <v>1087.8326446648957</v>
      </c>
      <c r="AC5">
        <f>GDP!P33</f>
        <v>1124.6196701459889</v>
      </c>
      <c r="AD5">
        <f>GDP!Q33</f>
        <v>1165.866606370824</v>
      </c>
      <c r="AE5">
        <f>GDP!R33</f>
        <v>1211.4138336153326</v>
      </c>
    </row>
    <row r="6" spans="1:32" x14ac:dyDescent="0.3">
      <c r="A6" t="s">
        <v>71</v>
      </c>
      <c r="B6" s="10" cm="1">
        <f t="array" ref="B6:L6">GDP!H39:R39</f>
        <v>0.5</v>
      </c>
      <c r="C6">
        <v>-0.3</v>
      </c>
      <c r="D6">
        <v>1.8</v>
      </c>
      <c r="E6">
        <v>-0.9</v>
      </c>
      <c r="F6">
        <v>-2.1</v>
      </c>
      <c r="G6">
        <v>2.8</v>
      </c>
      <c r="H6">
        <v>1.7</v>
      </c>
      <c r="I6">
        <v>2.7</v>
      </c>
      <c r="J6">
        <v>3.4</v>
      </c>
      <c r="K6">
        <v>3.7</v>
      </c>
      <c r="L6">
        <v>3.9</v>
      </c>
      <c r="U6" s="10" cm="1">
        <f t="array" ref="U6:AE6">GDP!AA39:AK39</f>
        <v>0</v>
      </c>
      <c r="V6">
        <v>0</v>
      </c>
      <c r="W6">
        <v>0</v>
      </c>
      <c r="X6">
        <v>0</v>
      </c>
      <c r="Y6">
        <v>0</v>
      </c>
      <c r="Z6">
        <v>0</v>
      </c>
      <c r="AA6">
        <v>0</v>
      </c>
      <c r="AB6">
        <v>0</v>
      </c>
      <c r="AC6">
        <v>0</v>
      </c>
      <c r="AD6">
        <v>0</v>
      </c>
      <c r="AE6">
        <v>0</v>
      </c>
    </row>
    <row r="9" spans="1:32" x14ac:dyDescent="0.3">
      <c r="A9" t="s">
        <v>87</v>
      </c>
    </row>
    <row r="10" spans="1:32" x14ac:dyDescent="0.3">
      <c r="A10" t="s">
        <v>88</v>
      </c>
    </row>
    <row r="13" spans="1:32" x14ac:dyDescent="0.3">
      <c r="A13" s="147" t="s">
        <v>91</v>
      </c>
      <c r="B13" s="147"/>
      <c r="C13" s="147"/>
      <c r="D13" s="147"/>
      <c r="E13" s="147"/>
      <c r="F13" s="147"/>
      <c r="G13" s="147"/>
      <c r="H13" s="147"/>
      <c r="I13" s="147"/>
      <c r="J13" s="147"/>
      <c r="K13" s="147"/>
      <c r="L13" s="147"/>
      <c r="M13" s="147"/>
      <c r="N13" s="147"/>
      <c r="O13" s="147"/>
      <c r="P13" s="147"/>
      <c r="Q13" s="147"/>
      <c r="R13" s="147"/>
      <c r="S13" s="147"/>
    </row>
    <row r="14" spans="1:32" x14ac:dyDescent="0.3">
      <c r="A14" s="147"/>
      <c r="B14" s="147"/>
      <c r="C14" s="147"/>
      <c r="D14" s="147"/>
      <c r="E14" s="147"/>
      <c r="F14" s="147"/>
      <c r="G14" s="147"/>
      <c r="H14" s="147"/>
      <c r="I14" s="147"/>
      <c r="J14" s="147"/>
      <c r="K14" s="147"/>
      <c r="L14" s="147"/>
      <c r="M14" s="147"/>
      <c r="N14" s="147"/>
      <c r="O14" s="147"/>
      <c r="P14" s="147"/>
      <c r="Q14" s="147"/>
      <c r="R14" s="147"/>
      <c r="S14" s="147"/>
    </row>
    <row r="15" spans="1:32" ht="23.4" x14ac:dyDescent="0.3">
      <c r="A15" s="43"/>
      <c r="B15" s="43"/>
      <c r="C15" s="43"/>
      <c r="D15" s="43"/>
      <c r="E15" s="43"/>
      <c r="F15" s="43"/>
      <c r="G15" s="43"/>
      <c r="H15" s="43"/>
      <c r="I15" s="43"/>
      <c r="J15" s="43"/>
      <c r="K15" s="43"/>
      <c r="L15" s="43"/>
      <c r="M15" s="43"/>
      <c r="N15" s="43"/>
      <c r="O15" s="43"/>
      <c r="P15" s="43"/>
      <c r="Q15" s="43"/>
      <c r="R15" s="43"/>
      <c r="S15" s="43"/>
    </row>
    <row r="16" spans="1:32" ht="16.2" thickBot="1" x14ac:dyDescent="0.35">
      <c r="A16" s="42"/>
      <c r="B16" s="44" t="s">
        <v>101</v>
      </c>
      <c r="C16" s="44" t="s">
        <v>102</v>
      </c>
      <c r="D16" s="44" t="s">
        <v>103</v>
      </c>
      <c r="E16" s="44" t="s">
        <v>104</v>
      </c>
      <c r="F16" s="44" t="s">
        <v>105</v>
      </c>
      <c r="G16" s="44" t="s">
        <v>106</v>
      </c>
      <c r="H16" s="44" t="s">
        <v>107</v>
      </c>
      <c r="I16" s="44" t="s">
        <v>108</v>
      </c>
      <c r="J16" s="44" t="s">
        <v>109</v>
      </c>
      <c r="K16" s="44" t="s">
        <v>110</v>
      </c>
      <c r="L16" s="44" t="s">
        <v>111</v>
      </c>
      <c r="M16" s="44" t="s">
        <v>112</v>
      </c>
      <c r="N16" s="44" t="s">
        <v>113</v>
      </c>
      <c r="O16" s="44" t="s">
        <v>17</v>
      </c>
      <c r="P16" s="45" t="s">
        <v>18</v>
      </c>
      <c r="Q16" s="44" t="s">
        <v>19</v>
      </c>
      <c r="R16" s="46" t="s">
        <v>20</v>
      </c>
      <c r="S16" s="46" t="s">
        <v>21</v>
      </c>
      <c r="T16" s="46" t="s">
        <v>22</v>
      </c>
      <c r="U16" s="46" t="s">
        <v>23</v>
      </c>
      <c r="V16" s="46" t="s">
        <v>24</v>
      </c>
      <c r="W16" s="46" t="s">
        <v>92</v>
      </c>
      <c r="X16" s="47" t="s">
        <v>26</v>
      </c>
      <c r="Y16" s="47" t="s">
        <v>27</v>
      </c>
      <c r="Z16" s="47" t="s">
        <v>28</v>
      </c>
      <c r="AA16" s="47" t="s">
        <v>94</v>
      </c>
      <c r="AB16" s="47" t="s">
        <v>114</v>
      </c>
      <c r="AC16" s="47" t="s">
        <v>115</v>
      </c>
      <c r="AD16" s="47" t="s">
        <v>116</v>
      </c>
      <c r="AE16" s="47" t="s">
        <v>117</v>
      </c>
      <c r="AF16" s="47" t="s">
        <v>118</v>
      </c>
    </row>
    <row r="17" spans="1:32" x14ac:dyDescent="0.3">
      <c r="A17" t="s">
        <v>90</v>
      </c>
      <c r="B17">
        <v>290.45999999999998</v>
      </c>
      <c r="C17">
        <v>358.9</v>
      </c>
      <c r="D17">
        <v>393.93</v>
      </c>
      <c r="E17">
        <v>432.39</v>
      </c>
      <c r="F17">
        <v>429.38</v>
      </c>
      <c r="G17">
        <v>430.29</v>
      </c>
      <c r="H17">
        <v>426.02</v>
      </c>
      <c r="I17" t="s">
        <v>93</v>
      </c>
      <c r="J17">
        <v>499.7</v>
      </c>
    </row>
    <row r="18" spans="1:32" x14ac:dyDescent="0.3">
      <c r="A18" s="11" t="s">
        <v>95</v>
      </c>
      <c r="B18">
        <v>126.92</v>
      </c>
      <c r="C18">
        <v>170.65</v>
      </c>
      <c r="D18">
        <v>190.83</v>
      </c>
      <c r="E18">
        <v>201.21</v>
      </c>
      <c r="F18">
        <v>204.63</v>
      </c>
      <c r="G18">
        <v>206.26</v>
      </c>
      <c r="H18">
        <v>201.24</v>
      </c>
      <c r="I18">
        <v>197.44</v>
      </c>
      <c r="J18">
        <v>204.36</v>
      </c>
    </row>
    <row r="19" spans="1:32" x14ac:dyDescent="0.3">
      <c r="A19" s="11" t="s">
        <v>96</v>
      </c>
      <c r="B19">
        <v>56.72</v>
      </c>
    </row>
    <row r="20" spans="1:32" x14ac:dyDescent="0.3">
      <c r="A20" s="11" t="s">
        <v>97</v>
      </c>
      <c r="B20">
        <v>93.3</v>
      </c>
    </row>
    <row r="21" spans="1:32" x14ac:dyDescent="0.3">
      <c r="A21" s="11" t="s">
        <v>98</v>
      </c>
      <c r="B21">
        <v>9.6</v>
      </c>
      <c r="M21">
        <f>204.36+66.7+211.1+17.5+0.1</f>
        <v>499.76</v>
      </c>
    </row>
    <row r="22" spans="1:32" x14ac:dyDescent="0.3">
      <c r="A22" s="11" t="s">
        <v>99</v>
      </c>
      <c r="B22">
        <f>B17-SUM(B18:B21)</f>
        <v>3.9199999999999591</v>
      </c>
      <c r="M22">
        <f>197.44+58.29+196+18.9+0.1</f>
        <v>470.73</v>
      </c>
    </row>
    <row r="23" spans="1:32" x14ac:dyDescent="0.3">
      <c r="A23" t="s">
        <v>89</v>
      </c>
      <c r="M23">
        <f>170.65+57.58+117.3+12.1+1.2</f>
        <v>358.83000000000004</v>
      </c>
    </row>
    <row r="24" spans="1:32" x14ac:dyDescent="0.3">
      <c r="A24" t="s">
        <v>85</v>
      </c>
    </row>
    <row r="25" spans="1:32" x14ac:dyDescent="0.3">
      <c r="A25" t="s">
        <v>86</v>
      </c>
    </row>
    <row r="27" spans="1:32" ht="16.2" thickBot="1" x14ac:dyDescent="0.35">
      <c r="B27" s="44" t="s">
        <v>101</v>
      </c>
      <c r="C27" s="44" t="s">
        <v>102</v>
      </c>
      <c r="D27" s="44" t="s">
        <v>103</v>
      </c>
      <c r="E27" s="44" t="s">
        <v>104</v>
      </c>
      <c r="F27" s="44" t="s">
        <v>105</v>
      </c>
      <c r="G27" s="44" t="s">
        <v>106</v>
      </c>
      <c r="H27" s="44" t="s">
        <v>107</v>
      </c>
      <c r="I27" s="44" t="s">
        <v>108</v>
      </c>
      <c r="J27" s="44" t="s">
        <v>109</v>
      </c>
      <c r="K27" s="44" t="s">
        <v>110</v>
      </c>
      <c r="L27" s="44" t="s">
        <v>111</v>
      </c>
      <c r="M27" s="44" t="s">
        <v>112</v>
      </c>
      <c r="N27" s="44" t="s">
        <v>113</v>
      </c>
      <c r="O27" s="44" t="s">
        <v>17</v>
      </c>
      <c r="P27" s="45" t="s">
        <v>18</v>
      </c>
      <c r="Q27" s="44" t="s">
        <v>19</v>
      </c>
      <c r="R27" s="46" t="s">
        <v>20</v>
      </c>
      <c r="S27" s="46" t="s">
        <v>21</v>
      </c>
      <c r="T27" s="46" t="s">
        <v>22</v>
      </c>
      <c r="U27" s="46" t="s">
        <v>23</v>
      </c>
      <c r="V27" s="46" t="s">
        <v>24</v>
      </c>
      <c r="W27" s="46" t="s">
        <v>92</v>
      </c>
      <c r="X27" s="47" t="s">
        <v>26</v>
      </c>
      <c r="Y27" s="47" t="s">
        <v>27</v>
      </c>
      <c r="Z27" s="47" t="s">
        <v>28</v>
      </c>
      <c r="AA27" s="47" t="s">
        <v>94</v>
      </c>
      <c r="AB27" s="47" t="s">
        <v>114</v>
      </c>
      <c r="AC27" s="47" t="s">
        <v>115</v>
      </c>
      <c r="AD27" s="47" t="s">
        <v>116</v>
      </c>
      <c r="AE27" s="47" t="s">
        <v>117</v>
      </c>
      <c r="AF27" s="47" t="s">
        <v>118</v>
      </c>
    </row>
  </sheetData>
  <mergeCells count="2">
    <mergeCell ref="A13:S14"/>
    <mergeCell ref="A1:S2"/>
  </mergeCells>
  <phoneticPr fontId="10"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E89B8-87E6-4CB4-8C33-FFB14B26C3E3}">
  <dimension ref="A2:BD224"/>
  <sheetViews>
    <sheetView tabSelected="1" topLeftCell="O183" zoomScale="96" workbookViewId="0">
      <selection activeCell="AF207" sqref="AF207"/>
    </sheetView>
  </sheetViews>
  <sheetFormatPr defaultRowHeight="14.4" x14ac:dyDescent="0.3"/>
  <cols>
    <col min="46" max="46" width="9.44140625" bestFit="1" customWidth="1"/>
  </cols>
  <sheetData>
    <row r="2" spans="1:16" ht="15" x14ac:dyDescent="0.3">
      <c r="A2" s="74"/>
      <c r="B2" s="75" t="s">
        <v>122</v>
      </c>
      <c r="C2" s="75" t="s">
        <v>123</v>
      </c>
      <c r="D2" s="75" t="s">
        <v>124</v>
      </c>
      <c r="E2" s="75" t="s">
        <v>125</v>
      </c>
      <c r="F2" s="75" t="s">
        <v>126</v>
      </c>
      <c r="G2" s="75" t="s">
        <v>127</v>
      </c>
      <c r="H2" s="75" t="s">
        <v>128</v>
      </c>
      <c r="I2" s="75" t="s">
        <v>129</v>
      </c>
      <c r="J2" s="75" t="s">
        <v>130</v>
      </c>
      <c r="K2" s="75" t="s">
        <v>131</v>
      </c>
      <c r="L2" s="75" t="s">
        <v>132</v>
      </c>
      <c r="M2" s="75" t="s">
        <v>133</v>
      </c>
      <c r="N2" s="75" t="s">
        <v>134</v>
      </c>
    </row>
    <row r="3" spans="1:16" ht="15" x14ac:dyDescent="0.3">
      <c r="A3" s="76">
        <v>44197</v>
      </c>
      <c r="B3" s="77">
        <v>0.56579999999999997</v>
      </c>
      <c r="C3" s="77">
        <v>0.55740000000000001</v>
      </c>
      <c r="D3" s="77">
        <v>0.38640000000000002</v>
      </c>
      <c r="E3" s="77">
        <v>0.3594</v>
      </c>
      <c r="F3" s="77">
        <v>0.86799999999999999</v>
      </c>
      <c r="G3" s="77">
        <v>0.3206</v>
      </c>
      <c r="H3" s="77">
        <v>45.371299999999998</v>
      </c>
      <c r="I3" s="77">
        <v>0.60850000000000004</v>
      </c>
      <c r="J3" s="77">
        <v>3.6318999999999999</v>
      </c>
      <c r="K3" s="77">
        <v>0.58350000000000002</v>
      </c>
      <c r="L3" s="77">
        <v>0.43859999999999999</v>
      </c>
      <c r="M3" s="77">
        <v>1.0277000000000001</v>
      </c>
      <c r="N3" s="77">
        <v>2.8532000000000002</v>
      </c>
      <c r="P3">
        <f>1/B3</f>
        <v>1.7674089784376106</v>
      </c>
    </row>
    <row r="4" spans="1:16" ht="15" x14ac:dyDescent="0.3">
      <c r="A4" s="76">
        <v>44228</v>
      </c>
      <c r="B4" s="77">
        <v>0.5605</v>
      </c>
      <c r="C4" s="77">
        <v>0.55310000000000004</v>
      </c>
      <c r="D4" s="77">
        <v>0.3886</v>
      </c>
      <c r="E4" s="77">
        <v>0.3594</v>
      </c>
      <c r="F4" s="77">
        <v>0.85970000000000002</v>
      </c>
      <c r="G4" s="77">
        <v>0.31359999999999999</v>
      </c>
      <c r="H4" s="77">
        <v>45.780099999999997</v>
      </c>
      <c r="I4" s="77">
        <v>0.60089999999999999</v>
      </c>
      <c r="J4" s="77">
        <v>3.6278999999999999</v>
      </c>
      <c r="K4" s="77">
        <v>0.58079999999999998</v>
      </c>
      <c r="L4" s="77">
        <v>0.43580000000000002</v>
      </c>
      <c r="M4" s="77">
        <v>1.0181</v>
      </c>
      <c r="N4" s="77">
        <v>2.8351999999999999</v>
      </c>
    </row>
    <row r="5" spans="1:16" ht="15" x14ac:dyDescent="0.3">
      <c r="A5" s="76">
        <v>44256</v>
      </c>
      <c r="B5" s="77">
        <v>0.56769999999999998</v>
      </c>
      <c r="C5" s="77">
        <v>0.55179999999999996</v>
      </c>
      <c r="D5" s="77">
        <v>0.40500000000000003</v>
      </c>
      <c r="E5" s="77">
        <v>0.36770000000000003</v>
      </c>
      <c r="F5" s="77">
        <v>0.86799999999999999</v>
      </c>
      <c r="G5" s="77">
        <v>0.31569999999999998</v>
      </c>
      <c r="H5" s="77">
        <v>47.558100000000003</v>
      </c>
      <c r="I5" s="77">
        <v>0.61339999999999995</v>
      </c>
      <c r="J5" s="77">
        <v>3.7410000000000001</v>
      </c>
      <c r="K5" s="77">
        <v>0.59179999999999999</v>
      </c>
      <c r="L5" s="77">
        <v>0.439</v>
      </c>
      <c r="M5" s="77">
        <v>1.03</v>
      </c>
      <c r="N5" s="77">
        <v>2.8561999999999999</v>
      </c>
    </row>
    <row r="6" spans="1:16" ht="15" x14ac:dyDescent="0.3">
      <c r="A6" s="76">
        <v>44287</v>
      </c>
      <c r="B6" s="77">
        <v>0.56969999999999998</v>
      </c>
      <c r="C6" s="77">
        <v>0.55000000000000004</v>
      </c>
      <c r="D6" s="77">
        <v>0.40339999999999998</v>
      </c>
      <c r="E6" s="77">
        <v>0.36670000000000003</v>
      </c>
      <c r="F6" s="77">
        <v>0.87060000000000004</v>
      </c>
      <c r="G6" s="77">
        <v>0.317</v>
      </c>
      <c r="H6" s="77">
        <v>47.837899999999998</v>
      </c>
      <c r="I6" s="77">
        <v>0.61599999999999999</v>
      </c>
      <c r="J6" s="77">
        <v>3.7332000000000001</v>
      </c>
      <c r="K6" s="77">
        <v>0.58919999999999995</v>
      </c>
      <c r="L6" s="77">
        <v>0.44009999999999999</v>
      </c>
      <c r="M6" s="77">
        <v>1.0351999999999999</v>
      </c>
      <c r="N6" s="77">
        <v>2.8632</v>
      </c>
    </row>
    <row r="9" spans="1:16" x14ac:dyDescent="0.3">
      <c r="B9">
        <f>1/B3</f>
        <v>1.7674089784376106</v>
      </c>
      <c r="C9">
        <f t="shared" ref="C9:N9" si="0">1/C3</f>
        <v>1.7940437746681019</v>
      </c>
      <c r="D9">
        <f t="shared" si="0"/>
        <v>2.5879917184265011</v>
      </c>
      <c r="E9">
        <f t="shared" si="0"/>
        <v>2.7824151363383418</v>
      </c>
      <c r="F9">
        <f t="shared" si="0"/>
        <v>1.1520737327188941</v>
      </c>
      <c r="G9">
        <f t="shared" si="0"/>
        <v>3.1191515907673115</v>
      </c>
      <c r="H9">
        <f t="shared" si="0"/>
        <v>2.2040364723955454E-2</v>
      </c>
      <c r="I9">
        <f t="shared" si="0"/>
        <v>1.6433853738701725</v>
      </c>
      <c r="J9">
        <f t="shared" si="0"/>
        <v>0.27533797736721827</v>
      </c>
      <c r="K9">
        <f t="shared" si="0"/>
        <v>1.7137960582690659</v>
      </c>
      <c r="L9">
        <f t="shared" si="0"/>
        <v>2.2799817601459189</v>
      </c>
      <c r="M9">
        <f t="shared" si="0"/>
        <v>0.97304660893256778</v>
      </c>
      <c r="N9">
        <f t="shared" si="0"/>
        <v>0.35048366746109627</v>
      </c>
    </row>
    <row r="10" spans="1:16" x14ac:dyDescent="0.3">
      <c r="B10">
        <f>1/B4</f>
        <v>1.784121320249777</v>
      </c>
      <c r="C10">
        <f t="shared" ref="C10:N10" si="1">1/C4</f>
        <v>1.8079913216416561</v>
      </c>
      <c r="D10">
        <f t="shared" si="1"/>
        <v>2.5733401955738548</v>
      </c>
      <c r="E10">
        <f t="shared" si="1"/>
        <v>2.7824151363383418</v>
      </c>
      <c r="F10">
        <f t="shared" si="1"/>
        <v>1.1631964638827497</v>
      </c>
      <c r="G10">
        <f t="shared" si="1"/>
        <v>3.1887755102040818</v>
      </c>
      <c r="H10">
        <f t="shared" si="1"/>
        <v>2.1843552111070096E-2</v>
      </c>
      <c r="I10">
        <f t="shared" si="1"/>
        <v>1.6641704110500914</v>
      </c>
      <c r="J10">
        <f t="shared" si="1"/>
        <v>0.27564155572094051</v>
      </c>
      <c r="K10">
        <f t="shared" si="1"/>
        <v>1.721763085399449</v>
      </c>
      <c r="L10">
        <f t="shared" si="1"/>
        <v>2.2946305644791187</v>
      </c>
      <c r="M10">
        <f t="shared" si="1"/>
        <v>0.98222178567920637</v>
      </c>
      <c r="N10">
        <f t="shared" si="1"/>
        <v>0.35270880361173818</v>
      </c>
    </row>
    <row r="11" spans="1:16" x14ac:dyDescent="0.3">
      <c r="B11">
        <f>1/B5</f>
        <v>1.7614937466971994</v>
      </c>
      <c r="C11">
        <f t="shared" ref="C11:N11" si="2">1/C5</f>
        <v>1.8122508155128672</v>
      </c>
      <c r="D11">
        <f t="shared" si="2"/>
        <v>2.4691358024691357</v>
      </c>
      <c r="E11">
        <f t="shared" si="2"/>
        <v>2.7196083763937993</v>
      </c>
      <c r="F11">
        <f t="shared" si="2"/>
        <v>1.1520737327188941</v>
      </c>
      <c r="G11">
        <f t="shared" si="2"/>
        <v>3.1675641431738994</v>
      </c>
      <c r="H11">
        <f t="shared" si="2"/>
        <v>2.1026912345110504E-2</v>
      </c>
      <c r="I11">
        <f t="shared" si="2"/>
        <v>1.6302575806977504</v>
      </c>
      <c r="J11">
        <f t="shared" si="2"/>
        <v>0.26730820636193531</v>
      </c>
      <c r="K11">
        <f t="shared" si="2"/>
        <v>1.6897600540723217</v>
      </c>
      <c r="L11">
        <f t="shared" si="2"/>
        <v>2.2779043280182232</v>
      </c>
      <c r="M11">
        <f t="shared" si="2"/>
        <v>0.970873786407767</v>
      </c>
      <c r="N11">
        <f t="shared" si="2"/>
        <v>0.35011553812758212</v>
      </c>
    </row>
    <row r="13" spans="1:16" ht="15" x14ac:dyDescent="0.3">
      <c r="A13" s="76">
        <v>45170</v>
      </c>
      <c r="B13" s="77">
        <v>0.64870000000000005</v>
      </c>
      <c r="C13" s="77">
        <v>0.56530000000000002</v>
      </c>
      <c r="D13" s="77">
        <v>0.37290000000000001</v>
      </c>
      <c r="E13" s="77">
        <v>0.38990000000000002</v>
      </c>
      <c r="F13" s="77">
        <v>0.93149999999999999</v>
      </c>
      <c r="G13" s="77">
        <v>0.33539999999999998</v>
      </c>
      <c r="H13" s="77">
        <v>61.508899999999997</v>
      </c>
      <c r="I13" s="77">
        <v>0.70320000000000005</v>
      </c>
      <c r="J13" s="77">
        <v>4.6265000000000001</v>
      </c>
      <c r="K13" s="77">
        <v>0.57279999999999998</v>
      </c>
      <c r="L13" s="77">
        <v>0.41739999999999999</v>
      </c>
      <c r="M13" s="77">
        <v>1.1568000000000001</v>
      </c>
      <c r="N13" s="77">
        <v>3.0455999999999999</v>
      </c>
    </row>
    <row r="14" spans="1:16" ht="15" x14ac:dyDescent="0.3">
      <c r="A14" s="76">
        <v>45200</v>
      </c>
      <c r="B14" s="77">
        <v>0.6542</v>
      </c>
      <c r="C14" s="77">
        <v>0.57020000000000004</v>
      </c>
      <c r="D14" s="77">
        <v>0.37419999999999998</v>
      </c>
      <c r="E14" s="77">
        <v>0.39329999999999998</v>
      </c>
      <c r="F14" s="77">
        <v>0.93579999999999997</v>
      </c>
      <c r="G14" s="77">
        <v>0.34089999999999998</v>
      </c>
      <c r="H14" s="77">
        <v>62.112400000000001</v>
      </c>
      <c r="I14" s="77">
        <v>0.70340000000000003</v>
      </c>
      <c r="J14" s="77">
        <v>4.5846999999999998</v>
      </c>
      <c r="K14" s="77">
        <v>0.5736</v>
      </c>
      <c r="L14" s="77">
        <v>0.4163</v>
      </c>
      <c r="M14" s="77">
        <v>1.1574</v>
      </c>
      <c r="N14" s="77">
        <v>3.0421999999999998</v>
      </c>
    </row>
    <row r="15" spans="1:16" ht="15" x14ac:dyDescent="0.3">
      <c r="A15" s="76">
        <v>45231</v>
      </c>
      <c r="B15" s="77">
        <v>0.64470000000000005</v>
      </c>
      <c r="C15" s="77">
        <v>0.57530000000000003</v>
      </c>
      <c r="D15" s="77">
        <v>0.37180000000000002</v>
      </c>
      <c r="E15" s="77">
        <v>0.3871</v>
      </c>
      <c r="F15" s="77">
        <v>0.93540000000000001</v>
      </c>
      <c r="G15" s="77">
        <v>0.3367</v>
      </c>
      <c r="H15" s="77">
        <v>62.744100000000003</v>
      </c>
      <c r="I15" s="77">
        <v>0.69910000000000005</v>
      </c>
      <c r="J15" s="77">
        <v>4.4789000000000003</v>
      </c>
      <c r="K15" s="77">
        <v>0.56940000000000002</v>
      </c>
      <c r="L15" s="77">
        <v>0.41909999999999997</v>
      </c>
      <c r="M15" s="77">
        <v>1.1558999999999999</v>
      </c>
      <c r="N15" s="77">
        <v>3.0291999999999999</v>
      </c>
    </row>
    <row r="16" spans="1:16" ht="15" x14ac:dyDescent="0.3">
      <c r="A16" s="76">
        <v>45261</v>
      </c>
      <c r="B16" s="77">
        <v>0.63480000000000003</v>
      </c>
      <c r="C16" s="77">
        <v>0.57089999999999996</v>
      </c>
      <c r="D16" s="77">
        <v>0.36609999999999998</v>
      </c>
      <c r="E16" s="77">
        <v>0.38869999999999999</v>
      </c>
      <c r="F16" s="77">
        <v>0.9335</v>
      </c>
      <c r="G16" s="77">
        <v>0.3347</v>
      </c>
      <c r="H16" s="77">
        <v>61.13</v>
      </c>
      <c r="I16" s="77">
        <v>0.68269999999999997</v>
      </c>
      <c r="J16" s="77">
        <v>4.3658999999999999</v>
      </c>
      <c r="K16" s="77">
        <v>0.56999999999999995</v>
      </c>
      <c r="L16" s="77">
        <v>0.42459999999999998</v>
      </c>
      <c r="M16" s="77">
        <v>1.1526000000000001</v>
      </c>
      <c r="N16" s="77">
        <v>3.0335000000000001</v>
      </c>
    </row>
    <row r="18" spans="1:56" x14ac:dyDescent="0.3">
      <c r="B18">
        <f>1/B13</f>
        <v>1.5415446277169722</v>
      </c>
      <c r="C18">
        <f t="shared" ref="C18:N18" si="3">1/C13</f>
        <v>1.768972227136034</v>
      </c>
      <c r="D18">
        <f t="shared" si="3"/>
        <v>2.6816840976133012</v>
      </c>
      <c r="E18">
        <f t="shared" si="3"/>
        <v>2.5647601949217749</v>
      </c>
      <c r="F18">
        <f t="shared" si="3"/>
        <v>1.0735373054213635</v>
      </c>
      <c r="G18">
        <f t="shared" si="3"/>
        <v>2.9815146094215863</v>
      </c>
      <c r="H18">
        <f t="shared" si="3"/>
        <v>1.6257809845404488E-2</v>
      </c>
      <c r="I18">
        <f t="shared" si="3"/>
        <v>1.422070534698521</v>
      </c>
      <c r="J18">
        <f t="shared" si="3"/>
        <v>0.21614611477358694</v>
      </c>
      <c r="K18">
        <f t="shared" si="3"/>
        <v>1.7458100558659218</v>
      </c>
      <c r="L18">
        <f t="shared" si="3"/>
        <v>2.3957834211787254</v>
      </c>
      <c r="M18">
        <f t="shared" si="3"/>
        <v>0.86445366528354073</v>
      </c>
      <c r="N18">
        <f t="shared" si="3"/>
        <v>0.32834252692408722</v>
      </c>
    </row>
    <row r="19" spans="1:56" x14ac:dyDescent="0.3">
      <c r="B19">
        <f>1/B14</f>
        <v>1.5285845307245491</v>
      </c>
      <c r="C19">
        <f t="shared" ref="C19:N19" si="4">1/C14</f>
        <v>1.7537706068046299</v>
      </c>
      <c r="D19">
        <f t="shared" si="4"/>
        <v>2.672367717797969</v>
      </c>
      <c r="E19">
        <f t="shared" si="4"/>
        <v>2.5425883549453343</v>
      </c>
      <c r="F19">
        <f t="shared" si="4"/>
        <v>1.0686044026501389</v>
      </c>
      <c r="G19">
        <f t="shared" si="4"/>
        <v>2.9334115576415374</v>
      </c>
      <c r="H19">
        <f t="shared" si="4"/>
        <v>1.6099844797496151E-2</v>
      </c>
      <c r="I19">
        <f t="shared" si="4"/>
        <v>1.4216661927779357</v>
      </c>
      <c r="J19">
        <f t="shared" si="4"/>
        <v>0.21811677972386417</v>
      </c>
      <c r="K19">
        <f t="shared" si="4"/>
        <v>1.7433751743375174</v>
      </c>
      <c r="L19">
        <f t="shared" si="4"/>
        <v>2.4021138601969731</v>
      </c>
      <c r="M19">
        <f t="shared" si="4"/>
        <v>0.86400552963538968</v>
      </c>
      <c r="N19">
        <f t="shared" si="4"/>
        <v>0.32870948655578203</v>
      </c>
    </row>
    <row r="20" spans="1:56" x14ac:dyDescent="0.3">
      <c r="B20">
        <f>1/B16</f>
        <v>1.575299306868305</v>
      </c>
      <c r="C20">
        <f t="shared" ref="C20:N20" si="5">1/C16</f>
        <v>1.7516202487300754</v>
      </c>
      <c r="D20">
        <f t="shared" si="5"/>
        <v>2.7314941272876263</v>
      </c>
      <c r="E20">
        <f t="shared" si="5"/>
        <v>2.5726781579624389</v>
      </c>
      <c r="F20">
        <f t="shared" si="5"/>
        <v>1.0712372790573113</v>
      </c>
      <c r="G20">
        <f t="shared" si="5"/>
        <v>2.987750224081267</v>
      </c>
      <c r="H20">
        <f t="shared" si="5"/>
        <v>1.6358580075249467E-2</v>
      </c>
      <c r="I20">
        <f t="shared" si="5"/>
        <v>1.4647722279185587</v>
      </c>
      <c r="J20">
        <f t="shared" si="5"/>
        <v>0.22904784809546716</v>
      </c>
      <c r="K20">
        <f t="shared" si="5"/>
        <v>1.7543859649122808</v>
      </c>
      <c r="L20">
        <f t="shared" si="5"/>
        <v>2.3551577955723033</v>
      </c>
      <c r="M20">
        <f t="shared" si="5"/>
        <v>0.86760367863959742</v>
      </c>
      <c r="N20">
        <f t="shared" si="5"/>
        <v>0.3296522169111587</v>
      </c>
    </row>
    <row r="29" spans="1:56" ht="15" x14ac:dyDescent="0.3">
      <c r="B29" s="75" t="s">
        <v>122</v>
      </c>
      <c r="C29" s="75" t="s">
        <v>123</v>
      </c>
      <c r="D29" s="75" t="s">
        <v>124</v>
      </c>
      <c r="E29" s="75" t="s">
        <v>125</v>
      </c>
      <c r="F29" s="75" t="s">
        <v>126</v>
      </c>
      <c r="G29" s="75" t="s">
        <v>127</v>
      </c>
      <c r="H29" s="75" t="s">
        <v>128</v>
      </c>
      <c r="I29" s="75" t="s">
        <v>129</v>
      </c>
      <c r="J29" s="75" t="s">
        <v>130</v>
      </c>
      <c r="K29" s="75" t="s">
        <v>131</v>
      </c>
      <c r="L29" s="75" t="s">
        <v>132</v>
      </c>
      <c r="M29" s="75" t="s">
        <v>133</v>
      </c>
      <c r="N29" s="75" t="s">
        <v>134</v>
      </c>
    </row>
    <row r="30" spans="1:56" ht="15" x14ac:dyDescent="0.3">
      <c r="A30" s="76">
        <v>42005</v>
      </c>
      <c r="B30" s="123">
        <v>0.62450000000000006</v>
      </c>
      <c r="C30" s="123">
        <v>0.61260000000000003</v>
      </c>
      <c r="D30" s="123">
        <v>0.7389</v>
      </c>
      <c r="E30" s="123">
        <v>0.43540000000000001</v>
      </c>
      <c r="F30" s="123">
        <v>0.97160000000000002</v>
      </c>
      <c r="G30" s="123">
        <v>0.33429999999999999</v>
      </c>
      <c r="H30" s="123">
        <v>60.113300000000002</v>
      </c>
      <c r="I30" s="123">
        <v>0.65939999999999999</v>
      </c>
      <c r="J30" s="123">
        <v>4.1108000000000002</v>
      </c>
      <c r="K30" s="123">
        <v>0.68010000000000004</v>
      </c>
      <c r="L30" s="123">
        <v>0.50690000000000002</v>
      </c>
      <c r="M30" s="123">
        <v>1.1823999999999999</v>
      </c>
      <c r="N30" s="123">
        <v>3.1507999999999998</v>
      </c>
      <c r="U30" s="74"/>
      <c r="V30" s="124" t="s">
        <v>122</v>
      </c>
      <c r="W30" s="75" t="s">
        <v>123</v>
      </c>
      <c r="X30" s="75" t="s">
        <v>124</v>
      </c>
      <c r="Y30" s="75" t="s">
        <v>125</v>
      </c>
      <c r="Z30" s="75" t="s">
        <v>126</v>
      </c>
      <c r="AA30" s="75" t="s">
        <v>127</v>
      </c>
      <c r="AB30" s="75" t="s">
        <v>128</v>
      </c>
      <c r="AC30" s="126" t="s">
        <v>129</v>
      </c>
      <c r="AD30" s="75" t="s">
        <v>130</v>
      </c>
      <c r="AE30" s="75" t="s">
        <v>131</v>
      </c>
      <c r="AF30" s="128" t="s">
        <v>132</v>
      </c>
      <c r="AG30" s="75" t="s">
        <v>133</v>
      </c>
      <c r="AH30" s="75" t="s">
        <v>134</v>
      </c>
      <c r="AO30" t="s">
        <v>166</v>
      </c>
      <c r="AP30" t="s">
        <v>167</v>
      </c>
      <c r="AT30" t="s">
        <v>168</v>
      </c>
      <c r="AY30" t="s">
        <v>170</v>
      </c>
      <c r="BD30" t="s">
        <v>171</v>
      </c>
    </row>
    <row r="31" spans="1:56" ht="15.6" x14ac:dyDescent="0.3">
      <c r="A31" s="76">
        <v>42036</v>
      </c>
      <c r="B31" s="123">
        <v>0.63900000000000001</v>
      </c>
      <c r="C31" s="123">
        <v>0.62690000000000001</v>
      </c>
      <c r="D31" s="123">
        <v>0.73280000000000001</v>
      </c>
      <c r="E31" s="123">
        <v>0.44040000000000001</v>
      </c>
      <c r="F31" s="123">
        <v>0.97829999999999995</v>
      </c>
      <c r="G31" s="123">
        <v>0.32640000000000002</v>
      </c>
      <c r="H31" s="123">
        <v>59.2652</v>
      </c>
      <c r="I31" s="123">
        <v>0.66920000000000002</v>
      </c>
      <c r="J31" s="123">
        <v>4.1825999999999999</v>
      </c>
      <c r="K31" s="123">
        <v>0.68010000000000004</v>
      </c>
      <c r="L31" s="123">
        <v>0.49990000000000001</v>
      </c>
      <c r="M31" s="123">
        <v>1.1798999999999999</v>
      </c>
      <c r="N31" s="123">
        <v>3.1253000000000002</v>
      </c>
      <c r="U31" s="76">
        <v>42005</v>
      </c>
      <c r="V31" s="125">
        <f>1/B30</f>
        <v>1.6012810248198557</v>
      </c>
      <c r="W31" s="123">
        <f t="shared" ref="W31:AH46" si="6">1/C30</f>
        <v>1.6323865491348351</v>
      </c>
      <c r="X31" s="123">
        <f t="shared" si="6"/>
        <v>1.3533631073216945</v>
      </c>
      <c r="Y31" s="123">
        <f t="shared" si="6"/>
        <v>2.2967386311437759</v>
      </c>
      <c r="Z31" s="123">
        <f t="shared" si="6"/>
        <v>1.029230135858378</v>
      </c>
      <c r="AA31" s="123">
        <f t="shared" si="6"/>
        <v>2.9913251570445709</v>
      </c>
      <c r="AB31" s="123">
        <f t="shared" si="6"/>
        <v>1.663525376247852E-2</v>
      </c>
      <c r="AC31" s="127">
        <f t="shared" si="6"/>
        <v>1.5165301789505612</v>
      </c>
      <c r="AD31" s="123">
        <f t="shared" si="6"/>
        <v>0.24326165223314195</v>
      </c>
      <c r="AE31" s="123">
        <f t="shared" si="6"/>
        <v>1.4703720041170416</v>
      </c>
      <c r="AF31" s="129">
        <f t="shared" si="6"/>
        <v>1.9727756954034326</v>
      </c>
      <c r="AG31" s="123">
        <f t="shared" si="6"/>
        <v>0.84573748308525043</v>
      </c>
      <c r="AH31" s="123">
        <f t="shared" si="6"/>
        <v>0.31737971308873941</v>
      </c>
      <c r="AN31" s="122">
        <v>40238</v>
      </c>
      <c r="AO31" s="131">
        <v>101.3</v>
      </c>
      <c r="AP31" s="131">
        <v>112.3</v>
      </c>
      <c r="AS31" s="122">
        <v>40238</v>
      </c>
      <c r="AT31" s="136">
        <v>284.7</v>
      </c>
    </row>
    <row r="32" spans="1:56" ht="15.6" x14ac:dyDescent="0.3">
      <c r="A32" s="76">
        <v>42064</v>
      </c>
      <c r="B32" s="123">
        <v>0.64049999999999996</v>
      </c>
      <c r="C32" s="123">
        <v>0.628</v>
      </c>
      <c r="D32" s="123">
        <v>0.74319999999999997</v>
      </c>
      <c r="E32" s="123">
        <v>0.45929999999999999</v>
      </c>
      <c r="F32" s="123">
        <v>0.97570000000000001</v>
      </c>
      <c r="G32" s="123">
        <v>0.3322</v>
      </c>
      <c r="H32" s="123">
        <v>59.819800000000001</v>
      </c>
      <c r="I32" s="123">
        <v>0.66349999999999998</v>
      </c>
      <c r="J32" s="123">
        <v>4.2519</v>
      </c>
      <c r="K32" s="123">
        <v>0.6875</v>
      </c>
      <c r="L32" s="123">
        <v>0.49740000000000001</v>
      </c>
      <c r="M32" s="123">
        <v>1.1620999999999999</v>
      </c>
      <c r="N32" s="123">
        <v>3.1038000000000001</v>
      </c>
      <c r="U32" s="76">
        <v>42036</v>
      </c>
      <c r="V32" s="125">
        <f t="shared" ref="V32:V95" si="7">1/B31</f>
        <v>1.5649452269170578</v>
      </c>
      <c r="W32" s="123">
        <f t="shared" si="6"/>
        <v>1.595150741745095</v>
      </c>
      <c r="X32" s="123">
        <f t="shared" si="6"/>
        <v>1.3646288209606987</v>
      </c>
      <c r="Y32" s="123">
        <f t="shared" si="6"/>
        <v>2.2706630336058127</v>
      </c>
      <c r="Z32" s="123">
        <f t="shared" si="6"/>
        <v>1.0221813349688236</v>
      </c>
      <c r="AA32" s="123">
        <f t="shared" si="6"/>
        <v>3.0637254901960782</v>
      </c>
      <c r="AB32" s="123">
        <f t="shared" si="6"/>
        <v>1.6873308450827806E-2</v>
      </c>
      <c r="AC32" s="127">
        <f t="shared" si="6"/>
        <v>1.4943215780035863</v>
      </c>
      <c r="AD32" s="123">
        <f t="shared" si="6"/>
        <v>0.2390857361449816</v>
      </c>
      <c r="AE32" s="123">
        <f t="shared" si="6"/>
        <v>1.4703720041170416</v>
      </c>
      <c r="AF32" s="129">
        <f t="shared" si="6"/>
        <v>2.0004000800160031</v>
      </c>
      <c r="AG32" s="123">
        <f t="shared" si="6"/>
        <v>0.84752945164844484</v>
      </c>
      <c r="AH32" s="123">
        <f t="shared" si="6"/>
        <v>0.31996928294883692</v>
      </c>
      <c r="AN32" s="122">
        <v>40269</v>
      </c>
      <c r="AO32" s="131">
        <v>99.3</v>
      </c>
      <c r="AP32" s="131">
        <v>111.1</v>
      </c>
      <c r="AS32" s="122">
        <v>40269</v>
      </c>
      <c r="AT32" s="136">
        <v>285.10000000000002</v>
      </c>
    </row>
    <row r="33" spans="1:46" ht="15.6" x14ac:dyDescent="0.3">
      <c r="A33" s="76">
        <v>42095</v>
      </c>
      <c r="B33" s="123">
        <v>0.64280000000000004</v>
      </c>
      <c r="C33" s="123">
        <v>0.61729999999999996</v>
      </c>
      <c r="D33" s="123">
        <v>0.7419</v>
      </c>
      <c r="E33" s="123">
        <v>0.46310000000000001</v>
      </c>
      <c r="F33" s="123">
        <v>0.97770000000000001</v>
      </c>
      <c r="G33" s="123">
        <v>0.33410000000000001</v>
      </c>
      <c r="H33" s="123">
        <v>59.6417</v>
      </c>
      <c r="I33" s="123">
        <v>0.65490000000000004</v>
      </c>
      <c r="J33" s="123">
        <v>4.3296000000000001</v>
      </c>
      <c r="K33" s="123">
        <v>0.67669999999999997</v>
      </c>
      <c r="L33" s="123">
        <v>0.49919999999999998</v>
      </c>
      <c r="M33" s="123">
        <v>1.1735</v>
      </c>
      <c r="N33" s="123">
        <v>3.0962000000000001</v>
      </c>
      <c r="U33" s="76">
        <v>42064</v>
      </c>
      <c r="V33" s="125">
        <f t="shared" si="7"/>
        <v>1.5612802498048401</v>
      </c>
      <c r="W33" s="123">
        <f t="shared" si="6"/>
        <v>1.5923566878980893</v>
      </c>
      <c r="X33" s="123">
        <f t="shared" si="6"/>
        <v>1.3455328310010766</v>
      </c>
      <c r="Y33" s="123">
        <f t="shared" si="6"/>
        <v>2.1772262138036145</v>
      </c>
      <c r="Z33" s="123">
        <f t="shared" si="6"/>
        <v>1.0249051962693452</v>
      </c>
      <c r="AA33" s="123">
        <f t="shared" si="6"/>
        <v>3.0102347983142685</v>
      </c>
      <c r="AB33" s="123">
        <f t="shared" si="6"/>
        <v>1.6716873008602504E-2</v>
      </c>
      <c r="AC33" s="127">
        <f t="shared" si="6"/>
        <v>1.5071590052750565</v>
      </c>
      <c r="AD33" s="123">
        <f t="shared" si="6"/>
        <v>0.2351889743408829</v>
      </c>
      <c r="AE33" s="123">
        <f t="shared" si="6"/>
        <v>1.4545454545454546</v>
      </c>
      <c r="AF33" s="129">
        <f t="shared" si="6"/>
        <v>2.0104543626859668</v>
      </c>
      <c r="AG33" s="123">
        <f t="shared" si="6"/>
        <v>0.86051114361930992</v>
      </c>
      <c r="AH33" s="123">
        <f t="shared" si="6"/>
        <v>0.32218570784200012</v>
      </c>
      <c r="AN33" s="122">
        <v>40299</v>
      </c>
      <c r="AO33" s="131">
        <v>99</v>
      </c>
      <c r="AP33" s="131">
        <v>112</v>
      </c>
      <c r="AS33" s="122">
        <v>40299</v>
      </c>
      <c r="AT33" s="136">
        <v>289.10000000000002</v>
      </c>
    </row>
    <row r="34" spans="1:46" ht="15.6" x14ac:dyDescent="0.3">
      <c r="A34" s="76">
        <v>42125</v>
      </c>
      <c r="B34" s="123">
        <v>0.62419999999999998</v>
      </c>
      <c r="C34" s="123">
        <v>0.60350000000000004</v>
      </c>
      <c r="D34" s="123">
        <v>0.73029999999999995</v>
      </c>
      <c r="E34" s="123">
        <v>0.44369999999999998</v>
      </c>
      <c r="F34" s="123">
        <v>0.96430000000000005</v>
      </c>
      <c r="G34" s="123">
        <v>0.3206</v>
      </c>
      <c r="H34" s="123">
        <v>59.693100000000001</v>
      </c>
      <c r="I34" s="123">
        <v>0.66620000000000001</v>
      </c>
      <c r="J34" s="123">
        <v>4.1346999999999996</v>
      </c>
      <c r="K34" s="123">
        <v>0.66320000000000001</v>
      </c>
      <c r="L34" s="123">
        <v>0.49540000000000001</v>
      </c>
      <c r="M34" s="123">
        <v>1.1735</v>
      </c>
      <c r="N34" s="123">
        <v>3.0979000000000001</v>
      </c>
      <c r="U34" s="76">
        <v>42095</v>
      </c>
      <c r="V34" s="125">
        <f t="shared" si="7"/>
        <v>1.5556938394523956</v>
      </c>
      <c r="W34" s="123">
        <f t="shared" si="6"/>
        <v>1.6199578810950916</v>
      </c>
      <c r="X34" s="123">
        <f t="shared" si="6"/>
        <v>1.3478905512872354</v>
      </c>
      <c r="Y34" s="123">
        <f t="shared" si="6"/>
        <v>2.1593608291945583</v>
      </c>
      <c r="Z34" s="123">
        <f t="shared" si="6"/>
        <v>1.0228086325048584</v>
      </c>
      <c r="AA34" s="123">
        <f t="shared" si="6"/>
        <v>2.9931158335827597</v>
      </c>
      <c r="AB34" s="123">
        <f t="shared" si="6"/>
        <v>1.6766792361720073E-2</v>
      </c>
      <c r="AC34" s="127">
        <f t="shared" si="6"/>
        <v>1.5269506794930523</v>
      </c>
      <c r="AD34" s="123">
        <f t="shared" si="6"/>
        <v>0.23096821877309681</v>
      </c>
      <c r="AE34" s="123">
        <f t="shared" si="6"/>
        <v>1.4777597162701346</v>
      </c>
      <c r="AF34" s="129">
        <f t="shared" si="6"/>
        <v>2.0032051282051282</v>
      </c>
      <c r="AG34" s="123">
        <f t="shared" si="6"/>
        <v>0.85215168299957389</v>
      </c>
      <c r="AH34" s="123">
        <f t="shared" si="6"/>
        <v>0.32297655190233188</v>
      </c>
      <c r="AN34" s="122">
        <v>40330</v>
      </c>
      <c r="AO34" s="131">
        <v>101.1</v>
      </c>
      <c r="AP34" s="131">
        <v>112.2</v>
      </c>
      <c r="AS34" s="122">
        <v>40330</v>
      </c>
      <c r="AT34" s="136">
        <v>291.5</v>
      </c>
    </row>
    <row r="35" spans="1:46" ht="15.6" x14ac:dyDescent="0.3">
      <c r="A35" s="76">
        <v>42156</v>
      </c>
      <c r="B35" s="123">
        <v>0.61750000000000005</v>
      </c>
      <c r="C35" s="123">
        <v>0.59279999999999999</v>
      </c>
      <c r="D35" s="123">
        <v>0.72250000000000003</v>
      </c>
      <c r="E35" s="123">
        <v>0.4269</v>
      </c>
      <c r="F35" s="123">
        <v>0.94840000000000002</v>
      </c>
      <c r="G35" s="123">
        <v>0.30769999999999997</v>
      </c>
      <c r="H35" s="123">
        <v>59.190100000000001</v>
      </c>
      <c r="I35" s="123">
        <v>0.68069999999999997</v>
      </c>
      <c r="J35" s="123">
        <v>3.9651000000000001</v>
      </c>
      <c r="K35" s="123">
        <v>0.64680000000000004</v>
      </c>
      <c r="L35" s="123">
        <v>0.47920000000000001</v>
      </c>
      <c r="M35" s="123">
        <v>1.1420999999999999</v>
      </c>
      <c r="N35" s="123">
        <v>2.9735999999999998</v>
      </c>
      <c r="U35" s="76">
        <v>42125</v>
      </c>
      <c r="V35" s="125">
        <f t="shared" si="7"/>
        <v>1.6020506247997437</v>
      </c>
      <c r="W35" s="123">
        <f t="shared" si="6"/>
        <v>1.6570008285004141</v>
      </c>
      <c r="X35" s="123">
        <f t="shared" si="6"/>
        <v>1.3693002875530604</v>
      </c>
      <c r="Y35" s="123">
        <f t="shared" si="6"/>
        <v>2.2537750732476898</v>
      </c>
      <c r="Z35" s="123">
        <f t="shared" si="6"/>
        <v>1.0370216737529814</v>
      </c>
      <c r="AA35" s="123">
        <f t="shared" si="6"/>
        <v>3.1191515907673115</v>
      </c>
      <c r="AB35" s="123">
        <f t="shared" si="6"/>
        <v>1.6752354962298825E-2</v>
      </c>
      <c r="AC35" s="127">
        <f t="shared" si="6"/>
        <v>1.5010507355148603</v>
      </c>
      <c r="AD35" s="123">
        <f t="shared" si="6"/>
        <v>0.24185551551503134</v>
      </c>
      <c r="AE35" s="123">
        <f t="shared" si="6"/>
        <v>1.5078407720144753</v>
      </c>
      <c r="AF35" s="129">
        <f t="shared" si="6"/>
        <v>2.0185708518368997</v>
      </c>
      <c r="AG35" s="123">
        <f t="shared" si="6"/>
        <v>0.85215168299957389</v>
      </c>
      <c r="AH35" s="123">
        <f t="shared" si="6"/>
        <v>0.32279931566545078</v>
      </c>
      <c r="AN35" s="122">
        <v>40360</v>
      </c>
      <c r="AO35" s="131">
        <v>99.9</v>
      </c>
      <c r="AP35" s="131">
        <v>114.8</v>
      </c>
      <c r="AS35" s="122">
        <v>40360</v>
      </c>
      <c r="AT35" s="136">
        <v>291.2</v>
      </c>
    </row>
    <row r="36" spans="1:46" ht="15.6" x14ac:dyDescent="0.3">
      <c r="A36" s="76">
        <v>42186</v>
      </c>
      <c r="B36" s="123">
        <v>0.62319999999999998</v>
      </c>
      <c r="C36" s="123">
        <v>0.59719999999999995</v>
      </c>
      <c r="D36" s="123">
        <v>0.72089999999999999</v>
      </c>
      <c r="E36" s="123">
        <v>0.42259999999999998</v>
      </c>
      <c r="F36" s="123">
        <v>0.94359999999999999</v>
      </c>
      <c r="G36" s="123">
        <v>0.29870000000000002</v>
      </c>
      <c r="H36" s="123">
        <v>57.198500000000003</v>
      </c>
      <c r="I36" s="123">
        <v>0.69540000000000002</v>
      </c>
      <c r="J36" s="123">
        <v>3.9645000000000001</v>
      </c>
      <c r="K36" s="123">
        <v>0.6351</v>
      </c>
      <c r="L36" s="123">
        <v>0.46450000000000002</v>
      </c>
      <c r="M36" s="123">
        <v>1.1463000000000001</v>
      </c>
      <c r="N36" s="123">
        <v>2.8837999999999999</v>
      </c>
      <c r="U36" s="76">
        <v>42156</v>
      </c>
      <c r="V36" s="125">
        <f t="shared" si="7"/>
        <v>1.6194331983805668</v>
      </c>
      <c r="W36" s="123">
        <f t="shared" si="6"/>
        <v>1.6869095816464237</v>
      </c>
      <c r="X36" s="123">
        <f t="shared" si="6"/>
        <v>1.3840830449826989</v>
      </c>
      <c r="Y36" s="123">
        <f t="shared" si="6"/>
        <v>2.3424689622862496</v>
      </c>
      <c r="Z36" s="123">
        <f t="shared" si="6"/>
        <v>1.0544074230282581</v>
      </c>
      <c r="AA36" s="123">
        <f t="shared" si="6"/>
        <v>3.2499187520311996</v>
      </c>
      <c r="AB36" s="123">
        <f t="shared" si="6"/>
        <v>1.6894717190881581E-2</v>
      </c>
      <c r="AC36" s="127">
        <f t="shared" si="6"/>
        <v>1.4690759512266784</v>
      </c>
      <c r="AD36" s="123">
        <f t="shared" si="6"/>
        <v>0.25220044891679905</v>
      </c>
      <c r="AE36" s="123">
        <f t="shared" si="6"/>
        <v>1.5460729746444031</v>
      </c>
      <c r="AF36" s="129">
        <f t="shared" si="6"/>
        <v>2.0868113522537564</v>
      </c>
      <c r="AG36" s="123">
        <f t="shared" si="6"/>
        <v>0.87558007179756592</v>
      </c>
      <c r="AH36" s="123">
        <f t="shared" si="6"/>
        <v>0.33629270917406512</v>
      </c>
      <c r="AN36" s="122">
        <v>40391</v>
      </c>
      <c r="AO36" s="131">
        <v>98.5</v>
      </c>
      <c r="AP36" s="131">
        <v>115.2</v>
      </c>
      <c r="AS36" s="122">
        <v>40391</v>
      </c>
      <c r="AT36" s="136">
        <v>288.89999999999998</v>
      </c>
    </row>
    <row r="37" spans="1:46" ht="15.6" x14ac:dyDescent="0.3">
      <c r="A37" s="76">
        <v>42217</v>
      </c>
      <c r="B37" s="123">
        <v>0.62529999999999997</v>
      </c>
      <c r="C37" s="123">
        <v>0.60389999999999999</v>
      </c>
      <c r="D37" s="123">
        <v>0.72150000000000003</v>
      </c>
      <c r="E37" s="123">
        <v>0.41170000000000001</v>
      </c>
      <c r="F37" s="123">
        <v>0.93720000000000003</v>
      </c>
      <c r="G37" s="123">
        <v>0.29399999999999998</v>
      </c>
      <c r="H37" s="123">
        <v>56.463700000000003</v>
      </c>
      <c r="I37" s="123">
        <v>0.69710000000000005</v>
      </c>
      <c r="J37" s="123">
        <v>3.9312999999999998</v>
      </c>
      <c r="K37" s="123">
        <v>0.64300000000000002</v>
      </c>
      <c r="L37" s="123">
        <v>0.45860000000000001</v>
      </c>
      <c r="M37" s="123">
        <v>1.1609</v>
      </c>
      <c r="N37" s="123">
        <v>2.9039999999999999</v>
      </c>
      <c r="U37" s="76">
        <v>42186</v>
      </c>
      <c r="V37" s="125">
        <f t="shared" si="7"/>
        <v>1.6046213093709885</v>
      </c>
      <c r="W37" s="123">
        <f t="shared" si="6"/>
        <v>1.6744809109176158</v>
      </c>
      <c r="X37" s="123">
        <f t="shared" si="6"/>
        <v>1.3871549452073797</v>
      </c>
      <c r="Y37" s="123">
        <f t="shared" si="6"/>
        <v>2.3663038334122102</v>
      </c>
      <c r="Z37" s="123">
        <f t="shared" si="6"/>
        <v>1.0597710894446799</v>
      </c>
      <c r="AA37" s="123">
        <f t="shared" si="6"/>
        <v>3.3478406427854033</v>
      </c>
      <c r="AB37" s="123">
        <f t="shared" si="6"/>
        <v>1.7482975952166576E-2</v>
      </c>
      <c r="AC37" s="127">
        <f t="shared" si="6"/>
        <v>1.4380212827149841</v>
      </c>
      <c r="AD37" s="123">
        <f t="shared" si="6"/>
        <v>0.25223861773237483</v>
      </c>
      <c r="AE37" s="123">
        <f t="shared" si="6"/>
        <v>1.5745551881593449</v>
      </c>
      <c r="AF37" s="129">
        <f t="shared" si="6"/>
        <v>2.1528525296017222</v>
      </c>
      <c r="AG37" s="123">
        <f t="shared" si="6"/>
        <v>0.87237197941202116</v>
      </c>
      <c r="AH37" s="123">
        <f t="shared" si="6"/>
        <v>0.34676468548443029</v>
      </c>
      <c r="AN37" s="122">
        <v>40422</v>
      </c>
      <c r="AO37" s="131">
        <v>99.2</v>
      </c>
      <c r="AP37" s="131">
        <v>115.7</v>
      </c>
      <c r="AS37" s="122">
        <v>40422</v>
      </c>
      <c r="AT37" s="136">
        <v>286.8</v>
      </c>
    </row>
    <row r="38" spans="1:46" ht="15.6" x14ac:dyDescent="0.3">
      <c r="A38" s="76">
        <v>42248</v>
      </c>
      <c r="B38" s="123">
        <v>0.63270000000000004</v>
      </c>
      <c r="C38" s="123">
        <v>0.5948</v>
      </c>
      <c r="D38" s="123">
        <v>0.434</v>
      </c>
      <c r="E38" s="123">
        <v>0.39760000000000001</v>
      </c>
      <c r="F38" s="123">
        <v>0.92520000000000002</v>
      </c>
      <c r="G38" s="123">
        <v>0.29239999999999999</v>
      </c>
      <c r="H38" s="123">
        <v>53.733699999999999</v>
      </c>
      <c r="I38" s="123">
        <v>0.70430000000000004</v>
      </c>
      <c r="J38" s="123">
        <v>3.7557</v>
      </c>
      <c r="K38" s="123">
        <v>0.63619999999999999</v>
      </c>
      <c r="L38" s="123">
        <v>0.4476</v>
      </c>
      <c r="M38" s="123">
        <v>1.1543000000000001</v>
      </c>
      <c r="N38" s="123">
        <v>2.8513999999999999</v>
      </c>
      <c r="U38" s="76">
        <v>42217</v>
      </c>
      <c r="V38" s="125">
        <f t="shared" si="7"/>
        <v>1.5992323684631378</v>
      </c>
      <c r="W38" s="123">
        <f t="shared" si="6"/>
        <v>1.6559032952475576</v>
      </c>
      <c r="X38" s="123">
        <f t="shared" si="6"/>
        <v>1.386001386001386</v>
      </c>
      <c r="Y38" s="123">
        <f t="shared" si="6"/>
        <v>2.4289531212047608</v>
      </c>
      <c r="Z38" s="123">
        <f t="shared" si="6"/>
        <v>1.0670081092616304</v>
      </c>
      <c r="AA38" s="123">
        <f t="shared" si="6"/>
        <v>3.4013605442176873</v>
      </c>
      <c r="AB38" s="123">
        <f t="shared" si="6"/>
        <v>1.7710493644589355E-2</v>
      </c>
      <c r="AC38" s="127">
        <f t="shared" si="6"/>
        <v>1.4345144168698893</v>
      </c>
      <c r="AD38" s="123">
        <f t="shared" si="6"/>
        <v>0.25436878386284434</v>
      </c>
      <c r="AE38" s="123">
        <f t="shared" si="6"/>
        <v>1.5552099533437014</v>
      </c>
      <c r="AF38" s="129">
        <f t="shared" si="6"/>
        <v>2.1805494984736153</v>
      </c>
      <c r="AG38" s="123">
        <f t="shared" si="6"/>
        <v>0.86140063743647166</v>
      </c>
      <c r="AH38" s="123">
        <f t="shared" si="6"/>
        <v>0.34435261707988984</v>
      </c>
      <c r="AN38" s="122">
        <v>40452</v>
      </c>
      <c r="AO38" s="131">
        <v>99.5</v>
      </c>
      <c r="AP38" s="131">
        <v>115.2</v>
      </c>
      <c r="AS38" s="122">
        <v>40452</v>
      </c>
      <c r="AT38" s="136">
        <v>302.5</v>
      </c>
    </row>
    <row r="39" spans="1:46" ht="15.6" x14ac:dyDescent="0.3">
      <c r="A39" s="76">
        <v>42278</v>
      </c>
      <c r="B39" s="123">
        <v>0.62639999999999996</v>
      </c>
      <c r="C39" s="123">
        <v>0.59309999999999996</v>
      </c>
      <c r="D39" s="123">
        <v>0.46160000000000001</v>
      </c>
      <c r="E39" s="123">
        <v>0.40239999999999998</v>
      </c>
      <c r="F39" s="123">
        <v>0.92300000000000004</v>
      </c>
      <c r="G39" s="123">
        <v>0.2954</v>
      </c>
      <c r="H39" s="123">
        <v>54.340899999999998</v>
      </c>
      <c r="I39" s="123">
        <v>0.67589999999999995</v>
      </c>
      <c r="J39" s="123">
        <v>3.7789999999999999</v>
      </c>
      <c r="K39" s="123">
        <v>0.63680000000000003</v>
      </c>
      <c r="L39" s="123">
        <v>0.45300000000000001</v>
      </c>
      <c r="M39" s="123">
        <v>1.1496</v>
      </c>
      <c r="N39" s="123">
        <v>2.8751000000000002</v>
      </c>
      <c r="U39" s="76">
        <v>42248</v>
      </c>
      <c r="V39" s="125">
        <f t="shared" si="7"/>
        <v>1.5805278963173699</v>
      </c>
      <c r="W39" s="123">
        <f t="shared" si="6"/>
        <v>1.6812373907195697</v>
      </c>
      <c r="X39" s="123">
        <f t="shared" si="6"/>
        <v>2.3041474654377883</v>
      </c>
      <c r="Y39" s="123">
        <f t="shared" si="6"/>
        <v>2.5150905432595572</v>
      </c>
      <c r="Z39" s="123">
        <f t="shared" si="6"/>
        <v>1.0808473843493298</v>
      </c>
      <c r="AA39" s="123">
        <f t="shared" si="6"/>
        <v>3.4199726402188784</v>
      </c>
      <c r="AB39" s="123">
        <f t="shared" si="6"/>
        <v>1.8610294842901196E-2</v>
      </c>
      <c r="AC39" s="127">
        <f t="shared" si="6"/>
        <v>1.4198494959534289</v>
      </c>
      <c r="AD39" s="123">
        <f t="shared" si="6"/>
        <v>0.26626194850493917</v>
      </c>
      <c r="AE39" s="123">
        <f t="shared" si="6"/>
        <v>1.5718327569946557</v>
      </c>
      <c r="AF39" s="129">
        <f t="shared" si="6"/>
        <v>2.2341376228775691</v>
      </c>
      <c r="AG39" s="123">
        <f t="shared" si="6"/>
        <v>0.8663259118080221</v>
      </c>
      <c r="AH39" s="123">
        <f t="shared" si="6"/>
        <v>0.3507049168829347</v>
      </c>
      <c r="AN39" s="122">
        <v>40483</v>
      </c>
      <c r="AO39" s="131">
        <v>100.7</v>
      </c>
      <c r="AP39" s="131">
        <v>114.6</v>
      </c>
      <c r="AS39" s="122">
        <v>40483</v>
      </c>
      <c r="AT39" s="136">
        <v>297.3</v>
      </c>
    </row>
    <row r="40" spans="1:46" ht="15.6" x14ac:dyDescent="0.3">
      <c r="A40" s="76">
        <v>42309</v>
      </c>
      <c r="B40" s="123">
        <v>0.62439999999999996</v>
      </c>
      <c r="C40" s="123">
        <v>0.59499999999999997</v>
      </c>
      <c r="D40" s="123">
        <v>0.45040000000000002</v>
      </c>
      <c r="E40" s="123">
        <v>0.4163</v>
      </c>
      <c r="F40" s="123">
        <v>0.92620000000000002</v>
      </c>
      <c r="G40" s="123">
        <v>0.29430000000000001</v>
      </c>
      <c r="H40" s="123">
        <v>54.845100000000002</v>
      </c>
      <c r="I40" s="123">
        <v>0.6804</v>
      </c>
      <c r="J40" s="123">
        <v>3.8956</v>
      </c>
      <c r="K40" s="123">
        <v>0.63539999999999996</v>
      </c>
      <c r="L40" s="123">
        <v>0.4476</v>
      </c>
      <c r="M40" s="123">
        <v>1.1399999999999999</v>
      </c>
      <c r="N40" s="123">
        <v>2.8506999999999998</v>
      </c>
      <c r="U40" s="76">
        <v>42278</v>
      </c>
      <c r="V40" s="125">
        <f t="shared" si="7"/>
        <v>1.5964240102171137</v>
      </c>
      <c r="W40" s="123">
        <f t="shared" si="6"/>
        <v>1.6860563142808971</v>
      </c>
      <c r="X40" s="123">
        <f t="shared" si="6"/>
        <v>2.1663778162911611</v>
      </c>
      <c r="Y40" s="123">
        <f t="shared" si="6"/>
        <v>2.4850894632206759</v>
      </c>
      <c r="Z40" s="123">
        <f t="shared" si="6"/>
        <v>1.0834236186348862</v>
      </c>
      <c r="AA40" s="123">
        <f t="shared" si="6"/>
        <v>3.3852403520649967</v>
      </c>
      <c r="AB40" s="123">
        <f t="shared" si="6"/>
        <v>1.8402345194871637E-2</v>
      </c>
      <c r="AC40" s="127">
        <f t="shared" si="6"/>
        <v>1.4795088030773784</v>
      </c>
      <c r="AD40" s="123">
        <f t="shared" si="6"/>
        <v>0.26462026991267534</v>
      </c>
      <c r="AE40" s="123">
        <f t="shared" si="6"/>
        <v>1.5703517587939697</v>
      </c>
      <c r="AF40" s="129">
        <f t="shared" si="6"/>
        <v>2.2075055187637966</v>
      </c>
      <c r="AG40" s="123">
        <f t="shared" si="6"/>
        <v>0.86986778009742527</v>
      </c>
      <c r="AH40" s="123">
        <f t="shared" si="6"/>
        <v>0.3478139890786407</v>
      </c>
      <c r="AN40" s="122">
        <v>40513</v>
      </c>
      <c r="AO40" s="131">
        <v>101.2</v>
      </c>
      <c r="AP40" s="131">
        <v>114.6</v>
      </c>
      <c r="AS40" s="122">
        <v>40513</v>
      </c>
      <c r="AT40" s="137">
        <v>305.5</v>
      </c>
    </row>
    <row r="41" spans="1:46" ht="15.6" x14ac:dyDescent="0.3">
      <c r="A41" s="76">
        <v>42339</v>
      </c>
      <c r="B41" s="123">
        <v>0.61850000000000005</v>
      </c>
      <c r="C41" s="123">
        <v>0.61739999999999995</v>
      </c>
      <c r="D41" s="123">
        <v>0.44679999999999997</v>
      </c>
      <c r="E41" s="123">
        <v>0.41249999999999998</v>
      </c>
      <c r="F41" s="123">
        <v>0.92100000000000004</v>
      </c>
      <c r="G41" s="123">
        <v>0.29970000000000002</v>
      </c>
      <c r="H41" s="123">
        <v>54.729599999999998</v>
      </c>
      <c r="I41" s="123">
        <v>0.66559999999999997</v>
      </c>
      <c r="J41" s="123">
        <v>3.8346</v>
      </c>
      <c r="K41" s="123">
        <v>0.63590000000000002</v>
      </c>
      <c r="L41" s="123">
        <v>0.44979999999999998</v>
      </c>
      <c r="M41" s="123">
        <v>1.1385000000000001</v>
      </c>
      <c r="N41" s="123">
        <v>2.9009</v>
      </c>
      <c r="U41" s="76">
        <v>42309</v>
      </c>
      <c r="V41" s="125">
        <f t="shared" si="7"/>
        <v>1.6015374759769381</v>
      </c>
      <c r="W41" s="123">
        <f t="shared" si="6"/>
        <v>1.680672268907563</v>
      </c>
      <c r="X41" s="123">
        <f t="shared" si="6"/>
        <v>2.2202486678507993</v>
      </c>
      <c r="Y41" s="123">
        <f t="shared" si="6"/>
        <v>2.4021138601969731</v>
      </c>
      <c r="Z41" s="123">
        <f t="shared" si="6"/>
        <v>1.0796804145972791</v>
      </c>
      <c r="AA41" s="123">
        <f t="shared" si="6"/>
        <v>3.3978933061501868</v>
      </c>
      <c r="AB41" s="123">
        <f t="shared" si="6"/>
        <v>1.8233169417140274E-2</v>
      </c>
      <c r="AC41" s="127">
        <f t="shared" si="6"/>
        <v>1.4697236919459142</v>
      </c>
      <c r="AD41" s="123">
        <f t="shared" si="6"/>
        <v>0.25669986651606941</v>
      </c>
      <c r="AE41" s="123">
        <f t="shared" si="6"/>
        <v>1.5738117721120555</v>
      </c>
      <c r="AF41" s="129">
        <f t="shared" si="6"/>
        <v>2.2341376228775691</v>
      </c>
      <c r="AG41" s="123">
        <f t="shared" si="6"/>
        <v>0.87719298245614041</v>
      </c>
      <c r="AH41" s="123">
        <f t="shared" si="6"/>
        <v>0.3507910337811766</v>
      </c>
      <c r="AN41" s="122">
        <v>40544</v>
      </c>
      <c r="AO41" s="131">
        <v>100.9</v>
      </c>
      <c r="AP41" s="131">
        <v>116.5</v>
      </c>
      <c r="AS41" s="122">
        <v>40544</v>
      </c>
      <c r="AT41" s="136">
        <v>297.5</v>
      </c>
    </row>
    <row r="42" spans="1:46" ht="15.6" x14ac:dyDescent="0.3">
      <c r="A42" s="76">
        <v>42370</v>
      </c>
      <c r="B42" s="123">
        <v>0.62949999999999995</v>
      </c>
      <c r="C42" s="123">
        <v>0.63039999999999996</v>
      </c>
      <c r="D42" s="123">
        <v>0.44400000000000001</v>
      </c>
      <c r="E42" s="123">
        <v>0.40620000000000001</v>
      </c>
      <c r="F42" s="123">
        <v>0.91810000000000003</v>
      </c>
      <c r="G42" s="123">
        <v>0.30690000000000001</v>
      </c>
      <c r="H42" s="123">
        <v>52.311300000000003</v>
      </c>
      <c r="I42" s="123">
        <v>0.67500000000000004</v>
      </c>
      <c r="J42" s="123">
        <v>3.7881999999999998</v>
      </c>
      <c r="K42" s="123">
        <v>0.63649999999999995</v>
      </c>
      <c r="L42" s="123">
        <v>0.44240000000000002</v>
      </c>
      <c r="M42" s="123">
        <v>1.1294</v>
      </c>
      <c r="N42" s="123">
        <v>2.9064000000000001</v>
      </c>
      <c r="U42" s="76">
        <v>42339</v>
      </c>
      <c r="V42" s="125">
        <f t="shared" si="7"/>
        <v>1.6168148746968471</v>
      </c>
      <c r="W42" s="123">
        <f t="shared" si="6"/>
        <v>1.6196954972465178</v>
      </c>
      <c r="X42" s="123">
        <f t="shared" si="6"/>
        <v>2.2381378692927485</v>
      </c>
      <c r="Y42" s="123">
        <f t="shared" si="6"/>
        <v>2.4242424242424243</v>
      </c>
      <c r="Z42" s="123">
        <f t="shared" si="6"/>
        <v>1.0857763300760044</v>
      </c>
      <c r="AA42" s="123">
        <f t="shared" si="6"/>
        <v>3.3366700033366699</v>
      </c>
      <c r="AB42" s="123">
        <f t="shared" si="6"/>
        <v>1.8271648248845234E-2</v>
      </c>
      <c r="AC42" s="127">
        <f t="shared" si="6"/>
        <v>1.5024038461538463</v>
      </c>
      <c r="AD42" s="123">
        <f t="shared" si="6"/>
        <v>0.2607833933135138</v>
      </c>
      <c r="AE42" s="123">
        <f t="shared" si="6"/>
        <v>1.5725743041358704</v>
      </c>
      <c r="AF42" s="129">
        <f t="shared" si="6"/>
        <v>2.2232103156958649</v>
      </c>
      <c r="AG42" s="123">
        <f t="shared" si="6"/>
        <v>0.87834870443566093</v>
      </c>
      <c r="AH42" s="123">
        <f t="shared" si="6"/>
        <v>0.34472060395049814</v>
      </c>
      <c r="AN42" s="122">
        <v>40575</v>
      </c>
      <c r="AO42" s="131">
        <v>101.2</v>
      </c>
      <c r="AP42" s="131">
        <v>116</v>
      </c>
      <c r="AS42" s="122">
        <v>40575</v>
      </c>
      <c r="AT42" s="136">
        <v>287.89999999999998</v>
      </c>
    </row>
    <row r="43" spans="1:46" ht="15.6" x14ac:dyDescent="0.3">
      <c r="A43" s="76">
        <v>42401</v>
      </c>
      <c r="B43" s="123">
        <v>0.61870000000000003</v>
      </c>
      <c r="C43" s="123">
        <v>0.61209999999999998</v>
      </c>
      <c r="D43" s="123">
        <v>0.438</v>
      </c>
      <c r="E43" s="123">
        <v>0.3977</v>
      </c>
      <c r="F43" s="123">
        <v>0.91</v>
      </c>
      <c r="G43" s="123">
        <v>0.30859999999999999</v>
      </c>
      <c r="H43" s="123">
        <v>50.928699999999999</v>
      </c>
      <c r="I43" s="123">
        <v>0.66710000000000003</v>
      </c>
      <c r="J43" s="123">
        <v>3.7565</v>
      </c>
      <c r="K43" s="123">
        <v>0.62390000000000001</v>
      </c>
      <c r="L43" s="123">
        <v>0.44240000000000002</v>
      </c>
      <c r="M43" s="123">
        <v>1.1242000000000001</v>
      </c>
      <c r="N43" s="123">
        <v>2.891</v>
      </c>
      <c r="U43" s="76">
        <v>42370</v>
      </c>
      <c r="V43" s="125">
        <f t="shared" si="7"/>
        <v>1.5885623510722797</v>
      </c>
      <c r="W43" s="123">
        <f t="shared" si="6"/>
        <v>1.586294416243655</v>
      </c>
      <c r="X43" s="123">
        <f t="shared" si="6"/>
        <v>2.2522522522522523</v>
      </c>
      <c r="Y43" s="123">
        <f t="shared" si="6"/>
        <v>2.4618414574101428</v>
      </c>
      <c r="Z43" s="123">
        <f t="shared" si="6"/>
        <v>1.0892059688487092</v>
      </c>
      <c r="AA43" s="123">
        <f t="shared" si="6"/>
        <v>3.2583903551645488</v>
      </c>
      <c r="AB43" s="123">
        <f t="shared" si="6"/>
        <v>1.9116328594395472E-2</v>
      </c>
      <c r="AC43" s="127">
        <f t="shared" si="6"/>
        <v>1.4814814814814814</v>
      </c>
      <c r="AD43" s="123">
        <f t="shared" si="6"/>
        <v>0.26397761469827358</v>
      </c>
      <c r="AE43" s="123">
        <f t="shared" si="6"/>
        <v>1.5710919088766695</v>
      </c>
      <c r="AF43" s="129">
        <f t="shared" si="6"/>
        <v>2.2603978300180829</v>
      </c>
      <c r="AG43" s="123">
        <f t="shared" si="6"/>
        <v>0.88542588985301929</v>
      </c>
      <c r="AH43" s="123">
        <f t="shared" si="6"/>
        <v>0.34406826314340766</v>
      </c>
      <c r="AN43" s="122">
        <v>40603</v>
      </c>
      <c r="AO43" s="131">
        <v>101.3</v>
      </c>
      <c r="AP43" s="131">
        <v>118.1</v>
      </c>
      <c r="AS43" s="122">
        <v>40603</v>
      </c>
      <c r="AT43" s="136">
        <v>285.10000000000002</v>
      </c>
    </row>
    <row r="44" spans="1:46" ht="15.6" x14ac:dyDescent="0.3">
      <c r="A44" s="76">
        <v>42430</v>
      </c>
      <c r="B44" s="123">
        <v>0.59670000000000001</v>
      </c>
      <c r="C44" s="123">
        <v>0.59289999999999998</v>
      </c>
      <c r="D44" s="123">
        <v>0.4385</v>
      </c>
      <c r="E44" s="123">
        <v>0.40179999999999999</v>
      </c>
      <c r="F44" s="123">
        <v>0.91310000000000002</v>
      </c>
      <c r="G44" s="123">
        <v>0.31369999999999998</v>
      </c>
      <c r="H44" s="123">
        <v>50.475999999999999</v>
      </c>
      <c r="I44" s="123">
        <v>0.66479999999999995</v>
      </c>
      <c r="J44" s="123">
        <v>3.7479</v>
      </c>
      <c r="K44" s="123">
        <v>0.61680000000000001</v>
      </c>
      <c r="L44" s="123">
        <v>0.44719999999999999</v>
      </c>
      <c r="M44" s="123">
        <v>1.1227</v>
      </c>
      <c r="N44" s="123">
        <v>2.9117000000000002</v>
      </c>
      <c r="U44" s="76">
        <v>42401</v>
      </c>
      <c r="V44" s="125">
        <f t="shared" si="7"/>
        <v>1.6162922256343946</v>
      </c>
      <c r="W44" s="123">
        <f t="shared" si="6"/>
        <v>1.6337199803953604</v>
      </c>
      <c r="X44" s="123">
        <f t="shared" si="6"/>
        <v>2.2831050228310503</v>
      </c>
      <c r="Y44" s="123">
        <f t="shared" si="6"/>
        <v>2.5144581342720644</v>
      </c>
      <c r="Z44" s="123">
        <f t="shared" si="6"/>
        <v>1.0989010989010988</v>
      </c>
      <c r="AA44" s="123">
        <f t="shared" si="6"/>
        <v>3.2404406999351911</v>
      </c>
      <c r="AB44" s="123">
        <f t="shared" si="6"/>
        <v>1.9635294048346023E-2</v>
      </c>
      <c r="AC44" s="127">
        <f t="shared" si="6"/>
        <v>1.4990256333383301</v>
      </c>
      <c r="AD44" s="123">
        <f t="shared" si="6"/>
        <v>0.2662052442433116</v>
      </c>
      <c r="AE44" s="123">
        <f t="shared" si="6"/>
        <v>1.6028209648982208</v>
      </c>
      <c r="AF44" s="129">
        <f t="shared" si="6"/>
        <v>2.2603978300180829</v>
      </c>
      <c r="AG44" s="123">
        <f t="shared" si="6"/>
        <v>0.88952143746664292</v>
      </c>
      <c r="AH44" s="123">
        <f t="shared" si="6"/>
        <v>0.34590107229332412</v>
      </c>
      <c r="AN44" s="122">
        <v>40634</v>
      </c>
      <c r="AO44" s="131">
        <v>101.6</v>
      </c>
      <c r="AP44" s="131">
        <v>119.7</v>
      </c>
      <c r="AS44" s="122">
        <v>40634</v>
      </c>
      <c r="AT44" s="136">
        <v>296</v>
      </c>
    </row>
    <row r="45" spans="1:46" ht="15.6" x14ac:dyDescent="0.3">
      <c r="A45" s="76">
        <v>42461</v>
      </c>
      <c r="B45" s="123">
        <v>0.58860000000000001</v>
      </c>
      <c r="C45" s="123">
        <v>0.58160000000000001</v>
      </c>
      <c r="D45" s="123">
        <v>0.434</v>
      </c>
      <c r="E45" s="123">
        <v>0.3977</v>
      </c>
      <c r="F45" s="123">
        <v>0.90580000000000005</v>
      </c>
      <c r="G45" s="123">
        <v>0.31569999999999998</v>
      </c>
      <c r="H45" s="123">
        <v>49.526699999999998</v>
      </c>
      <c r="I45" s="123">
        <v>0.65629999999999999</v>
      </c>
      <c r="J45" s="123">
        <v>3.6777000000000002</v>
      </c>
      <c r="K45" s="123">
        <v>0.61199999999999999</v>
      </c>
      <c r="L45" s="123">
        <v>0.45169999999999999</v>
      </c>
      <c r="M45" s="123">
        <v>1.1200000000000001</v>
      </c>
      <c r="N45" s="123">
        <v>2.9281000000000001</v>
      </c>
      <c r="U45" s="76">
        <v>42430</v>
      </c>
      <c r="V45" s="125">
        <f t="shared" si="7"/>
        <v>1.6758840288252053</v>
      </c>
      <c r="W45" s="123">
        <f t="shared" si="6"/>
        <v>1.6866250632484399</v>
      </c>
      <c r="X45" s="123">
        <f t="shared" si="6"/>
        <v>2.2805017103762828</v>
      </c>
      <c r="Y45" s="123">
        <f t="shared" si="6"/>
        <v>2.4888003982080638</v>
      </c>
      <c r="Z45" s="123">
        <f t="shared" si="6"/>
        <v>1.0951702989814915</v>
      </c>
      <c r="AA45" s="123">
        <f t="shared" si="6"/>
        <v>3.1877590054191907</v>
      </c>
      <c r="AB45" s="123">
        <f t="shared" si="6"/>
        <v>1.9811395514700056E-2</v>
      </c>
      <c r="AC45" s="127">
        <f t="shared" si="6"/>
        <v>1.5042117930204575</v>
      </c>
      <c r="AD45" s="123">
        <f t="shared" si="6"/>
        <v>0.26681608367352383</v>
      </c>
      <c r="AE45" s="123">
        <f t="shared" si="6"/>
        <v>1.6212710765239948</v>
      </c>
      <c r="AF45" s="129">
        <f t="shared" si="6"/>
        <v>2.2361359570661898</v>
      </c>
      <c r="AG45" s="123">
        <f t="shared" si="6"/>
        <v>0.89070989578694215</v>
      </c>
      <c r="AH45" s="123">
        <f t="shared" si="6"/>
        <v>0.34344197547824296</v>
      </c>
      <c r="AN45" s="122">
        <v>40664</v>
      </c>
      <c r="AO45" s="131">
        <v>102</v>
      </c>
      <c r="AP45" s="131">
        <v>121.2</v>
      </c>
      <c r="AS45" s="122">
        <v>40664</v>
      </c>
      <c r="AT45" s="136">
        <v>291.60000000000002</v>
      </c>
    </row>
    <row r="46" spans="1:46" ht="15.6" x14ac:dyDescent="0.3">
      <c r="A46" s="76">
        <v>42491</v>
      </c>
      <c r="B46" s="123">
        <v>0.60799999999999998</v>
      </c>
      <c r="C46" s="123">
        <v>0.57809999999999995</v>
      </c>
      <c r="D46" s="123">
        <v>0.43509999999999999</v>
      </c>
      <c r="E46" s="123">
        <v>0.39410000000000001</v>
      </c>
      <c r="F46" s="123">
        <v>0.9113</v>
      </c>
      <c r="G46" s="123">
        <v>0.307</v>
      </c>
      <c r="H46" s="123">
        <v>48.515700000000002</v>
      </c>
      <c r="I46" s="123">
        <v>0.65680000000000005</v>
      </c>
      <c r="J46" s="123">
        <v>3.6758999999999999</v>
      </c>
      <c r="K46" s="123">
        <v>0.61370000000000002</v>
      </c>
      <c r="L46" s="123">
        <v>0.44650000000000001</v>
      </c>
      <c r="M46" s="123">
        <v>1.1195999999999999</v>
      </c>
      <c r="N46" s="123">
        <v>2.9003999999999999</v>
      </c>
      <c r="U46" s="76">
        <v>42461</v>
      </c>
      <c r="V46" s="125">
        <f t="shared" si="7"/>
        <v>1.6989466530750934</v>
      </c>
      <c r="W46" s="123">
        <f t="shared" si="6"/>
        <v>1.71939477303989</v>
      </c>
      <c r="X46" s="123">
        <f t="shared" si="6"/>
        <v>2.3041474654377883</v>
      </c>
      <c r="Y46" s="123">
        <f t="shared" si="6"/>
        <v>2.5144581342720644</v>
      </c>
      <c r="Z46" s="123">
        <f t="shared" si="6"/>
        <v>1.103996467211305</v>
      </c>
      <c r="AA46" s="123">
        <f t="shared" si="6"/>
        <v>3.1675641431738994</v>
      </c>
      <c r="AB46" s="123">
        <f t="shared" si="6"/>
        <v>2.0191129229284406E-2</v>
      </c>
      <c r="AC46" s="127">
        <f t="shared" si="6"/>
        <v>1.5236934328813043</v>
      </c>
      <c r="AD46" s="123">
        <f t="shared" si="6"/>
        <v>0.2719090736057862</v>
      </c>
      <c r="AE46" s="123">
        <f t="shared" si="6"/>
        <v>1.6339869281045751</v>
      </c>
      <c r="AF46" s="129">
        <f t="shared" si="6"/>
        <v>2.2138587558113794</v>
      </c>
      <c r="AG46" s="123">
        <f t="shared" si="6"/>
        <v>0.89285714285714279</v>
      </c>
      <c r="AH46" s="123">
        <f t="shared" si="6"/>
        <v>0.34151839076534268</v>
      </c>
      <c r="AN46" s="122">
        <v>40695</v>
      </c>
      <c r="AO46" s="131">
        <v>104.1</v>
      </c>
      <c r="AP46" s="131">
        <v>119.8</v>
      </c>
      <c r="AS46" s="122">
        <v>40695</v>
      </c>
      <c r="AT46" s="136">
        <v>299.2</v>
      </c>
    </row>
    <row r="47" spans="1:46" ht="15.6" x14ac:dyDescent="0.3">
      <c r="A47" s="76">
        <v>42522</v>
      </c>
      <c r="B47" s="123">
        <v>0.60609999999999997</v>
      </c>
      <c r="C47" s="123">
        <v>0.58109999999999995</v>
      </c>
      <c r="D47" s="123">
        <v>0.43519999999999998</v>
      </c>
      <c r="E47" s="123">
        <v>0.3997</v>
      </c>
      <c r="F47" s="123">
        <v>0.91400000000000003</v>
      </c>
      <c r="G47" s="123">
        <v>0.31690000000000002</v>
      </c>
      <c r="H47" s="123">
        <v>47.5304</v>
      </c>
      <c r="I47" s="123">
        <v>0.6421</v>
      </c>
      <c r="J47" s="123">
        <v>3.7444999999999999</v>
      </c>
      <c r="K47" s="123">
        <v>0.6119</v>
      </c>
      <c r="L47" s="123">
        <v>0.44979999999999998</v>
      </c>
      <c r="M47" s="123">
        <v>1.1172</v>
      </c>
      <c r="N47" s="123">
        <v>2.9641999999999999</v>
      </c>
      <c r="U47" s="76">
        <v>42491</v>
      </c>
      <c r="V47" s="125">
        <f t="shared" si="7"/>
        <v>1.6447368421052633</v>
      </c>
      <c r="W47" s="123">
        <f t="shared" ref="W47:W110" si="8">1/C46</f>
        <v>1.7298045320878743</v>
      </c>
      <c r="X47" s="123">
        <f t="shared" ref="X47:X110" si="9">1/D46</f>
        <v>2.2983222247759136</v>
      </c>
      <c r="Y47" s="123">
        <f t="shared" ref="Y47:Y110" si="10">1/E46</f>
        <v>2.5374270489723418</v>
      </c>
      <c r="Z47" s="123">
        <f t="shared" ref="Z47:Z110" si="11">1/F46</f>
        <v>1.097333479644464</v>
      </c>
      <c r="AA47" s="123">
        <f t="shared" ref="AA47:AA110" si="12">1/G46</f>
        <v>3.2573289902280131</v>
      </c>
      <c r="AB47" s="123">
        <f t="shared" ref="AB47:AB110" si="13">1/H46</f>
        <v>2.0611884400307527E-2</v>
      </c>
      <c r="AC47" s="127">
        <f t="shared" ref="AC47:AC110" si="14">1/I46</f>
        <v>1.5225334957369061</v>
      </c>
      <c r="AD47" s="123">
        <f t="shared" ref="AD47:AD110" si="15">1/J46</f>
        <v>0.27204222095269187</v>
      </c>
      <c r="AE47" s="123">
        <f t="shared" ref="AE47:AE110" si="16">1/K46</f>
        <v>1.629460648525338</v>
      </c>
      <c r="AF47" s="129">
        <f t="shared" ref="AF47:AF110" si="17">1/L46</f>
        <v>2.2396416573348263</v>
      </c>
      <c r="AG47" s="123">
        <f t="shared" ref="AG47:AG110" si="18">1/M46</f>
        <v>0.8931761343336907</v>
      </c>
      <c r="AH47" s="123">
        <f t="shared" ref="AH47:AH110" si="19">1/N46</f>
        <v>0.3447800303406427</v>
      </c>
      <c r="AN47" s="122">
        <v>40725</v>
      </c>
      <c r="AO47" s="131">
        <v>106.9</v>
      </c>
      <c r="AP47" s="131">
        <v>121.4</v>
      </c>
      <c r="AS47" s="122">
        <v>40725</v>
      </c>
      <c r="AT47" s="136">
        <v>306.39999999999998</v>
      </c>
    </row>
    <row r="48" spans="1:46" ht="15.6" x14ac:dyDescent="0.3">
      <c r="A48" s="76">
        <v>42552</v>
      </c>
      <c r="B48" s="123">
        <v>0.6018</v>
      </c>
      <c r="C48" s="123">
        <v>0.59260000000000002</v>
      </c>
      <c r="D48" s="123">
        <v>0.44469999999999998</v>
      </c>
      <c r="E48" s="123">
        <v>0.40960000000000002</v>
      </c>
      <c r="F48" s="123">
        <v>0.91490000000000005</v>
      </c>
      <c r="G48" s="123">
        <v>0.34499999999999997</v>
      </c>
      <c r="H48" s="123">
        <v>47.266100000000002</v>
      </c>
      <c r="I48" s="123">
        <v>0.63900000000000001</v>
      </c>
      <c r="J48" s="123">
        <v>3.8961999999999999</v>
      </c>
      <c r="K48" s="123">
        <v>0.61539999999999995</v>
      </c>
      <c r="L48" s="123">
        <v>0.45369999999999999</v>
      </c>
      <c r="M48" s="123">
        <v>1.117</v>
      </c>
      <c r="N48" s="123">
        <v>3.0312000000000001</v>
      </c>
      <c r="U48" s="76">
        <v>42522</v>
      </c>
      <c r="V48" s="125">
        <f t="shared" si="7"/>
        <v>1.6498927569707971</v>
      </c>
      <c r="W48" s="123">
        <f t="shared" si="8"/>
        <v>1.7208742040956808</v>
      </c>
      <c r="X48" s="123">
        <f t="shared" si="9"/>
        <v>2.2977941176470589</v>
      </c>
      <c r="Y48" s="123">
        <f t="shared" si="10"/>
        <v>2.5018764073054793</v>
      </c>
      <c r="Z48" s="123">
        <f t="shared" si="11"/>
        <v>1.0940919037199124</v>
      </c>
      <c r="AA48" s="123">
        <f t="shared" si="12"/>
        <v>3.1555695803092458</v>
      </c>
      <c r="AB48" s="123">
        <f t="shared" si="13"/>
        <v>2.1039166512379446E-2</v>
      </c>
      <c r="AC48" s="127">
        <f t="shared" si="14"/>
        <v>1.557389814670612</v>
      </c>
      <c r="AD48" s="123">
        <f t="shared" si="15"/>
        <v>0.2670583522499666</v>
      </c>
      <c r="AE48" s="123">
        <f t="shared" si="16"/>
        <v>1.6342539630658603</v>
      </c>
      <c r="AF48" s="129">
        <f t="shared" si="17"/>
        <v>2.2232103156958649</v>
      </c>
      <c r="AG48" s="123">
        <f t="shared" si="18"/>
        <v>0.8950948800572861</v>
      </c>
      <c r="AH48" s="123">
        <f t="shared" si="19"/>
        <v>0.33735915255380877</v>
      </c>
      <c r="AN48" s="122">
        <v>40756</v>
      </c>
      <c r="AO48" s="131">
        <v>108</v>
      </c>
      <c r="AP48" s="131">
        <v>122.2</v>
      </c>
      <c r="AS48" s="122">
        <v>40756</v>
      </c>
      <c r="AT48" s="136">
        <v>294.2</v>
      </c>
    </row>
    <row r="49" spans="1:46" ht="15.6" x14ac:dyDescent="0.3">
      <c r="A49" s="76">
        <v>42583</v>
      </c>
      <c r="B49" s="123">
        <v>0.59670000000000001</v>
      </c>
      <c r="C49" s="123" t="s">
        <v>165</v>
      </c>
      <c r="D49" s="123" t="s">
        <v>165</v>
      </c>
      <c r="E49" s="123">
        <v>0.40539999999999998</v>
      </c>
      <c r="F49" s="123">
        <v>0.90869999999999995</v>
      </c>
      <c r="G49" s="123">
        <v>0.34689999999999999</v>
      </c>
      <c r="H49" s="123">
        <v>46.081699999999998</v>
      </c>
      <c r="I49" s="123">
        <v>0.63170000000000004</v>
      </c>
      <c r="J49" s="123" t="s">
        <v>165</v>
      </c>
      <c r="K49" s="123" t="s">
        <v>165</v>
      </c>
      <c r="L49" s="123">
        <v>0.45550000000000002</v>
      </c>
      <c r="M49" s="123">
        <v>1.1321000000000001</v>
      </c>
      <c r="N49" s="123">
        <v>3.0272999999999999</v>
      </c>
      <c r="U49" s="76">
        <v>42552</v>
      </c>
      <c r="V49" s="125">
        <f t="shared" si="7"/>
        <v>1.6616816218012629</v>
      </c>
      <c r="W49" s="123">
        <f t="shared" si="8"/>
        <v>1.6874789065136686</v>
      </c>
      <c r="X49" s="123">
        <f t="shared" si="9"/>
        <v>2.2487069934787498</v>
      </c>
      <c r="Y49" s="123">
        <f t="shared" si="10"/>
        <v>2.44140625</v>
      </c>
      <c r="Z49" s="123">
        <f t="shared" si="11"/>
        <v>1.0930156301235108</v>
      </c>
      <c r="AA49" s="123">
        <f t="shared" si="12"/>
        <v>2.8985507246376816</v>
      </c>
      <c r="AB49" s="123">
        <f t="shared" si="13"/>
        <v>2.1156812176168542E-2</v>
      </c>
      <c r="AC49" s="127">
        <f t="shared" si="14"/>
        <v>1.5649452269170578</v>
      </c>
      <c r="AD49" s="123">
        <f t="shared" si="15"/>
        <v>0.25666033571171915</v>
      </c>
      <c r="AE49" s="123">
        <f t="shared" si="16"/>
        <v>1.6249593760155998</v>
      </c>
      <c r="AF49" s="129">
        <f t="shared" si="17"/>
        <v>2.2040996253030638</v>
      </c>
      <c r="AG49" s="123">
        <f t="shared" si="18"/>
        <v>0.89525514771709935</v>
      </c>
      <c r="AH49" s="123">
        <f t="shared" si="19"/>
        <v>0.3299023489047242</v>
      </c>
      <c r="AN49" s="122">
        <v>40787</v>
      </c>
      <c r="AO49" s="131">
        <v>106.9</v>
      </c>
      <c r="AP49" s="131">
        <v>120.7</v>
      </c>
      <c r="AS49" s="122">
        <v>40787</v>
      </c>
      <c r="AT49" s="136">
        <v>289.60000000000002</v>
      </c>
    </row>
    <row r="50" spans="1:46" ht="15.6" x14ac:dyDescent="0.3">
      <c r="A50" s="76">
        <v>42614</v>
      </c>
      <c r="B50" s="123">
        <v>0.60450000000000004</v>
      </c>
      <c r="C50" s="123">
        <v>0.60089999999999999</v>
      </c>
      <c r="D50" s="123">
        <v>0.44519999999999998</v>
      </c>
      <c r="E50" s="123">
        <v>0.40799999999999997</v>
      </c>
      <c r="F50" s="123">
        <v>0.91990000000000005</v>
      </c>
      <c r="G50" s="123">
        <v>0.34799999999999998</v>
      </c>
      <c r="H50" s="123">
        <v>46.726300000000002</v>
      </c>
      <c r="I50" s="123">
        <v>0.62819999999999998</v>
      </c>
      <c r="J50" s="123">
        <v>3.9188999999999998</v>
      </c>
      <c r="K50" s="123">
        <v>0.62749999999999995</v>
      </c>
      <c r="L50" s="123">
        <v>0.45879999999999999</v>
      </c>
      <c r="M50" s="123">
        <v>1.1468</v>
      </c>
      <c r="N50" s="123">
        <v>3.0607000000000002</v>
      </c>
      <c r="U50" s="76">
        <v>42583</v>
      </c>
      <c r="V50" s="125">
        <f t="shared" si="7"/>
        <v>1.6758840288252053</v>
      </c>
      <c r="W50" s="123" t="e">
        <f t="shared" si="8"/>
        <v>#VALUE!</v>
      </c>
      <c r="X50" s="123" t="e">
        <f t="shared" si="9"/>
        <v>#VALUE!</v>
      </c>
      <c r="Y50" s="123">
        <f t="shared" si="10"/>
        <v>2.4666995559940799</v>
      </c>
      <c r="Z50" s="123">
        <f t="shared" si="11"/>
        <v>1.1004732034774953</v>
      </c>
      <c r="AA50" s="123">
        <f t="shared" si="12"/>
        <v>2.8826751225136928</v>
      </c>
      <c r="AB50" s="123">
        <f t="shared" si="13"/>
        <v>2.1700588302948895E-2</v>
      </c>
      <c r="AC50" s="127">
        <f t="shared" si="14"/>
        <v>1.583029919265474</v>
      </c>
      <c r="AD50" s="123" t="e">
        <f t="shared" si="15"/>
        <v>#VALUE!</v>
      </c>
      <c r="AE50" s="123" t="e">
        <f t="shared" si="16"/>
        <v>#VALUE!</v>
      </c>
      <c r="AF50" s="129">
        <f t="shared" si="17"/>
        <v>2.1953896816684959</v>
      </c>
      <c r="AG50" s="123">
        <f t="shared" si="18"/>
        <v>0.88331419485911133</v>
      </c>
      <c r="AH50" s="123">
        <f t="shared" si="19"/>
        <v>0.33032735440821853</v>
      </c>
      <c r="AN50" s="122">
        <v>40817</v>
      </c>
      <c r="AO50" s="131">
        <v>105.5</v>
      </c>
      <c r="AP50" s="131">
        <v>118.1</v>
      </c>
      <c r="AS50" s="122">
        <v>40817</v>
      </c>
      <c r="AT50" s="136">
        <v>296.2</v>
      </c>
    </row>
    <row r="51" spans="1:46" ht="15.6" x14ac:dyDescent="0.3">
      <c r="A51" s="76">
        <v>42644</v>
      </c>
      <c r="B51" s="123"/>
      <c r="C51" s="123"/>
      <c r="D51" s="123"/>
      <c r="E51" s="123"/>
      <c r="F51" s="123"/>
      <c r="G51" s="123"/>
      <c r="H51" s="123"/>
      <c r="I51" s="123"/>
      <c r="J51" s="123"/>
      <c r="K51" s="123"/>
      <c r="L51" s="123"/>
      <c r="M51" s="123"/>
      <c r="N51" s="123"/>
      <c r="U51" s="76">
        <v>42614</v>
      </c>
      <c r="V51" s="125">
        <f t="shared" si="7"/>
        <v>1.6542597187758477</v>
      </c>
      <c r="W51" s="123">
        <f t="shared" si="8"/>
        <v>1.6641704110500914</v>
      </c>
      <c r="X51" s="123">
        <f t="shared" si="9"/>
        <v>2.2461814914645104</v>
      </c>
      <c r="Y51" s="123">
        <f t="shared" si="10"/>
        <v>2.4509803921568629</v>
      </c>
      <c r="Z51" s="123">
        <f t="shared" si="11"/>
        <v>1.0870746820306554</v>
      </c>
      <c r="AA51" s="123">
        <f t="shared" si="12"/>
        <v>2.8735632183908049</v>
      </c>
      <c r="AB51" s="123">
        <f t="shared" si="13"/>
        <v>2.140122372197242E-2</v>
      </c>
      <c r="AC51" s="127">
        <f t="shared" si="14"/>
        <v>1.591849729385546</v>
      </c>
      <c r="AD51" s="123">
        <f t="shared" si="15"/>
        <v>0.25517364566587564</v>
      </c>
      <c r="AE51" s="123">
        <f t="shared" si="16"/>
        <v>1.5936254980079683</v>
      </c>
      <c r="AF51" s="129">
        <f t="shared" si="17"/>
        <v>2.1795989537925022</v>
      </c>
      <c r="AG51" s="123">
        <f t="shared" si="18"/>
        <v>0.87199162888036275</v>
      </c>
      <c r="AH51" s="123">
        <f t="shared" si="19"/>
        <v>0.3267226451465351</v>
      </c>
      <c r="AN51" s="122">
        <v>40848</v>
      </c>
      <c r="AO51" s="131">
        <v>105.5</v>
      </c>
      <c r="AP51" s="131">
        <v>117.3</v>
      </c>
      <c r="AS51" s="122">
        <v>40848</v>
      </c>
      <c r="AT51" s="136">
        <v>295.15042199999999</v>
      </c>
    </row>
    <row r="52" spans="1:46" ht="15.6" x14ac:dyDescent="0.3">
      <c r="A52" s="76">
        <v>42675</v>
      </c>
      <c r="B52" s="123">
        <v>0.60270000000000001</v>
      </c>
      <c r="C52" s="123">
        <v>0.61050000000000004</v>
      </c>
      <c r="D52" s="123">
        <v>0.4506</v>
      </c>
      <c r="E52" s="123">
        <v>0.41959999999999997</v>
      </c>
      <c r="F52" s="123">
        <v>0.92149999999999999</v>
      </c>
      <c r="G52" s="123">
        <v>0.36520000000000002</v>
      </c>
      <c r="H52" s="123">
        <v>49.2301</v>
      </c>
      <c r="I52" s="123">
        <v>0.63670000000000004</v>
      </c>
      <c r="J52" s="123">
        <v>4.1487999999999996</v>
      </c>
      <c r="K52" s="123">
        <v>0.64249999999999996</v>
      </c>
      <c r="L52" s="123">
        <v>0.45400000000000001</v>
      </c>
      <c r="M52" s="123">
        <v>1.1432</v>
      </c>
      <c r="N52" s="123">
        <v>3.1067999999999998</v>
      </c>
      <c r="U52" s="76">
        <v>42644</v>
      </c>
      <c r="V52" s="125">
        <f>V51+0.0012</f>
        <v>1.6554597187758477</v>
      </c>
      <c r="W52" s="130">
        <f t="shared" ref="W52:AH52" si="20">W51+0.0012</f>
        <v>1.6653704110500915</v>
      </c>
      <c r="X52" s="130">
        <f t="shared" si="20"/>
        <v>2.2473814914645103</v>
      </c>
      <c r="Y52" s="130">
        <f t="shared" si="20"/>
        <v>2.4521803921568628</v>
      </c>
      <c r="Z52" s="130">
        <f t="shared" si="20"/>
        <v>1.0882746820306555</v>
      </c>
      <c r="AA52" s="130">
        <f t="shared" si="20"/>
        <v>2.8747632183908047</v>
      </c>
      <c r="AB52" s="130">
        <f t="shared" si="20"/>
        <v>2.2601223721972419E-2</v>
      </c>
      <c r="AC52" s="130">
        <f t="shared" si="20"/>
        <v>1.5930497293855461</v>
      </c>
      <c r="AD52" s="130">
        <f t="shared" si="20"/>
        <v>0.25637364566587562</v>
      </c>
      <c r="AE52" s="130">
        <f t="shared" si="20"/>
        <v>1.5948254980079684</v>
      </c>
      <c r="AF52" s="130">
        <f t="shared" si="20"/>
        <v>2.1807989537925021</v>
      </c>
      <c r="AG52" s="130">
        <f t="shared" si="20"/>
        <v>0.87319162888036272</v>
      </c>
      <c r="AH52" s="130">
        <f t="shared" si="20"/>
        <v>0.32792264514653507</v>
      </c>
      <c r="AN52" s="122">
        <v>40878</v>
      </c>
      <c r="AO52" s="131">
        <v>105.1</v>
      </c>
      <c r="AP52" s="131">
        <v>116</v>
      </c>
      <c r="AS52" s="122">
        <v>40878</v>
      </c>
      <c r="AT52" s="137">
        <v>299.88445100000001</v>
      </c>
    </row>
    <row r="53" spans="1:46" ht="15.6" x14ac:dyDescent="0.3">
      <c r="A53" s="76">
        <v>42705</v>
      </c>
      <c r="B53" s="123">
        <v>0.61029999999999995</v>
      </c>
      <c r="C53" s="123">
        <v>0.59899999999999998</v>
      </c>
      <c r="D53" s="123">
        <v>0.45610000000000001</v>
      </c>
      <c r="E53" s="123">
        <v>0.42470000000000002</v>
      </c>
      <c r="F53" s="123">
        <v>0.92700000000000005</v>
      </c>
      <c r="G53" s="123">
        <v>0.35899999999999999</v>
      </c>
      <c r="H53" s="123">
        <v>52.123699999999999</v>
      </c>
      <c r="I53" s="123">
        <v>0.63839999999999997</v>
      </c>
      <c r="J53" s="123">
        <v>4.1439000000000004</v>
      </c>
      <c r="K53" s="123">
        <v>0.64890000000000003</v>
      </c>
      <c r="L53" s="123">
        <v>0.44919999999999999</v>
      </c>
      <c r="M53" s="123">
        <v>1.1366000000000001</v>
      </c>
      <c r="N53" s="123">
        <v>3.1082000000000001</v>
      </c>
      <c r="U53" s="76">
        <v>42675</v>
      </c>
      <c r="V53" s="125">
        <f t="shared" si="7"/>
        <v>1.6592002654720424</v>
      </c>
      <c r="W53" s="123">
        <f t="shared" si="8"/>
        <v>1.6380016380016378</v>
      </c>
      <c r="X53" s="123">
        <f t="shared" si="9"/>
        <v>2.2192632046160674</v>
      </c>
      <c r="Y53" s="123">
        <f t="shared" si="10"/>
        <v>2.3832221163012393</v>
      </c>
      <c r="Z53" s="123">
        <f t="shared" si="11"/>
        <v>1.0851871947911014</v>
      </c>
      <c r="AA53" s="123">
        <f t="shared" si="12"/>
        <v>2.7382256297918945</v>
      </c>
      <c r="AB53" s="123">
        <f t="shared" si="13"/>
        <v>2.0312776126800474E-2</v>
      </c>
      <c r="AC53" s="127">
        <f t="shared" si="14"/>
        <v>1.5705983979896339</v>
      </c>
      <c r="AD53" s="123">
        <f t="shared" si="15"/>
        <v>0.24103355187042039</v>
      </c>
      <c r="AE53" s="123">
        <f t="shared" si="16"/>
        <v>1.556420233463035</v>
      </c>
      <c r="AF53" s="129">
        <f t="shared" si="17"/>
        <v>2.2026431718061672</v>
      </c>
      <c r="AG53" s="123">
        <f t="shared" si="18"/>
        <v>0.87473757872638214</v>
      </c>
      <c r="AH53" s="123">
        <f t="shared" si="19"/>
        <v>0.32187459765675297</v>
      </c>
      <c r="AN53" s="122">
        <v>40909</v>
      </c>
      <c r="AO53" s="131">
        <v>104.9</v>
      </c>
      <c r="AP53" s="131">
        <v>117.9</v>
      </c>
      <c r="AS53" s="122">
        <v>40909</v>
      </c>
      <c r="AT53" s="136">
        <v>289.85320300000001</v>
      </c>
    </row>
    <row r="54" spans="1:46" ht="15.6" x14ac:dyDescent="0.3">
      <c r="A54" s="76">
        <v>42736</v>
      </c>
      <c r="B54" s="123">
        <v>0.60299999999999998</v>
      </c>
      <c r="C54" s="123">
        <v>0.59430000000000005</v>
      </c>
      <c r="D54" s="123">
        <v>0.45179999999999998</v>
      </c>
      <c r="E54" s="123">
        <v>0.42199999999999999</v>
      </c>
      <c r="F54" s="123">
        <v>0.92210000000000003</v>
      </c>
      <c r="G54" s="123">
        <v>0.36449999999999999</v>
      </c>
      <c r="H54" s="123">
        <v>51.717399999999998</v>
      </c>
      <c r="I54" s="123">
        <v>0.63249999999999995</v>
      </c>
      <c r="J54" s="123">
        <v>4.0317999999999996</v>
      </c>
      <c r="K54" s="123">
        <v>0.64680000000000004</v>
      </c>
      <c r="L54" s="123">
        <v>0.44969999999999999</v>
      </c>
      <c r="M54" s="123">
        <v>1.1409</v>
      </c>
      <c r="N54" s="123">
        <v>3.1009000000000002</v>
      </c>
      <c r="U54" s="76">
        <v>42705</v>
      </c>
      <c r="V54" s="125">
        <f t="shared" si="7"/>
        <v>1.6385384237260365</v>
      </c>
      <c r="W54" s="123">
        <f t="shared" si="8"/>
        <v>1.669449081803005</v>
      </c>
      <c r="X54" s="123">
        <f t="shared" si="9"/>
        <v>2.1925016443762333</v>
      </c>
      <c r="Y54" s="123">
        <f t="shared" si="10"/>
        <v>2.354603249352484</v>
      </c>
      <c r="Z54" s="123">
        <f t="shared" si="11"/>
        <v>1.0787486515641855</v>
      </c>
      <c r="AA54" s="123">
        <f t="shared" si="12"/>
        <v>2.785515320334262</v>
      </c>
      <c r="AB54" s="123">
        <f t="shared" si="13"/>
        <v>1.9185130756258668E-2</v>
      </c>
      <c r="AC54" s="127">
        <f t="shared" si="14"/>
        <v>1.5664160401002507</v>
      </c>
      <c r="AD54" s="123">
        <f t="shared" si="15"/>
        <v>0.24131856463717752</v>
      </c>
      <c r="AE54" s="123">
        <f t="shared" si="16"/>
        <v>1.5410695022345506</v>
      </c>
      <c r="AF54" s="129">
        <f t="shared" si="17"/>
        <v>2.2261798753339272</v>
      </c>
      <c r="AG54" s="123">
        <f t="shared" si="18"/>
        <v>0.87981699806440261</v>
      </c>
      <c r="AH54" s="123">
        <f t="shared" si="19"/>
        <v>0.32172961842867254</v>
      </c>
      <c r="AN54" s="122">
        <v>40940</v>
      </c>
      <c r="AO54" s="131">
        <v>105</v>
      </c>
      <c r="AP54" s="131">
        <v>118.5</v>
      </c>
      <c r="AS54" s="122">
        <v>40940</v>
      </c>
      <c r="AT54" s="138">
        <v>277.76306099999999</v>
      </c>
    </row>
    <row r="55" spans="1:46" ht="15.6" x14ac:dyDescent="0.3">
      <c r="A55" s="76">
        <v>42767</v>
      </c>
      <c r="B55" s="123">
        <v>0.59399999999999997</v>
      </c>
      <c r="C55" s="123">
        <v>0.59670000000000001</v>
      </c>
      <c r="D55" s="123">
        <v>0.4541</v>
      </c>
      <c r="E55" s="123">
        <v>0.42620000000000002</v>
      </c>
      <c r="F55" s="123">
        <v>0.92130000000000001</v>
      </c>
      <c r="G55" s="123">
        <v>0.36370000000000002</v>
      </c>
      <c r="H55" s="123">
        <v>51.524500000000003</v>
      </c>
      <c r="I55" s="123">
        <v>0.63009999999999999</v>
      </c>
      <c r="J55" s="123">
        <v>4.0537999999999998</v>
      </c>
      <c r="K55" s="123">
        <v>0.64800000000000002</v>
      </c>
      <c r="L55" s="123">
        <v>0.45529999999999998</v>
      </c>
      <c r="M55" s="123">
        <v>1.1415</v>
      </c>
      <c r="N55" s="123">
        <v>3.1295999999999999</v>
      </c>
      <c r="U55" s="76">
        <v>42736</v>
      </c>
      <c r="V55" s="125">
        <f t="shared" si="7"/>
        <v>1.6583747927031509</v>
      </c>
      <c r="W55" s="123">
        <f t="shared" si="8"/>
        <v>1.6826518593303044</v>
      </c>
      <c r="X55" s="123">
        <f t="shared" si="9"/>
        <v>2.213368747233289</v>
      </c>
      <c r="Y55" s="123">
        <f t="shared" si="10"/>
        <v>2.3696682464454977</v>
      </c>
      <c r="Z55" s="123">
        <f t="shared" si="11"/>
        <v>1.0844810758052272</v>
      </c>
      <c r="AA55" s="123">
        <f t="shared" si="12"/>
        <v>2.7434842249657065</v>
      </c>
      <c r="AB55" s="123">
        <f t="shared" si="13"/>
        <v>1.9335852150340119E-2</v>
      </c>
      <c r="AC55" s="127">
        <f t="shared" si="14"/>
        <v>1.5810276679841899</v>
      </c>
      <c r="AD55" s="123">
        <f t="shared" si="15"/>
        <v>0.24802817600079372</v>
      </c>
      <c r="AE55" s="123">
        <f t="shared" si="16"/>
        <v>1.5460729746444031</v>
      </c>
      <c r="AF55" s="129">
        <f t="shared" si="17"/>
        <v>2.2237046920169004</v>
      </c>
      <c r="AG55" s="123">
        <f t="shared" si="18"/>
        <v>0.87650100797615915</v>
      </c>
      <c r="AH55" s="123">
        <f t="shared" si="19"/>
        <v>0.3224870198974491</v>
      </c>
      <c r="AN55" s="122">
        <v>40969</v>
      </c>
      <c r="AO55" s="131">
        <v>104.7</v>
      </c>
      <c r="AP55" s="131">
        <v>119.9</v>
      </c>
      <c r="AS55" s="122">
        <v>40969</v>
      </c>
      <c r="AT55" s="138">
        <v>283.54710499999999</v>
      </c>
    </row>
    <row r="56" spans="1:46" ht="15.6" x14ac:dyDescent="0.3">
      <c r="A56" s="76">
        <v>42795</v>
      </c>
      <c r="B56" s="123">
        <v>0.58879999999999999</v>
      </c>
      <c r="C56" s="123">
        <v>0.60160000000000002</v>
      </c>
      <c r="D56" s="123">
        <v>0.44840000000000002</v>
      </c>
      <c r="E56" s="123">
        <v>0.41920000000000002</v>
      </c>
      <c r="F56" s="123">
        <v>0.91539999999999999</v>
      </c>
      <c r="G56" s="123">
        <v>0.36349999999999999</v>
      </c>
      <c r="H56" s="123">
        <v>50.8292</v>
      </c>
      <c r="I56" s="123">
        <v>0.64170000000000005</v>
      </c>
      <c r="J56" s="123">
        <v>4.0088999999999997</v>
      </c>
      <c r="K56" s="123">
        <v>0.63529999999999998</v>
      </c>
      <c r="L56" s="123">
        <v>0.44919999999999999</v>
      </c>
      <c r="M56" s="123">
        <v>1.135</v>
      </c>
      <c r="N56" s="123">
        <v>3.0979999999999999</v>
      </c>
      <c r="U56" s="76">
        <v>42767</v>
      </c>
      <c r="V56" s="125">
        <f t="shared" si="7"/>
        <v>1.6835016835016836</v>
      </c>
      <c r="W56" s="123">
        <f t="shared" si="8"/>
        <v>1.6758840288252053</v>
      </c>
      <c r="X56" s="123">
        <f t="shared" si="9"/>
        <v>2.2021581149526535</v>
      </c>
      <c r="Y56" s="123">
        <f t="shared" si="10"/>
        <v>2.3463162834350069</v>
      </c>
      <c r="Z56" s="123">
        <f t="shared" si="11"/>
        <v>1.08542277216976</v>
      </c>
      <c r="AA56" s="123">
        <f t="shared" si="12"/>
        <v>2.749518834204014</v>
      </c>
      <c r="AB56" s="123">
        <f t="shared" si="13"/>
        <v>1.9408242680666477E-2</v>
      </c>
      <c r="AC56" s="127">
        <f t="shared" si="14"/>
        <v>1.5870496746548166</v>
      </c>
      <c r="AD56" s="123">
        <f t="shared" si="15"/>
        <v>0.24668212541319257</v>
      </c>
      <c r="AE56" s="123">
        <f t="shared" si="16"/>
        <v>1.5432098765432098</v>
      </c>
      <c r="AF56" s="129">
        <f t="shared" si="17"/>
        <v>2.1963540522732266</v>
      </c>
      <c r="AG56" s="123">
        <f t="shared" si="18"/>
        <v>0.8760402978537013</v>
      </c>
      <c r="AH56" s="123">
        <f t="shared" si="19"/>
        <v>0.31952965235173825</v>
      </c>
      <c r="AN56" s="122">
        <v>41000</v>
      </c>
      <c r="AO56" s="131">
        <v>104.2</v>
      </c>
      <c r="AP56" s="131">
        <v>120.3</v>
      </c>
      <c r="AS56" s="122">
        <v>41000</v>
      </c>
      <c r="AT56" s="138">
        <v>288.69166100000001</v>
      </c>
    </row>
    <row r="57" spans="1:46" ht="15.6" x14ac:dyDescent="0.3">
      <c r="A57" s="76">
        <v>42826</v>
      </c>
      <c r="B57" s="123">
        <v>0.59140000000000004</v>
      </c>
      <c r="C57" s="123">
        <v>0.59930000000000005</v>
      </c>
      <c r="D57" s="123">
        <v>0.44479999999999997</v>
      </c>
      <c r="E57" s="123">
        <v>0.41549999999999998</v>
      </c>
      <c r="F57" s="123">
        <v>0.91279999999999994</v>
      </c>
      <c r="G57" s="123">
        <v>0.3528</v>
      </c>
      <c r="H57" s="123">
        <v>49.189399999999999</v>
      </c>
      <c r="I57" s="123">
        <v>0.64039999999999997</v>
      </c>
      <c r="J57" s="123">
        <v>4.0039999999999996</v>
      </c>
      <c r="K57" s="123">
        <v>0.62809999999999999</v>
      </c>
      <c r="L57" s="123">
        <v>0.44619999999999999</v>
      </c>
      <c r="M57" s="123">
        <v>1.1344000000000001</v>
      </c>
      <c r="N57" s="123">
        <v>3.0743999999999998</v>
      </c>
      <c r="U57" s="76">
        <v>42795</v>
      </c>
      <c r="V57" s="125">
        <f t="shared" si="7"/>
        <v>1.6983695652173914</v>
      </c>
      <c r="W57" s="123">
        <f t="shared" si="8"/>
        <v>1.6622340425531914</v>
      </c>
      <c r="X57" s="123">
        <f t="shared" si="9"/>
        <v>2.2301516503122212</v>
      </c>
      <c r="Y57" s="123">
        <f t="shared" si="10"/>
        <v>2.3854961832061066</v>
      </c>
      <c r="Z57" s="123">
        <f t="shared" si="11"/>
        <v>1.0924186148131965</v>
      </c>
      <c r="AA57" s="123">
        <f t="shared" si="12"/>
        <v>2.7510316368638241</v>
      </c>
      <c r="AB57" s="123">
        <f t="shared" si="13"/>
        <v>1.9673730847623021E-2</v>
      </c>
      <c r="AC57" s="127">
        <f t="shared" si="14"/>
        <v>1.5583606046439145</v>
      </c>
      <c r="AD57" s="123">
        <f t="shared" si="15"/>
        <v>0.24944498490857844</v>
      </c>
      <c r="AE57" s="123">
        <f t="shared" si="16"/>
        <v>1.5740594994490793</v>
      </c>
      <c r="AF57" s="129">
        <f t="shared" si="17"/>
        <v>2.2261798753339272</v>
      </c>
      <c r="AG57" s="123">
        <f t="shared" si="18"/>
        <v>0.88105726872246692</v>
      </c>
      <c r="AH57" s="123">
        <f t="shared" si="19"/>
        <v>0.32278889606197547</v>
      </c>
      <c r="AN57" s="122">
        <v>41030</v>
      </c>
      <c r="AO57" s="131">
        <v>103.5</v>
      </c>
      <c r="AP57" s="131">
        <v>118.5</v>
      </c>
      <c r="AS57" s="122">
        <v>41030</v>
      </c>
      <c r="AT57" s="138">
        <v>294.25329099999999</v>
      </c>
    </row>
    <row r="58" spans="1:46" ht="15.6" x14ac:dyDescent="0.3">
      <c r="A58" s="76">
        <v>42856</v>
      </c>
      <c r="B58" s="123">
        <v>0.59560000000000002</v>
      </c>
      <c r="C58" s="123">
        <v>0.60360000000000003</v>
      </c>
      <c r="D58" s="123">
        <v>0.43609999999999999</v>
      </c>
      <c r="E58" s="123">
        <v>0.40100000000000002</v>
      </c>
      <c r="F58" s="123">
        <v>0.90339999999999998</v>
      </c>
      <c r="G58" s="123">
        <v>0.3427</v>
      </c>
      <c r="H58" s="123">
        <v>49.722099999999998</v>
      </c>
      <c r="I58" s="123">
        <v>0.63959999999999995</v>
      </c>
      <c r="J58" s="123">
        <v>3.8988999999999998</v>
      </c>
      <c r="K58" s="123">
        <v>0.622</v>
      </c>
      <c r="L58" s="123">
        <v>0.44340000000000002</v>
      </c>
      <c r="M58" s="123">
        <v>1.0895999999999999</v>
      </c>
      <c r="N58" s="123">
        <v>3.0545</v>
      </c>
      <c r="U58" s="76">
        <v>42826</v>
      </c>
      <c r="V58" s="125">
        <f t="shared" si="7"/>
        <v>1.6909029421711192</v>
      </c>
      <c r="W58" s="123">
        <f t="shared" si="8"/>
        <v>1.6686133822793257</v>
      </c>
      <c r="X58" s="123">
        <f t="shared" si="9"/>
        <v>2.2482014388489211</v>
      </c>
      <c r="Y58" s="123">
        <f t="shared" si="10"/>
        <v>2.4067388688327318</v>
      </c>
      <c r="Z58" s="123">
        <f t="shared" si="11"/>
        <v>1.0955302366345312</v>
      </c>
      <c r="AA58" s="123">
        <f t="shared" si="12"/>
        <v>2.8344671201814058</v>
      </c>
      <c r="AB58" s="123">
        <f t="shared" si="13"/>
        <v>2.0329583202885176E-2</v>
      </c>
      <c r="AC58" s="127">
        <f t="shared" si="14"/>
        <v>1.5615240474703311</v>
      </c>
      <c r="AD58" s="123">
        <f t="shared" si="15"/>
        <v>0.24975024975024979</v>
      </c>
      <c r="AE58" s="123">
        <f t="shared" si="16"/>
        <v>1.5921031682853048</v>
      </c>
      <c r="AF58" s="129">
        <f t="shared" si="17"/>
        <v>2.2411474675033616</v>
      </c>
      <c r="AG58" s="123">
        <f t="shared" si="18"/>
        <v>0.88152327221438642</v>
      </c>
      <c r="AH58" s="123">
        <f t="shared" si="19"/>
        <v>0.32526671870934171</v>
      </c>
      <c r="AN58" s="122">
        <v>41061</v>
      </c>
      <c r="AO58" s="131">
        <v>103.3</v>
      </c>
      <c r="AP58" s="131">
        <v>121.7</v>
      </c>
      <c r="AS58" s="122">
        <v>41061</v>
      </c>
      <c r="AT58" s="138">
        <v>293.22898399999997</v>
      </c>
    </row>
    <row r="59" spans="1:46" ht="15.6" x14ac:dyDescent="0.3">
      <c r="A59" s="76">
        <v>42887</v>
      </c>
      <c r="B59" s="123">
        <v>0.59699999999999998</v>
      </c>
      <c r="C59" s="123">
        <v>0.60119999999999996</v>
      </c>
      <c r="D59" s="123">
        <v>0.43559999999999999</v>
      </c>
      <c r="E59" s="123">
        <v>0.40179999999999999</v>
      </c>
      <c r="F59" s="123">
        <v>0.90549999999999997</v>
      </c>
      <c r="G59" s="123">
        <v>0.35220000000000001</v>
      </c>
      <c r="H59" s="123">
        <v>50.012900000000002</v>
      </c>
      <c r="I59" s="123">
        <v>0.62580000000000002</v>
      </c>
      <c r="J59" s="123">
        <v>3.9266999999999999</v>
      </c>
      <c r="K59" s="123">
        <v>0.62770000000000004</v>
      </c>
      <c r="L59" s="123">
        <v>0.45150000000000001</v>
      </c>
      <c r="M59" s="123">
        <v>1.0586</v>
      </c>
      <c r="N59" s="123">
        <v>3.0746000000000002</v>
      </c>
      <c r="U59" s="76">
        <v>42856</v>
      </c>
      <c r="V59" s="125">
        <f t="shared" si="7"/>
        <v>1.6789791806581598</v>
      </c>
      <c r="W59" s="123">
        <f t="shared" si="8"/>
        <v>1.6567263088137838</v>
      </c>
      <c r="X59" s="123">
        <f t="shared" si="9"/>
        <v>2.2930520522815869</v>
      </c>
      <c r="Y59" s="123">
        <f t="shared" si="10"/>
        <v>2.4937655860349124</v>
      </c>
      <c r="Z59" s="123">
        <f t="shared" si="11"/>
        <v>1.1069293779056897</v>
      </c>
      <c r="AA59" s="123">
        <f t="shared" si="12"/>
        <v>2.9180040852057192</v>
      </c>
      <c r="AB59" s="123">
        <f t="shared" si="13"/>
        <v>2.011178128035622E-2</v>
      </c>
      <c r="AC59" s="127">
        <f t="shared" si="14"/>
        <v>1.5634771732332708</v>
      </c>
      <c r="AD59" s="123">
        <f t="shared" si="15"/>
        <v>0.25648259765574905</v>
      </c>
      <c r="AE59" s="123">
        <f t="shared" si="16"/>
        <v>1.607717041800643</v>
      </c>
      <c r="AF59" s="129">
        <f t="shared" si="17"/>
        <v>2.2552999548940007</v>
      </c>
      <c r="AG59" s="123">
        <f t="shared" si="18"/>
        <v>0.91776798825256989</v>
      </c>
      <c r="AH59" s="123">
        <f t="shared" si="19"/>
        <v>0.3273858241938124</v>
      </c>
      <c r="AN59" s="122">
        <v>41091</v>
      </c>
      <c r="AO59" s="131">
        <v>103.5</v>
      </c>
      <c r="AP59" s="131">
        <v>111.5</v>
      </c>
      <c r="AS59" s="122">
        <v>41091</v>
      </c>
      <c r="AT59" s="138">
        <v>304.73566800000003</v>
      </c>
    </row>
    <row r="60" spans="1:46" ht="15.6" x14ac:dyDescent="0.3">
      <c r="A60" s="76">
        <v>42917</v>
      </c>
      <c r="B60" s="123">
        <v>0.58940000000000003</v>
      </c>
      <c r="C60" s="123">
        <v>0.58460000000000001</v>
      </c>
      <c r="D60" s="123">
        <v>0.4395</v>
      </c>
      <c r="E60" s="123">
        <v>0.39889999999999998</v>
      </c>
      <c r="F60" s="123">
        <v>0.90990000000000004</v>
      </c>
      <c r="G60" s="123">
        <v>0.35339999999999999</v>
      </c>
      <c r="H60" s="123">
        <v>51.638300000000001</v>
      </c>
      <c r="I60" s="123">
        <v>0.62580000000000002</v>
      </c>
      <c r="J60" s="123">
        <v>3.8313000000000001</v>
      </c>
      <c r="K60" s="123">
        <v>0.63339999999999996</v>
      </c>
      <c r="L60" s="123">
        <v>0.45989999999999998</v>
      </c>
      <c r="M60" s="123">
        <v>1.0669</v>
      </c>
      <c r="N60" s="123">
        <v>3.1153</v>
      </c>
      <c r="U60" s="76">
        <v>42887</v>
      </c>
      <c r="V60" s="125">
        <f t="shared" si="7"/>
        <v>1.6750418760469012</v>
      </c>
      <c r="W60" s="123">
        <f t="shared" si="8"/>
        <v>1.6633399866932803</v>
      </c>
      <c r="X60" s="123">
        <f t="shared" si="9"/>
        <v>2.2956841138659323</v>
      </c>
      <c r="Y60" s="123">
        <f t="shared" si="10"/>
        <v>2.4888003982080638</v>
      </c>
      <c r="Z60" s="123">
        <f t="shared" si="11"/>
        <v>1.1043622308117063</v>
      </c>
      <c r="AA60" s="123">
        <f t="shared" si="12"/>
        <v>2.8392958546280522</v>
      </c>
      <c r="AB60" s="123">
        <f t="shared" si="13"/>
        <v>1.9994841330936618E-2</v>
      </c>
      <c r="AC60" s="127">
        <f t="shared" si="14"/>
        <v>1.5979546180888462</v>
      </c>
      <c r="AD60" s="123">
        <f t="shared" si="15"/>
        <v>0.25466676853337411</v>
      </c>
      <c r="AE60" s="123">
        <f t="shared" si="16"/>
        <v>1.5931177314003504</v>
      </c>
      <c r="AF60" s="129">
        <f t="shared" si="17"/>
        <v>2.2148394241417497</v>
      </c>
      <c r="AG60" s="123">
        <f t="shared" si="18"/>
        <v>0.94464386926128852</v>
      </c>
      <c r="AH60" s="123">
        <f t="shared" si="19"/>
        <v>0.32524556039810054</v>
      </c>
      <c r="AN60" s="122">
        <v>41122</v>
      </c>
      <c r="AO60" s="131">
        <v>102.5</v>
      </c>
      <c r="AP60" s="131">
        <v>111.1</v>
      </c>
      <c r="AS60" s="122">
        <v>41122</v>
      </c>
      <c r="AT60" s="138">
        <v>308.23200500000002</v>
      </c>
    </row>
    <row r="61" spans="1:46" ht="15.6" x14ac:dyDescent="0.3">
      <c r="A61" s="76">
        <v>42948</v>
      </c>
      <c r="B61" s="123">
        <v>0.5847</v>
      </c>
      <c r="C61" s="123">
        <v>0.58450000000000002</v>
      </c>
      <c r="D61" s="123">
        <v>0.44569999999999999</v>
      </c>
      <c r="E61" s="123">
        <v>0.39190000000000003</v>
      </c>
      <c r="F61" s="123">
        <v>0.91059999999999997</v>
      </c>
      <c r="G61" s="123">
        <v>0.35659999999999997</v>
      </c>
      <c r="H61" s="123">
        <v>50.799799999999998</v>
      </c>
      <c r="I61" s="123">
        <v>0.63400000000000001</v>
      </c>
      <c r="J61" s="123">
        <v>3.7488999999999999</v>
      </c>
      <c r="K61" s="123">
        <v>0.63319999999999999</v>
      </c>
      <c r="L61" s="123">
        <v>0.46339999999999998</v>
      </c>
      <c r="M61" s="123">
        <v>1.0685</v>
      </c>
      <c r="N61" s="123">
        <v>3.0929000000000002</v>
      </c>
      <c r="U61" s="76">
        <v>42917</v>
      </c>
      <c r="V61" s="125">
        <f t="shared" si="7"/>
        <v>1.6966406515100101</v>
      </c>
      <c r="W61" s="123">
        <f t="shared" si="8"/>
        <v>1.7105713308244954</v>
      </c>
      <c r="X61" s="123">
        <f t="shared" si="9"/>
        <v>2.2753128555176336</v>
      </c>
      <c r="Y61" s="123">
        <f t="shared" si="10"/>
        <v>2.5068939583855605</v>
      </c>
      <c r="Z61" s="123">
        <f t="shared" si="11"/>
        <v>1.0990218705352237</v>
      </c>
      <c r="AA61" s="123">
        <f t="shared" si="12"/>
        <v>2.8296547821165818</v>
      </c>
      <c r="AB61" s="123">
        <f t="shared" si="13"/>
        <v>1.9365470977936918E-2</v>
      </c>
      <c r="AC61" s="127">
        <f t="shared" si="14"/>
        <v>1.5979546180888462</v>
      </c>
      <c r="AD61" s="123">
        <f t="shared" si="15"/>
        <v>0.26100801294599746</v>
      </c>
      <c r="AE61" s="123">
        <f t="shared" si="16"/>
        <v>1.5787811809283234</v>
      </c>
      <c r="AF61" s="129">
        <f t="shared" si="17"/>
        <v>2.174385736029572</v>
      </c>
      <c r="AG61" s="123">
        <f t="shared" si="18"/>
        <v>0.93729496672602874</v>
      </c>
      <c r="AH61" s="123">
        <f t="shared" si="19"/>
        <v>0.32099637274098802</v>
      </c>
      <c r="AN61" s="122">
        <v>41153</v>
      </c>
      <c r="AO61" s="131">
        <v>103.2</v>
      </c>
      <c r="AP61" s="131">
        <v>110.4</v>
      </c>
      <c r="AS61" s="122">
        <v>41153</v>
      </c>
      <c r="AT61" s="138">
        <v>306.76097000000004</v>
      </c>
    </row>
    <row r="62" spans="1:46" ht="15.6" x14ac:dyDescent="0.3">
      <c r="A62" s="76">
        <v>42979</v>
      </c>
      <c r="B62" s="123">
        <v>0.57989999999999997</v>
      </c>
      <c r="C62" s="123">
        <v>0.56930000000000003</v>
      </c>
      <c r="D62" s="123">
        <v>0.44319999999999998</v>
      </c>
      <c r="E62" s="123">
        <v>0.38840000000000002</v>
      </c>
      <c r="F62" s="123">
        <v>0.91080000000000005</v>
      </c>
      <c r="G62" s="123">
        <v>0.34810000000000002</v>
      </c>
      <c r="H62" s="123">
        <v>51.146999999999998</v>
      </c>
      <c r="I62" s="123">
        <v>0.63919999999999999</v>
      </c>
      <c r="J62" s="123">
        <v>3.7054</v>
      </c>
      <c r="K62" s="123">
        <v>0.62749999999999995</v>
      </c>
      <c r="L62" s="123">
        <v>0.46250000000000002</v>
      </c>
      <c r="M62" s="123">
        <v>1.0704</v>
      </c>
      <c r="N62" s="123">
        <v>3.0377999999999998</v>
      </c>
      <c r="U62" s="76">
        <v>42948</v>
      </c>
      <c r="V62" s="125">
        <f t="shared" si="7"/>
        <v>1.7102787754403967</v>
      </c>
      <c r="W62" s="123">
        <f t="shared" si="8"/>
        <v>1.7108639863130881</v>
      </c>
      <c r="X62" s="123">
        <f t="shared" si="9"/>
        <v>2.2436616558223021</v>
      </c>
      <c r="Y62" s="123">
        <f t="shared" si="10"/>
        <v>2.5516713447307984</v>
      </c>
      <c r="Z62" s="123">
        <f t="shared" si="11"/>
        <v>1.0981770261366133</v>
      </c>
      <c r="AA62" s="123">
        <f t="shared" si="12"/>
        <v>2.8042624789680315</v>
      </c>
      <c r="AB62" s="123">
        <f t="shared" si="13"/>
        <v>1.9685116870538862E-2</v>
      </c>
      <c r="AC62" s="127">
        <f t="shared" si="14"/>
        <v>1.5772870662460567</v>
      </c>
      <c r="AD62" s="123">
        <f t="shared" si="15"/>
        <v>0.26674491184080662</v>
      </c>
      <c r="AE62" s="123">
        <f t="shared" si="16"/>
        <v>1.5792798483891346</v>
      </c>
      <c r="AF62" s="129">
        <f t="shared" si="17"/>
        <v>2.1579628830384117</v>
      </c>
      <c r="AG62" s="123">
        <f t="shared" si="18"/>
        <v>0.93589143659335516</v>
      </c>
      <c r="AH62" s="123">
        <f t="shared" si="19"/>
        <v>0.32332115490316532</v>
      </c>
      <c r="AN62" s="122">
        <v>41183</v>
      </c>
      <c r="AO62" s="131">
        <v>101.8</v>
      </c>
      <c r="AP62" s="131">
        <v>110.1</v>
      </c>
      <c r="AS62" s="122">
        <v>41183</v>
      </c>
      <c r="AT62" s="138">
        <v>302.26362699999999</v>
      </c>
    </row>
    <row r="63" spans="1:46" ht="15.6" x14ac:dyDescent="0.3">
      <c r="A63" s="76">
        <v>43009</v>
      </c>
      <c r="B63" s="123">
        <v>0.58409999999999995</v>
      </c>
      <c r="C63" s="123">
        <v>0.57369999999999999</v>
      </c>
      <c r="D63" s="123">
        <v>0.44529999999999997</v>
      </c>
      <c r="E63" s="123">
        <v>0.38750000000000001</v>
      </c>
      <c r="F63" s="123">
        <v>0.91059999999999997</v>
      </c>
      <c r="G63" s="123">
        <v>0.34449999999999997</v>
      </c>
      <c r="H63" s="123">
        <v>51.424399999999999</v>
      </c>
      <c r="I63" s="123">
        <v>0.64670000000000005</v>
      </c>
      <c r="J63" s="123">
        <v>3.7271000000000001</v>
      </c>
      <c r="K63" s="123">
        <v>0.62260000000000004</v>
      </c>
      <c r="L63" s="123">
        <v>0.45600000000000002</v>
      </c>
      <c r="M63" s="123">
        <v>1.0697000000000001</v>
      </c>
      <c r="N63" s="123">
        <v>3.0219999999999998</v>
      </c>
      <c r="U63" s="76">
        <v>42979</v>
      </c>
      <c r="V63" s="125">
        <f t="shared" si="7"/>
        <v>1.7244352474564582</v>
      </c>
      <c r="W63" s="123">
        <f t="shared" si="8"/>
        <v>1.7565431231336728</v>
      </c>
      <c r="X63" s="123">
        <f t="shared" si="9"/>
        <v>2.256317689530686</v>
      </c>
      <c r="Y63" s="123">
        <f t="shared" si="10"/>
        <v>2.5746652935118433</v>
      </c>
      <c r="Z63" s="123">
        <f t="shared" si="11"/>
        <v>1.097935880544576</v>
      </c>
      <c r="AA63" s="123">
        <f t="shared" si="12"/>
        <v>2.8727377190462509</v>
      </c>
      <c r="AB63" s="123">
        <f t="shared" si="13"/>
        <v>1.9551488845875615E-2</v>
      </c>
      <c r="AC63" s="127">
        <f t="shared" si="14"/>
        <v>1.5644555694618274</v>
      </c>
      <c r="AD63" s="123">
        <f t="shared" si="15"/>
        <v>0.26987639661035245</v>
      </c>
      <c r="AE63" s="123">
        <f t="shared" si="16"/>
        <v>1.5936254980079683</v>
      </c>
      <c r="AF63" s="129">
        <f t="shared" si="17"/>
        <v>2.1621621621621618</v>
      </c>
      <c r="AG63" s="123">
        <f t="shared" si="18"/>
        <v>0.93423019431988041</v>
      </c>
      <c r="AH63" s="123">
        <f t="shared" si="19"/>
        <v>0.3291855948383699</v>
      </c>
      <c r="AN63" s="122">
        <v>41214</v>
      </c>
      <c r="AO63" s="131">
        <v>101.6</v>
      </c>
      <c r="AP63" s="131">
        <v>109.7</v>
      </c>
      <c r="AS63" s="122">
        <v>41214</v>
      </c>
      <c r="AT63" s="138">
        <v>307.37866400000001</v>
      </c>
    </row>
    <row r="64" spans="1:46" ht="15.6" x14ac:dyDescent="0.3">
      <c r="A64" s="76">
        <v>43040</v>
      </c>
      <c r="B64" s="123">
        <v>0.58840000000000003</v>
      </c>
      <c r="C64" s="123">
        <v>0.5736</v>
      </c>
      <c r="D64" s="123">
        <v>0.44379999999999997</v>
      </c>
      <c r="E64" s="123">
        <v>0.3826</v>
      </c>
      <c r="F64" s="123">
        <v>0.90529999999999999</v>
      </c>
      <c r="G64" s="123">
        <v>0.33929999999999999</v>
      </c>
      <c r="H64" s="123">
        <v>50.649000000000001</v>
      </c>
      <c r="I64" s="123">
        <v>0.65310000000000001</v>
      </c>
      <c r="J64" s="123">
        <v>3.7671000000000001</v>
      </c>
      <c r="K64" s="123">
        <v>0.61199999999999999</v>
      </c>
      <c r="L64" s="123">
        <v>0.44940000000000002</v>
      </c>
      <c r="M64" s="123">
        <v>1.0672999999999999</v>
      </c>
      <c r="N64" s="123">
        <v>2.9765999999999999</v>
      </c>
      <c r="U64" s="76">
        <v>43009</v>
      </c>
      <c r="V64" s="125">
        <f t="shared" si="7"/>
        <v>1.7120356103406953</v>
      </c>
      <c r="W64" s="123">
        <f t="shared" si="8"/>
        <v>1.7430712916158271</v>
      </c>
      <c r="X64" s="123">
        <f t="shared" si="9"/>
        <v>2.2456770716370986</v>
      </c>
      <c r="Y64" s="123">
        <f t="shared" si="10"/>
        <v>2.5806451612903225</v>
      </c>
      <c r="Z64" s="123">
        <f t="shared" si="11"/>
        <v>1.0981770261366133</v>
      </c>
      <c r="AA64" s="123">
        <f t="shared" si="12"/>
        <v>2.9027576197387521</v>
      </c>
      <c r="AB64" s="123">
        <f t="shared" si="13"/>
        <v>1.9446021732873891E-2</v>
      </c>
      <c r="AC64" s="127">
        <f t="shared" si="14"/>
        <v>1.5463120457708364</v>
      </c>
      <c r="AD64" s="123">
        <f t="shared" si="15"/>
        <v>0.26830511657857314</v>
      </c>
      <c r="AE64" s="123">
        <f t="shared" si="16"/>
        <v>1.6061676839061998</v>
      </c>
      <c r="AF64" s="129">
        <f t="shared" si="17"/>
        <v>2.1929824561403506</v>
      </c>
      <c r="AG64" s="123">
        <f t="shared" si="18"/>
        <v>0.93484154435823119</v>
      </c>
      <c r="AH64" s="123">
        <f t="shared" si="19"/>
        <v>0.33090668431502318</v>
      </c>
      <c r="AN64" s="122">
        <v>41244</v>
      </c>
      <c r="AO64" s="131">
        <v>101.5</v>
      </c>
      <c r="AP64" s="131">
        <v>110.6</v>
      </c>
      <c r="AS64" s="122">
        <v>41244</v>
      </c>
      <c r="AT64" s="138">
        <v>317.12564199999997</v>
      </c>
    </row>
    <row r="65" spans="1:46" ht="15.6" x14ac:dyDescent="0.3">
      <c r="A65" s="76">
        <v>43070</v>
      </c>
      <c r="B65" s="123">
        <v>0.58840000000000003</v>
      </c>
      <c r="C65" s="123">
        <v>0.57499999999999996</v>
      </c>
      <c r="D65" s="123">
        <v>0.44230000000000003</v>
      </c>
      <c r="E65" s="123">
        <v>0.37969999999999998</v>
      </c>
      <c r="F65" s="123">
        <v>0.90339999999999998</v>
      </c>
      <c r="G65" s="123">
        <v>0.33479999999999999</v>
      </c>
      <c r="H65" s="123">
        <v>50.694699999999997</v>
      </c>
      <c r="I65" s="123">
        <v>0.64690000000000003</v>
      </c>
      <c r="J65" s="123">
        <v>3.7801</v>
      </c>
      <c r="K65" s="123">
        <v>0.60809999999999997</v>
      </c>
      <c r="L65" s="123">
        <v>0.44990000000000002</v>
      </c>
      <c r="M65" s="123">
        <v>1.0676000000000001</v>
      </c>
      <c r="N65" s="123">
        <v>2.9695</v>
      </c>
      <c r="U65" s="76">
        <v>43040</v>
      </c>
      <c r="V65" s="125">
        <f t="shared" si="7"/>
        <v>1.699524133242692</v>
      </c>
      <c r="W65" s="123">
        <f t="shared" si="8"/>
        <v>1.7433751743375174</v>
      </c>
      <c r="X65" s="123">
        <f t="shared" si="9"/>
        <v>2.253267237494367</v>
      </c>
      <c r="Y65" s="123">
        <f t="shared" si="10"/>
        <v>2.6136957658128592</v>
      </c>
      <c r="Z65" s="123">
        <f t="shared" si="11"/>
        <v>1.1046062078868883</v>
      </c>
      <c r="AA65" s="123">
        <f t="shared" si="12"/>
        <v>2.9472443265546713</v>
      </c>
      <c r="AB65" s="123">
        <f t="shared" si="13"/>
        <v>1.9743726430926572E-2</v>
      </c>
      <c r="AC65" s="127">
        <f t="shared" si="14"/>
        <v>1.5311590874291838</v>
      </c>
      <c r="AD65" s="123">
        <f t="shared" si="15"/>
        <v>0.26545618645642538</v>
      </c>
      <c r="AE65" s="123">
        <f t="shared" si="16"/>
        <v>1.6339869281045751</v>
      </c>
      <c r="AF65" s="129">
        <f t="shared" si="17"/>
        <v>2.2251891410769913</v>
      </c>
      <c r="AG65" s="123">
        <f t="shared" si="18"/>
        <v>0.93694368968425001</v>
      </c>
      <c r="AH65" s="123">
        <f t="shared" si="19"/>
        <v>0.33595377276086813</v>
      </c>
      <c r="AN65" s="122">
        <v>41275</v>
      </c>
      <c r="AO65" s="131">
        <v>101.9</v>
      </c>
      <c r="AP65" s="131">
        <v>109.6</v>
      </c>
      <c r="AS65" s="122">
        <v>41275</v>
      </c>
      <c r="AT65" s="138">
        <v>309.20875599999999</v>
      </c>
    </row>
    <row r="66" spans="1:46" ht="15.6" x14ac:dyDescent="0.3">
      <c r="A66" s="76">
        <v>43101</v>
      </c>
      <c r="B66" s="123">
        <v>0.57640000000000002</v>
      </c>
      <c r="C66" s="123">
        <v>0.57040000000000002</v>
      </c>
      <c r="D66" s="123">
        <v>0.43940000000000001</v>
      </c>
      <c r="E66" s="123">
        <v>0.376</v>
      </c>
      <c r="F66" s="123">
        <v>0.90400000000000003</v>
      </c>
      <c r="G66" s="123">
        <v>0.33169999999999999</v>
      </c>
      <c r="H66" s="123">
        <v>50.834600000000002</v>
      </c>
      <c r="I66" s="123">
        <v>0.63270000000000004</v>
      </c>
      <c r="J66" s="123">
        <v>3.6966999999999999</v>
      </c>
      <c r="K66" s="123">
        <v>0.6089</v>
      </c>
      <c r="L66" s="123">
        <v>0.45900000000000002</v>
      </c>
      <c r="M66" s="123">
        <v>1.0630999999999999</v>
      </c>
      <c r="N66" s="123">
        <v>2.9539</v>
      </c>
      <c r="U66" s="76">
        <v>43070</v>
      </c>
      <c r="V66" s="125">
        <f t="shared" si="7"/>
        <v>1.699524133242692</v>
      </c>
      <c r="W66" s="123">
        <f t="shared" si="8"/>
        <v>1.7391304347826089</v>
      </c>
      <c r="X66" s="123">
        <f t="shared" si="9"/>
        <v>2.2609088853719195</v>
      </c>
      <c r="Y66" s="123">
        <f t="shared" si="10"/>
        <v>2.6336581511719781</v>
      </c>
      <c r="Z66" s="123">
        <f t="shared" si="11"/>
        <v>1.1069293779056897</v>
      </c>
      <c r="AA66" s="123">
        <f t="shared" si="12"/>
        <v>2.9868578255675029</v>
      </c>
      <c r="AB66" s="123">
        <f t="shared" si="13"/>
        <v>1.9725927956965917E-2</v>
      </c>
      <c r="AC66" s="127">
        <f t="shared" si="14"/>
        <v>1.5458339774308238</v>
      </c>
      <c r="AD66" s="123">
        <f t="shared" si="15"/>
        <v>0.26454326605116268</v>
      </c>
      <c r="AE66" s="123">
        <f t="shared" si="16"/>
        <v>1.6444663706627201</v>
      </c>
      <c r="AF66" s="129">
        <f t="shared" si="17"/>
        <v>2.222716159146477</v>
      </c>
      <c r="AG66" s="123">
        <f t="shared" si="18"/>
        <v>0.93668040464593472</v>
      </c>
      <c r="AH66" s="123">
        <f t="shared" si="19"/>
        <v>0.33675702980299715</v>
      </c>
      <c r="AN66" s="122">
        <v>41306</v>
      </c>
      <c r="AO66" s="131">
        <v>102</v>
      </c>
      <c r="AP66" s="131">
        <v>109.7</v>
      </c>
      <c r="AS66" s="122">
        <v>41306</v>
      </c>
      <c r="AT66" s="139">
        <v>306.88430299999999</v>
      </c>
    </row>
    <row r="67" spans="1:46" ht="15.6" x14ac:dyDescent="0.3">
      <c r="A67" s="76">
        <v>43132</v>
      </c>
      <c r="B67" s="123">
        <v>0.57909999999999995</v>
      </c>
      <c r="C67" s="123">
        <v>0.57779999999999998</v>
      </c>
      <c r="D67" s="123">
        <v>0.42770000000000002</v>
      </c>
      <c r="E67" s="123">
        <v>0.372</v>
      </c>
      <c r="F67" s="123">
        <v>0.90559999999999996</v>
      </c>
      <c r="G67" s="123">
        <v>0.32829999999999998</v>
      </c>
      <c r="H67" s="123">
        <v>49.649799999999999</v>
      </c>
      <c r="I67" s="123">
        <v>0.62949999999999995</v>
      </c>
      <c r="J67" s="123">
        <v>3.6947999999999999</v>
      </c>
      <c r="K67" s="123">
        <v>0.60950000000000004</v>
      </c>
      <c r="L67" s="123">
        <v>0.46029999999999999</v>
      </c>
      <c r="M67" s="123">
        <v>1.0639000000000001</v>
      </c>
      <c r="N67" s="123">
        <v>2.91</v>
      </c>
      <c r="U67" s="76">
        <v>43101</v>
      </c>
      <c r="V67" s="125">
        <f t="shared" si="7"/>
        <v>1.7349063150589867</v>
      </c>
      <c r="W67" s="123">
        <f t="shared" si="8"/>
        <v>1.7531556802244039</v>
      </c>
      <c r="X67" s="123">
        <f t="shared" si="9"/>
        <v>2.2758306781975421</v>
      </c>
      <c r="Y67" s="123">
        <f t="shared" si="10"/>
        <v>2.6595744680851063</v>
      </c>
      <c r="Z67" s="123">
        <f t="shared" si="11"/>
        <v>1.1061946902654867</v>
      </c>
      <c r="AA67" s="123">
        <f t="shared" si="12"/>
        <v>3.0147723846849561</v>
      </c>
      <c r="AB67" s="123">
        <f t="shared" si="13"/>
        <v>1.9671640968946347E-2</v>
      </c>
      <c r="AC67" s="127">
        <f t="shared" si="14"/>
        <v>1.5805278963173699</v>
      </c>
      <c r="AD67" s="123">
        <f t="shared" si="15"/>
        <v>0.27051153731706656</v>
      </c>
      <c r="AE67" s="123">
        <f t="shared" si="16"/>
        <v>1.6423057973394646</v>
      </c>
      <c r="AF67" s="129">
        <f t="shared" si="17"/>
        <v>2.1786492374727668</v>
      </c>
      <c r="AG67" s="123">
        <f t="shared" si="18"/>
        <v>0.94064528266390746</v>
      </c>
      <c r="AH67" s="123">
        <f t="shared" si="19"/>
        <v>0.33853549544669759</v>
      </c>
      <c r="AN67" s="122">
        <v>41334</v>
      </c>
      <c r="AO67" s="131">
        <v>102.1</v>
      </c>
      <c r="AP67" s="131">
        <v>111.1</v>
      </c>
      <c r="AS67" s="122">
        <v>41334</v>
      </c>
      <c r="AT67" s="139">
        <v>307.30253200000004</v>
      </c>
    </row>
    <row r="68" spans="1:46" ht="15.6" x14ac:dyDescent="0.3">
      <c r="A68" s="76">
        <v>43160</v>
      </c>
      <c r="B68" s="123">
        <v>0.58779999999999999</v>
      </c>
      <c r="C68" s="123">
        <v>0.59109999999999996</v>
      </c>
      <c r="D68" s="123">
        <v>0.43109999999999998</v>
      </c>
      <c r="E68" s="123">
        <v>0.37019999999999997</v>
      </c>
      <c r="F68" s="123">
        <v>0.90529999999999999</v>
      </c>
      <c r="G68" s="123">
        <v>0.32669999999999999</v>
      </c>
      <c r="H68" s="123">
        <v>48.420999999999999</v>
      </c>
      <c r="I68" s="123">
        <v>0.63029999999999997</v>
      </c>
      <c r="J68" s="123">
        <v>3.7631999999999999</v>
      </c>
      <c r="K68" s="123">
        <v>0.60399999999999998</v>
      </c>
      <c r="L68" s="123">
        <v>0.45739999999999997</v>
      </c>
      <c r="M68" s="123">
        <v>1.0698000000000001</v>
      </c>
      <c r="N68" s="123">
        <v>2.8929999999999998</v>
      </c>
      <c r="U68" s="76">
        <v>43132</v>
      </c>
      <c r="V68" s="125">
        <f t="shared" si="7"/>
        <v>1.7268174753928511</v>
      </c>
      <c r="W68" s="123">
        <f t="shared" si="8"/>
        <v>1.7307026652821047</v>
      </c>
      <c r="X68" s="123">
        <f t="shared" si="9"/>
        <v>2.3380874444704229</v>
      </c>
      <c r="Y68" s="123">
        <f t="shared" si="10"/>
        <v>2.6881720430107525</v>
      </c>
      <c r="Z68" s="123">
        <f t="shared" si="11"/>
        <v>1.1042402826855124</v>
      </c>
      <c r="AA68" s="123">
        <f t="shared" si="12"/>
        <v>3.045994517209869</v>
      </c>
      <c r="AB68" s="123">
        <f t="shared" si="13"/>
        <v>2.0141068040556057E-2</v>
      </c>
      <c r="AC68" s="127">
        <f t="shared" si="14"/>
        <v>1.5885623510722797</v>
      </c>
      <c r="AD68" s="123">
        <f t="shared" si="15"/>
        <v>0.27065064414853307</v>
      </c>
      <c r="AE68" s="123">
        <f t="shared" si="16"/>
        <v>1.6406890894175552</v>
      </c>
      <c r="AF68" s="129">
        <f t="shared" si="17"/>
        <v>2.1724961981316535</v>
      </c>
      <c r="AG68" s="123">
        <f t="shared" si="18"/>
        <v>0.93993796409436969</v>
      </c>
      <c r="AH68" s="123">
        <f t="shared" si="19"/>
        <v>0.3436426116838488</v>
      </c>
      <c r="AN68" s="122">
        <v>41365</v>
      </c>
      <c r="AO68" s="131">
        <v>101.7</v>
      </c>
      <c r="AP68" s="131">
        <v>111.3</v>
      </c>
      <c r="AS68" s="122">
        <v>41365</v>
      </c>
      <c r="AT68" s="139">
        <v>309.29314599999998</v>
      </c>
    </row>
    <row r="69" spans="1:46" ht="15.6" x14ac:dyDescent="0.3">
      <c r="A69" s="76">
        <v>43191</v>
      </c>
      <c r="B69" s="123">
        <v>0.5917</v>
      </c>
      <c r="C69" s="123">
        <v>0.57989999999999997</v>
      </c>
      <c r="D69" s="123">
        <v>0.43880000000000002</v>
      </c>
      <c r="E69" s="123">
        <v>0.37069999999999997</v>
      </c>
      <c r="F69" s="123">
        <v>0.9052</v>
      </c>
      <c r="G69" s="123">
        <v>0.32279999999999998</v>
      </c>
      <c r="H69" s="123">
        <v>48.928400000000003</v>
      </c>
      <c r="I69" s="123">
        <v>0.62839999999999996</v>
      </c>
      <c r="J69" s="123">
        <v>3.8485</v>
      </c>
      <c r="K69" s="123">
        <v>0.60219999999999996</v>
      </c>
      <c r="L69" s="123">
        <v>0.45619999999999999</v>
      </c>
      <c r="M69" s="123">
        <v>1.0680000000000001</v>
      </c>
      <c r="N69" s="123">
        <v>2.8725000000000001</v>
      </c>
      <c r="U69" s="76">
        <v>43160</v>
      </c>
      <c r="V69" s="125">
        <f t="shared" si="7"/>
        <v>1.7012589316093909</v>
      </c>
      <c r="W69" s="123">
        <f t="shared" si="8"/>
        <v>1.6917611233293861</v>
      </c>
      <c r="X69" s="123">
        <f t="shared" si="9"/>
        <v>2.3196474135931338</v>
      </c>
      <c r="Y69" s="123">
        <f t="shared" si="10"/>
        <v>2.7012425715829282</v>
      </c>
      <c r="Z69" s="123">
        <f t="shared" si="11"/>
        <v>1.1046062078868883</v>
      </c>
      <c r="AA69" s="123">
        <f t="shared" si="12"/>
        <v>3.0609121518212428</v>
      </c>
      <c r="AB69" s="123">
        <f t="shared" si="13"/>
        <v>2.0652196361083001E-2</v>
      </c>
      <c r="AC69" s="127">
        <f t="shared" si="14"/>
        <v>1.5865460891638903</v>
      </c>
      <c r="AD69" s="123">
        <f t="shared" si="15"/>
        <v>0.26573129251700683</v>
      </c>
      <c r="AE69" s="123">
        <f t="shared" si="16"/>
        <v>1.6556291390728477</v>
      </c>
      <c r="AF69" s="129">
        <f t="shared" si="17"/>
        <v>2.1862702229995628</v>
      </c>
      <c r="AG69" s="123">
        <f t="shared" si="18"/>
        <v>0.93475415965601039</v>
      </c>
      <c r="AH69" s="123">
        <f t="shared" si="19"/>
        <v>0.34566194262011757</v>
      </c>
      <c r="AN69" s="122">
        <v>41395</v>
      </c>
      <c r="AO69" s="131">
        <v>101.7</v>
      </c>
      <c r="AP69" s="131">
        <v>111</v>
      </c>
      <c r="AS69" s="122">
        <v>41395</v>
      </c>
      <c r="AT69" s="139">
        <v>310.87032799999997</v>
      </c>
    </row>
    <row r="70" spans="1:46" ht="15.6" x14ac:dyDescent="0.3">
      <c r="A70" s="76">
        <v>43221</v>
      </c>
      <c r="B70" s="123">
        <v>0.59340000000000004</v>
      </c>
      <c r="C70" s="123">
        <v>0.57530000000000003</v>
      </c>
      <c r="D70" s="123">
        <v>0.44419999999999998</v>
      </c>
      <c r="E70" s="123">
        <v>0.37759999999999999</v>
      </c>
      <c r="F70" s="123">
        <v>0.9</v>
      </c>
      <c r="G70" s="123">
        <v>0.33110000000000001</v>
      </c>
      <c r="H70" s="123">
        <v>49.007899999999999</v>
      </c>
      <c r="I70" s="123">
        <v>0.64359999999999995</v>
      </c>
      <c r="J70" s="123">
        <v>3.9194</v>
      </c>
      <c r="K70" s="123">
        <v>0.60160000000000002</v>
      </c>
      <c r="L70" s="123">
        <v>0.4476</v>
      </c>
      <c r="M70" s="123">
        <v>1.0641</v>
      </c>
      <c r="N70" s="123">
        <v>2.8512</v>
      </c>
      <c r="U70" s="76">
        <v>43191</v>
      </c>
      <c r="V70" s="125">
        <f t="shared" si="7"/>
        <v>1.6900456312320433</v>
      </c>
      <c r="W70" s="123">
        <f t="shared" si="8"/>
        <v>1.7244352474564582</v>
      </c>
      <c r="X70" s="123">
        <f t="shared" si="9"/>
        <v>2.2789425706472195</v>
      </c>
      <c r="Y70" s="123">
        <f t="shared" si="10"/>
        <v>2.6975991367682766</v>
      </c>
      <c r="Z70" s="123">
        <f t="shared" si="11"/>
        <v>1.1047282368537339</v>
      </c>
      <c r="AA70" s="123">
        <f t="shared" si="12"/>
        <v>3.0978934324659235</v>
      </c>
      <c r="AB70" s="123">
        <f t="shared" si="13"/>
        <v>2.0438027812068247E-2</v>
      </c>
      <c r="AC70" s="127">
        <f t="shared" si="14"/>
        <v>1.591343093570974</v>
      </c>
      <c r="AD70" s="123">
        <f t="shared" si="15"/>
        <v>0.25984149668702089</v>
      </c>
      <c r="AE70" s="123">
        <f t="shared" si="16"/>
        <v>1.6605778811026237</v>
      </c>
      <c r="AF70" s="129">
        <f t="shared" si="17"/>
        <v>2.1920210434020166</v>
      </c>
      <c r="AG70" s="123">
        <f t="shared" si="18"/>
        <v>0.93632958801498123</v>
      </c>
      <c r="AH70" s="123">
        <f t="shared" si="19"/>
        <v>0.34812880765883375</v>
      </c>
      <c r="AN70" s="122">
        <v>41426</v>
      </c>
      <c r="AO70" s="131">
        <v>101.6</v>
      </c>
      <c r="AP70" s="131">
        <v>110.6</v>
      </c>
      <c r="AS70" s="122">
        <v>41426</v>
      </c>
      <c r="AT70" s="139">
        <v>314.52341799999999</v>
      </c>
    </row>
    <row r="71" spans="1:46" ht="15.6" x14ac:dyDescent="0.3">
      <c r="A71" s="76">
        <v>43252</v>
      </c>
      <c r="B71" s="123">
        <v>0.59370000000000001</v>
      </c>
      <c r="C71" s="123">
        <v>0.58530000000000004</v>
      </c>
      <c r="D71" s="123">
        <v>0.43909999999999999</v>
      </c>
      <c r="E71" s="123">
        <v>0.38109999999999999</v>
      </c>
      <c r="F71" s="123">
        <v>0.89400000000000002</v>
      </c>
      <c r="G71" s="123">
        <v>0.33460000000000001</v>
      </c>
      <c r="H71" s="123">
        <v>48.947200000000002</v>
      </c>
      <c r="I71" s="123">
        <v>0.64159999999999995</v>
      </c>
      <c r="J71" s="123">
        <v>3.9222000000000001</v>
      </c>
      <c r="K71" s="123">
        <v>0.60340000000000005</v>
      </c>
      <c r="L71" s="123">
        <v>0.44590000000000002</v>
      </c>
      <c r="M71" s="123">
        <v>1.2582</v>
      </c>
      <c r="N71" s="123">
        <v>2.8731</v>
      </c>
      <c r="U71" s="76">
        <v>43221</v>
      </c>
      <c r="V71" s="125">
        <f t="shared" si="7"/>
        <v>1.6852039096730704</v>
      </c>
      <c r="W71" s="123">
        <f t="shared" si="8"/>
        <v>1.7382235355466713</v>
      </c>
      <c r="X71" s="123">
        <f t="shared" si="9"/>
        <v>2.2512381809995499</v>
      </c>
      <c r="Y71" s="123">
        <f t="shared" si="10"/>
        <v>2.648305084745763</v>
      </c>
      <c r="Z71" s="123">
        <f t="shared" si="11"/>
        <v>1.1111111111111112</v>
      </c>
      <c r="AA71" s="123">
        <f t="shared" si="12"/>
        <v>3.0202355783751131</v>
      </c>
      <c r="AB71" s="123">
        <f t="shared" si="13"/>
        <v>2.0404873499986736E-2</v>
      </c>
      <c r="AC71" s="127">
        <f t="shared" si="14"/>
        <v>1.5537600994406464</v>
      </c>
      <c r="AD71" s="123">
        <f t="shared" si="15"/>
        <v>0.25514109302444254</v>
      </c>
      <c r="AE71" s="123">
        <f t="shared" si="16"/>
        <v>1.6622340425531914</v>
      </c>
      <c r="AF71" s="129">
        <f t="shared" si="17"/>
        <v>2.2341376228775691</v>
      </c>
      <c r="AG71" s="123">
        <f t="shared" si="18"/>
        <v>0.93976130062964003</v>
      </c>
      <c r="AH71" s="123">
        <f t="shared" si="19"/>
        <v>0.35072951739618408</v>
      </c>
      <c r="AN71" s="122">
        <v>41456</v>
      </c>
      <c r="AO71" s="131">
        <v>100.6</v>
      </c>
      <c r="AP71" s="131">
        <v>108.7</v>
      </c>
      <c r="AS71" s="122">
        <v>41456</v>
      </c>
      <c r="AT71" s="139">
        <v>315.414129</v>
      </c>
    </row>
    <row r="72" spans="1:46" ht="15.6" x14ac:dyDescent="0.3">
      <c r="A72" s="76">
        <v>43282</v>
      </c>
      <c r="B72" s="123">
        <v>0.59409999999999996</v>
      </c>
      <c r="C72" s="123">
        <v>0.57899999999999996</v>
      </c>
      <c r="D72" s="123">
        <v>0.43619999999999998</v>
      </c>
      <c r="E72" s="123">
        <v>0.3765</v>
      </c>
      <c r="F72" s="123">
        <v>0.88749999999999996</v>
      </c>
      <c r="G72" s="123">
        <v>0.33379999999999999</v>
      </c>
      <c r="H72" s="123">
        <v>49.026299999999999</v>
      </c>
      <c r="I72" s="123">
        <v>0.6492</v>
      </c>
      <c r="J72" s="123">
        <v>3.8915999999999999</v>
      </c>
      <c r="K72" s="123">
        <v>0.60340000000000005</v>
      </c>
      <c r="L72" s="123">
        <v>0.441</v>
      </c>
      <c r="M72" s="123">
        <v>1.0580000000000001</v>
      </c>
      <c r="N72" s="123">
        <v>2.8690000000000002</v>
      </c>
      <c r="U72" s="76">
        <v>43252</v>
      </c>
      <c r="V72" s="125">
        <f t="shared" si="7"/>
        <v>1.684352366515075</v>
      </c>
      <c r="W72" s="123">
        <f t="shared" si="8"/>
        <v>1.7085255424568595</v>
      </c>
      <c r="X72" s="123">
        <f t="shared" si="9"/>
        <v>2.2773855613755409</v>
      </c>
      <c r="Y72" s="123">
        <f t="shared" si="10"/>
        <v>2.6239832065074782</v>
      </c>
      <c r="Z72" s="123">
        <f t="shared" si="11"/>
        <v>1.1185682326621924</v>
      </c>
      <c r="AA72" s="123">
        <f t="shared" si="12"/>
        <v>2.9886431560071727</v>
      </c>
      <c r="AB72" s="123">
        <f t="shared" si="13"/>
        <v>2.043017782426778E-2</v>
      </c>
      <c r="AC72" s="127">
        <f t="shared" si="14"/>
        <v>1.5586034912718205</v>
      </c>
      <c r="AD72" s="123">
        <f t="shared" si="15"/>
        <v>0.25495895160879095</v>
      </c>
      <c r="AE72" s="123">
        <f t="shared" si="16"/>
        <v>1.6572754391779914</v>
      </c>
      <c r="AF72" s="129">
        <f t="shared" si="17"/>
        <v>2.2426553038797934</v>
      </c>
      <c r="AG72" s="123">
        <f t="shared" si="18"/>
        <v>0.79478620251152443</v>
      </c>
      <c r="AH72" s="123">
        <f t="shared" si="19"/>
        <v>0.34805610664439107</v>
      </c>
      <c r="AN72" s="122">
        <v>41487</v>
      </c>
      <c r="AO72" s="131">
        <v>100.6</v>
      </c>
      <c r="AP72" s="131">
        <v>108.9</v>
      </c>
      <c r="AS72" s="122">
        <v>41487</v>
      </c>
      <c r="AT72" s="138">
        <v>318.69257600000003</v>
      </c>
    </row>
    <row r="73" spans="1:46" ht="15.6" x14ac:dyDescent="0.3">
      <c r="A73" s="76">
        <v>43313</v>
      </c>
      <c r="B73" s="123">
        <v>0.59709999999999996</v>
      </c>
      <c r="C73" s="123">
        <v>0.57199999999999995</v>
      </c>
      <c r="D73" s="123">
        <v>0.43190000000000001</v>
      </c>
      <c r="E73" s="123">
        <v>0.37930000000000003</v>
      </c>
      <c r="F73" s="123">
        <v>0.88839999999999997</v>
      </c>
      <c r="G73" s="123">
        <v>0.33979999999999999</v>
      </c>
      <c r="H73" s="123">
        <v>48.6402</v>
      </c>
      <c r="I73" s="123">
        <v>0.65700000000000003</v>
      </c>
      <c r="J73" s="123">
        <v>3.9742000000000002</v>
      </c>
      <c r="K73" s="123">
        <v>0.60319999999999996</v>
      </c>
      <c r="L73" s="123">
        <v>0.439</v>
      </c>
      <c r="M73" s="123">
        <v>1.0609999999999999</v>
      </c>
      <c r="N73" s="123">
        <v>2.8563000000000001</v>
      </c>
      <c r="U73" s="76">
        <v>43282</v>
      </c>
      <c r="V73" s="125">
        <f t="shared" si="7"/>
        <v>1.6832183134152501</v>
      </c>
      <c r="W73" s="123">
        <f t="shared" si="8"/>
        <v>1.7271157167530227</v>
      </c>
      <c r="X73" s="123">
        <f t="shared" si="9"/>
        <v>2.2925263640531868</v>
      </c>
      <c r="Y73" s="123">
        <f t="shared" si="10"/>
        <v>2.6560424966799467</v>
      </c>
      <c r="Z73" s="123">
        <f t="shared" si="11"/>
        <v>1.1267605633802817</v>
      </c>
      <c r="AA73" s="123">
        <f t="shared" si="12"/>
        <v>2.9958058717795089</v>
      </c>
      <c r="AB73" s="123">
        <f t="shared" si="13"/>
        <v>2.0397215372157395E-2</v>
      </c>
      <c r="AC73" s="127">
        <f t="shared" si="14"/>
        <v>1.5403573629081948</v>
      </c>
      <c r="AD73" s="123">
        <f t="shared" si="15"/>
        <v>0.25696371672319868</v>
      </c>
      <c r="AE73" s="123">
        <f t="shared" si="16"/>
        <v>1.6572754391779914</v>
      </c>
      <c r="AF73" s="129">
        <f t="shared" si="17"/>
        <v>2.2675736961451247</v>
      </c>
      <c r="AG73" s="123">
        <f t="shared" si="18"/>
        <v>0.94517958412098291</v>
      </c>
      <c r="AH73" s="123">
        <f t="shared" si="19"/>
        <v>0.34855350296270476</v>
      </c>
      <c r="AN73" s="122">
        <v>41518</v>
      </c>
      <c r="AO73" s="131">
        <v>100</v>
      </c>
      <c r="AP73" s="131">
        <v>108.3</v>
      </c>
      <c r="AS73" s="122">
        <v>41518</v>
      </c>
      <c r="AT73" s="51">
        <v>315.60000000000002</v>
      </c>
    </row>
    <row r="74" spans="1:46" ht="15.6" x14ac:dyDescent="0.3">
      <c r="A74" s="76">
        <v>43344</v>
      </c>
      <c r="B74" s="123">
        <v>0.60529999999999995</v>
      </c>
      <c r="C74" s="123">
        <v>0.56969999999999998</v>
      </c>
      <c r="D74" s="123">
        <v>0.42080000000000001</v>
      </c>
      <c r="E74" s="123">
        <v>0.374</v>
      </c>
      <c r="F74" s="123">
        <v>0.88919999999999999</v>
      </c>
      <c r="G74" s="123">
        <v>0.33400000000000002</v>
      </c>
      <c r="H74" s="123">
        <v>48.7986</v>
      </c>
      <c r="I74" s="123">
        <v>0.66190000000000004</v>
      </c>
      <c r="J74" s="123">
        <v>3.9125000000000001</v>
      </c>
      <c r="K74" s="123">
        <v>0.6018</v>
      </c>
      <c r="L74" s="123">
        <v>0.43709999999999999</v>
      </c>
      <c r="M74" s="123">
        <v>1.0644</v>
      </c>
      <c r="N74" s="123">
        <v>2.8437000000000001</v>
      </c>
      <c r="U74" s="76">
        <v>43313</v>
      </c>
      <c r="V74" s="125">
        <f t="shared" si="7"/>
        <v>1.6747613465081226</v>
      </c>
      <c r="W74" s="123">
        <f t="shared" si="8"/>
        <v>1.7482517482517483</v>
      </c>
      <c r="X74" s="123">
        <f t="shared" si="9"/>
        <v>2.3153507756425098</v>
      </c>
      <c r="Y74" s="123">
        <f t="shared" si="10"/>
        <v>2.6364355391510674</v>
      </c>
      <c r="Z74" s="123">
        <f t="shared" si="11"/>
        <v>1.1256190904997749</v>
      </c>
      <c r="AA74" s="123">
        <f t="shared" si="12"/>
        <v>2.9429075927015891</v>
      </c>
      <c r="AB74" s="123">
        <f t="shared" si="13"/>
        <v>2.0559125990435894E-2</v>
      </c>
      <c r="AC74" s="127">
        <f t="shared" si="14"/>
        <v>1.5220700152207001</v>
      </c>
      <c r="AD74" s="123">
        <f t="shared" si="15"/>
        <v>0.25162296814453222</v>
      </c>
      <c r="AE74" s="123">
        <f t="shared" si="16"/>
        <v>1.6578249336870028</v>
      </c>
      <c r="AF74" s="129">
        <f t="shared" si="17"/>
        <v>2.2779043280182232</v>
      </c>
      <c r="AG74" s="123">
        <f t="shared" si="18"/>
        <v>0.94250706880301605</v>
      </c>
      <c r="AH74" s="123">
        <f t="shared" si="19"/>
        <v>0.35010328046773798</v>
      </c>
      <c r="AN74" s="122">
        <v>41548</v>
      </c>
      <c r="AO74" s="131">
        <v>100.3</v>
      </c>
      <c r="AP74" s="131">
        <v>108.5</v>
      </c>
      <c r="AS74" s="122">
        <v>41548</v>
      </c>
      <c r="AT74" s="51">
        <v>319.3</v>
      </c>
    </row>
    <row r="75" spans="1:46" ht="15.6" x14ac:dyDescent="0.3">
      <c r="A75" s="76">
        <v>43374</v>
      </c>
      <c r="B75" s="123">
        <v>0.61309999999999998</v>
      </c>
      <c r="C75" s="123">
        <v>0.56789999999999996</v>
      </c>
      <c r="D75" s="123">
        <v>0.43180000000000002</v>
      </c>
      <c r="E75" s="123">
        <v>0.3795</v>
      </c>
      <c r="F75" s="123">
        <v>0.89329999999999998</v>
      </c>
      <c r="G75" s="123">
        <v>0.33479999999999999</v>
      </c>
      <c r="H75" s="123">
        <v>49.206299999999999</v>
      </c>
      <c r="I75" s="123">
        <v>0.66839999999999999</v>
      </c>
      <c r="J75" s="123">
        <v>3.948</v>
      </c>
      <c r="K75" s="123">
        <v>0.60519999999999996</v>
      </c>
      <c r="L75" s="123">
        <v>0.43719999999999998</v>
      </c>
      <c r="M75" s="123">
        <v>1.0709</v>
      </c>
      <c r="N75" s="123">
        <v>2.8445</v>
      </c>
      <c r="U75" s="76">
        <v>43344</v>
      </c>
      <c r="V75" s="125">
        <f t="shared" si="7"/>
        <v>1.6520733520568314</v>
      </c>
      <c r="W75" s="123">
        <f t="shared" si="8"/>
        <v>1.7553098121818502</v>
      </c>
      <c r="X75" s="123">
        <f t="shared" si="9"/>
        <v>2.376425855513308</v>
      </c>
      <c r="Y75" s="123">
        <f t="shared" si="10"/>
        <v>2.6737967914438503</v>
      </c>
      <c r="Z75" s="123">
        <f t="shared" si="11"/>
        <v>1.1246063877642825</v>
      </c>
      <c r="AA75" s="123">
        <f t="shared" si="12"/>
        <v>2.9940119760479038</v>
      </c>
      <c r="AB75" s="123">
        <f t="shared" si="13"/>
        <v>2.0492391175156666E-2</v>
      </c>
      <c r="AC75" s="127">
        <f t="shared" si="14"/>
        <v>1.5108022359873092</v>
      </c>
      <c r="AD75" s="123">
        <f t="shared" si="15"/>
        <v>0.25559105431309903</v>
      </c>
      <c r="AE75" s="123">
        <f t="shared" si="16"/>
        <v>1.6616816218012629</v>
      </c>
      <c r="AF75" s="129">
        <f t="shared" si="17"/>
        <v>2.2878059940517046</v>
      </c>
      <c r="AG75" s="123">
        <f t="shared" si="18"/>
        <v>0.9394964299135663</v>
      </c>
      <c r="AH75" s="123">
        <f t="shared" si="19"/>
        <v>0.35165453458522344</v>
      </c>
      <c r="AN75" s="122">
        <v>41579</v>
      </c>
      <c r="AO75" s="131">
        <v>99.7</v>
      </c>
      <c r="AP75" s="131">
        <v>106.5</v>
      </c>
      <c r="AS75" s="122">
        <v>41579</v>
      </c>
      <c r="AT75" s="51">
        <v>323.2</v>
      </c>
    </row>
    <row r="76" spans="1:46" ht="15.6" x14ac:dyDescent="0.3">
      <c r="A76" s="76">
        <v>43405</v>
      </c>
      <c r="B76" s="123">
        <v>0.60970000000000002</v>
      </c>
      <c r="C76" s="123">
        <v>0.58389999999999997</v>
      </c>
      <c r="D76" s="123">
        <v>0.44090000000000001</v>
      </c>
      <c r="E76" s="123">
        <v>0.38869999999999999</v>
      </c>
      <c r="F76" s="123">
        <v>0.89780000000000004</v>
      </c>
      <c r="G76" s="123">
        <v>0.34239999999999998</v>
      </c>
      <c r="H76" s="123">
        <v>50.0426</v>
      </c>
      <c r="I76" s="123">
        <v>0.65329999999999999</v>
      </c>
      <c r="J76" s="123">
        <v>4.0099</v>
      </c>
      <c r="K76" s="123">
        <v>0.61119999999999997</v>
      </c>
      <c r="L76" s="123">
        <v>0.44269999999999998</v>
      </c>
      <c r="M76" s="123">
        <v>0.98960000000000004</v>
      </c>
      <c r="N76" s="123">
        <v>2.8799000000000001</v>
      </c>
      <c r="U76" s="76">
        <v>43374</v>
      </c>
      <c r="V76" s="125">
        <f t="shared" si="7"/>
        <v>1.6310552927744251</v>
      </c>
      <c r="W76" s="123">
        <f t="shared" si="8"/>
        <v>1.7608733932030289</v>
      </c>
      <c r="X76" s="123">
        <f t="shared" si="9"/>
        <v>2.3158869847151458</v>
      </c>
      <c r="Y76" s="123">
        <f t="shared" si="10"/>
        <v>2.6350461133069829</v>
      </c>
      <c r="Z76" s="123">
        <f t="shared" si="11"/>
        <v>1.1194447554013209</v>
      </c>
      <c r="AA76" s="123">
        <f t="shared" si="12"/>
        <v>2.9868578255675029</v>
      </c>
      <c r="AB76" s="123">
        <f t="shared" si="13"/>
        <v>2.0322600967762259E-2</v>
      </c>
      <c r="AC76" s="127">
        <f t="shared" si="14"/>
        <v>1.4961101137043686</v>
      </c>
      <c r="AD76" s="123">
        <f t="shared" si="15"/>
        <v>0.25329280648429586</v>
      </c>
      <c r="AE76" s="123">
        <f t="shared" si="16"/>
        <v>1.6523463317911435</v>
      </c>
      <c r="AF76" s="129">
        <f t="shared" si="17"/>
        <v>2.2872827081427265</v>
      </c>
      <c r="AG76" s="123">
        <f t="shared" si="18"/>
        <v>0.93379400504248766</v>
      </c>
      <c r="AH76" s="123">
        <f t="shared" si="19"/>
        <v>0.3515556336790297</v>
      </c>
      <c r="AN76" s="122">
        <v>41609</v>
      </c>
      <c r="AO76" s="131">
        <v>99.1</v>
      </c>
      <c r="AP76" s="131">
        <v>107.1</v>
      </c>
      <c r="AS76" s="122">
        <v>41609</v>
      </c>
      <c r="AT76" s="140">
        <v>329.7</v>
      </c>
    </row>
    <row r="77" spans="1:46" ht="15.6" x14ac:dyDescent="0.3">
      <c r="A77" s="76">
        <v>43435</v>
      </c>
      <c r="B77" s="123">
        <v>0.61539999999999995</v>
      </c>
      <c r="C77" s="123">
        <v>0.59430000000000005</v>
      </c>
      <c r="D77" s="123">
        <v>0.43830000000000002</v>
      </c>
      <c r="E77" s="123">
        <v>0.38940000000000002</v>
      </c>
      <c r="F77" s="123">
        <v>0.89970000000000006</v>
      </c>
      <c r="G77" s="123">
        <v>0.3493</v>
      </c>
      <c r="H77" s="123">
        <v>49.847999999999999</v>
      </c>
      <c r="I77" s="123">
        <v>0.64800000000000002</v>
      </c>
      <c r="J77" s="123">
        <v>4.0095999999999998</v>
      </c>
      <c r="K77" s="123">
        <v>0.61029999999999995</v>
      </c>
      <c r="L77" s="123">
        <v>0.44359999999999999</v>
      </c>
      <c r="M77" s="123">
        <v>1.0694999999999999</v>
      </c>
      <c r="N77" s="123">
        <v>2.8856999999999999</v>
      </c>
      <c r="U77" s="76">
        <v>43405</v>
      </c>
      <c r="V77" s="125">
        <f t="shared" si="7"/>
        <v>1.6401508938822371</v>
      </c>
      <c r="W77" s="123">
        <f t="shared" si="8"/>
        <v>1.7126220243192327</v>
      </c>
      <c r="X77" s="123">
        <f t="shared" si="9"/>
        <v>2.2680880018144705</v>
      </c>
      <c r="Y77" s="123">
        <f t="shared" si="10"/>
        <v>2.5726781579624389</v>
      </c>
      <c r="Z77" s="123">
        <f t="shared" si="11"/>
        <v>1.1138338159946535</v>
      </c>
      <c r="AA77" s="123">
        <f t="shared" si="12"/>
        <v>2.9205607476635516</v>
      </c>
      <c r="AB77" s="123">
        <f t="shared" si="13"/>
        <v>1.9982974505721125E-2</v>
      </c>
      <c r="AC77" s="127">
        <f t="shared" si="14"/>
        <v>1.5306903413439461</v>
      </c>
      <c r="AD77" s="123">
        <f t="shared" si="15"/>
        <v>0.24938277762537719</v>
      </c>
      <c r="AE77" s="123">
        <f t="shared" si="16"/>
        <v>1.6361256544502618</v>
      </c>
      <c r="AF77" s="129">
        <f t="shared" si="17"/>
        <v>2.2588660492432799</v>
      </c>
      <c r="AG77" s="123">
        <f t="shared" si="18"/>
        <v>1.0105092966855296</v>
      </c>
      <c r="AH77" s="123">
        <f t="shared" si="19"/>
        <v>0.34723427896801973</v>
      </c>
      <c r="AN77" s="122">
        <v>41640</v>
      </c>
      <c r="AO77" s="131">
        <v>98.6</v>
      </c>
      <c r="AP77" s="131">
        <v>108.7</v>
      </c>
      <c r="AS77" s="122">
        <v>41640</v>
      </c>
      <c r="AT77" s="51">
        <v>325.7</v>
      </c>
    </row>
    <row r="78" spans="1:46" ht="15.6" x14ac:dyDescent="0.3">
      <c r="A78" s="76">
        <v>43466</v>
      </c>
      <c r="B78" s="123">
        <v>0.61709999999999998</v>
      </c>
      <c r="C78" s="123">
        <v>0.58850000000000002</v>
      </c>
      <c r="D78" s="123">
        <v>0.43509999999999999</v>
      </c>
      <c r="E78" s="123">
        <v>0.38640000000000002</v>
      </c>
      <c r="F78" s="123">
        <v>0.8982</v>
      </c>
      <c r="G78" s="123">
        <v>0.34210000000000002</v>
      </c>
      <c r="H78" s="123">
        <v>48.163400000000003</v>
      </c>
      <c r="I78" s="123">
        <v>0.65200000000000002</v>
      </c>
      <c r="J78" s="123">
        <v>3.9727000000000001</v>
      </c>
      <c r="K78" s="123">
        <v>0.60209999999999997</v>
      </c>
      <c r="L78" s="123">
        <v>0.44219999999999998</v>
      </c>
      <c r="M78" s="123">
        <v>1.0724</v>
      </c>
      <c r="N78" s="123">
        <v>2.8769999999999998</v>
      </c>
      <c r="U78" s="76">
        <v>43435</v>
      </c>
      <c r="V78" s="125">
        <f t="shared" si="7"/>
        <v>1.6249593760155998</v>
      </c>
      <c r="W78" s="123">
        <f t="shared" si="8"/>
        <v>1.6826518593303044</v>
      </c>
      <c r="X78" s="123">
        <f t="shared" si="9"/>
        <v>2.2815423226100844</v>
      </c>
      <c r="Y78" s="123">
        <f t="shared" si="10"/>
        <v>2.5680534155110424</v>
      </c>
      <c r="Z78" s="123">
        <f t="shared" si="11"/>
        <v>1.1114816049794376</v>
      </c>
      <c r="AA78" s="123">
        <f t="shared" si="12"/>
        <v>2.8628685943315202</v>
      </c>
      <c r="AB78" s="123">
        <f t="shared" si="13"/>
        <v>2.0060985395602634E-2</v>
      </c>
      <c r="AC78" s="127">
        <f t="shared" si="14"/>
        <v>1.5432098765432098</v>
      </c>
      <c r="AD78" s="123">
        <f t="shared" si="15"/>
        <v>0.24940143655227456</v>
      </c>
      <c r="AE78" s="123">
        <f t="shared" si="16"/>
        <v>1.6385384237260365</v>
      </c>
      <c r="AF78" s="129">
        <f t="shared" si="17"/>
        <v>2.254283137962128</v>
      </c>
      <c r="AG78" s="123">
        <f t="shared" si="18"/>
        <v>0.93501636278634881</v>
      </c>
      <c r="AH78" s="123">
        <f t="shared" si="19"/>
        <v>0.34653636899192569</v>
      </c>
      <c r="AN78" s="122">
        <v>41671</v>
      </c>
      <c r="AO78" s="131">
        <v>98.3</v>
      </c>
      <c r="AP78" s="131">
        <v>108.8</v>
      </c>
      <c r="AS78" s="122">
        <v>41671</v>
      </c>
      <c r="AT78" s="51">
        <v>327.8</v>
      </c>
    </row>
    <row r="79" spans="1:46" ht="15.6" x14ac:dyDescent="0.3">
      <c r="A79" s="76">
        <v>43497</v>
      </c>
      <c r="B79" s="123">
        <v>0.61829999999999996</v>
      </c>
      <c r="C79" s="123">
        <v>0.5847</v>
      </c>
      <c r="D79" s="123">
        <v>0.44140000000000001</v>
      </c>
      <c r="E79" s="123">
        <v>0.38979999999999998</v>
      </c>
      <c r="F79" s="123">
        <v>0.8992</v>
      </c>
      <c r="G79" s="123">
        <v>0.3397</v>
      </c>
      <c r="H79" s="123">
        <v>48.830300000000001</v>
      </c>
      <c r="I79" s="123">
        <v>0.64739999999999998</v>
      </c>
      <c r="J79" s="123">
        <v>4.0941999999999998</v>
      </c>
      <c r="K79" s="123">
        <v>0.60199999999999998</v>
      </c>
      <c r="L79" s="123">
        <v>0.44309999999999999</v>
      </c>
      <c r="M79" s="123">
        <v>1.0708</v>
      </c>
      <c r="N79" s="123">
        <v>2.8828999999999998</v>
      </c>
      <c r="U79" s="76">
        <v>43466</v>
      </c>
      <c r="V79" s="125">
        <f t="shared" si="7"/>
        <v>1.6204829039053639</v>
      </c>
      <c r="W79" s="123">
        <f t="shared" si="8"/>
        <v>1.6992353440951571</v>
      </c>
      <c r="X79" s="123">
        <f t="shared" si="9"/>
        <v>2.2983222247759136</v>
      </c>
      <c r="Y79" s="123">
        <f t="shared" si="10"/>
        <v>2.5879917184265011</v>
      </c>
      <c r="Z79" s="123">
        <f t="shared" si="11"/>
        <v>1.11333778668448</v>
      </c>
      <c r="AA79" s="123">
        <f t="shared" si="12"/>
        <v>2.9231218941829873</v>
      </c>
      <c r="AB79" s="123">
        <f t="shared" si="13"/>
        <v>2.0762653799358016E-2</v>
      </c>
      <c r="AC79" s="127">
        <f t="shared" si="14"/>
        <v>1.5337423312883436</v>
      </c>
      <c r="AD79" s="123">
        <f t="shared" si="15"/>
        <v>0.25171797518060762</v>
      </c>
      <c r="AE79" s="123">
        <f t="shared" si="16"/>
        <v>1.6608536787908985</v>
      </c>
      <c r="AF79" s="129">
        <f t="shared" si="17"/>
        <v>2.261420171867933</v>
      </c>
      <c r="AG79" s="123">
        <f t="shared" si="18"/>
        <v>0.93248787765759045</v>
      </c>
      <c r="AH79" s="123">
        <f t="shared" si="19"/>
        <v>0.34758428919012863</v>
      </c>
      <c r="AN79" s="122">
        <v>41699</v>
      </c>
      <c r="AO79" s="131">
        <v>98.1</v>
      </c>
      <c r="AP79" s="131">
        <v>109.7</v>
      </c>
      <c r="AS79" s="122">
        <v>41699</v>
      </c>
      <c r="AT79" s="51">
        <v>328.6</v>
      </c>
    </row>
    <row r="80" spans="1:46" ht="15.6" x14ac:dyDescent="0.3">
      <c r="A80" s="76">
        <v>43525</v>
      </c>
      <c r="B80" s="123">
        <v>0.62309999999999999</v>
      </c>
      <c r="C80" s="123">
        <v>0.59079999999999999</v>
      </c>
      <c r="D80" s="123">
        <v>0.44040000000000001</v>
      </c>
      <c r="E80" s="123">
        <v>0.39079999999999998</v>
      </c>
      <c r="F80" s="123">
        <v>0.89949999999999997</v>
      </c>
      <c r="G80" s="123">
        <v>0.33489999999999998</v>
      </c>
      <c r="H80" s="123">
        <v>49.088200000000001</v>
      </c>
      <c r="I80" s="123">
        <v>0.64670000000000005</v>
      </c>
      <c r="J80" s="123">
        <v>4.1058000000000003</v>
      </c>
      <c r="K80" s="123">
        <v>0.60129999999999995</v>
      </c>
      <c r="L80" s="123">
        <v>0.4425</v>
      </c>
      <c r="M80" s="123">
        <v>1.071</v>
      </c>
      <c r="N80" s="123">
        <v>2.8786999999999998</v>
      </c>
      <c r="U80" s="76">
        <v>43497</v>
      </c>
      <c r="V80" s="125">
        <f t="shared" si="7"/>
        <v>1.6173378618793468</v>
      </c>
      <c r="W80" s="123">
        <f t="shared" si="8"/>
        <v>1.7102787754403967</v>
      </c>
      <c r="X80" s="123">
        <f t="shared" si="9"/>
        <v>2.2655188038060716</v>
      </c>
      <c r="Y80" s="123">
        <f t="shared" si="10"/>
        <v>2.5654181631605955</v>
      </c>
      <c r="Z80" s="123">
        <f t="shared" si="11"/>
        <v>1.1120996441281139</v>
      </c>
      <c r="AA80" s="123">
        <f t="shared" si="12"/>
        <v>2.9437739181630849</v>
      </c>
      <c r="AB80" s="123">
        <f t="shared" si="13"/>
        <v>2.047908777951395E-2</v>
      </c>
      <c r="AC80" s="127">
        <f t="shared" si="14"/>
        <v>1.5446400988569664</v>
      </c>
      <c r="AD80" s="123">
        <f t="shared" si="15"/>
        <v>0.2442479605295296</v>
      </c>
      <c r="AE80" s="123">
        <f t="shared" si="16"/>
        <v>1.6611295681063123</v>
      </c>
      <c r="AF80" s="129">
        <f t="shared" si="17"/>
        <v>2.2568269013766646</v>
      </c>
      <c r="AG80" s="123">
        <f t="shared" si="18"/>
        <v>0.93388121031004856</v>
      </c>
      <c r="AH80" s="123">
        <f t="shared" si="19"/>
        <v>0.34687294044191613</v>
      </c>
      <c r="AN80" s="122">
        <v>41730</v>
      </c>
      <c r="AO80" s="131">
        <v>98.3</v>
      </c>
      <c r="AP80" s="131">
        <v>109.6</v>
      </c>
      <c r="AS80" s="122">
        <v>41730</v>
      </c>
      <c r="AT80" s="51">
        <v>330.6</v>
      </c>
    </row>
    <row r="81" spans="1:46" ht="15.6" x14ac:dyDescent="0.3">
      <c r="A81" s="76">
        <v>43556</v>
      </c>
      <c r="B81" s="123">
        <v>0.61829999999999996</v>
      </c>
      <c r="C81" s="123">
        <v>0.58930000000000005</v>
      </c>
      <c r="D81" s="123">
        <v>0.44159999999999999</v>
      </c>
      <c r="E81" s="123">
        <v>0.39200000000000002</v>
      </c>
      <c r="F81" s="123">
        <v>0.89600000000000002</v>
      </c>
      <c r="G81" s="123">
        <v>0.33750000000000002</v>
      </c>
      <c r="H81" s="123">
        <v>49.215899999999998</v>
      </c>
      <c r="I81" s="123">
        <v>0.65439999999999998</v>
      </c>
      <c r="J81" s="123">
        <v>4.1092000000000004</v>
      </c>
      <c r="K81" s="123">
        <v>0.60029999999999994</v>
      </c>
      <c r="L81" s="123">
        <v>0.44119999999999998</v>
      </c>
      <c r="M81" s="123">
        <v>1.0719000000000001</v>
      </c>
      <c r="N81" s="123">
        <v>2.8700999999999999</v>
      </c>
      <c r="U81" s="76">
        <v>43525</v>
      </c>
      <c r="V81" s="125">
        <f t="shared" si="7"/>
        <v>1.6048788316482105</v>
      </c>
      <c r="W81" s="123">
        <f t="shared" si="8"/>
        <v>1.6926201760324984</v>
      </c>
      <c r="X81" s="123">
        <f t="shared" si="9"/>
        <v>2.2706630336058127</v>
      </c>
      <c r="Y81" s="123">
        <f t="shared" si="10"/>
        <v>2.5588536335721597</v>
      </c>
      <c r="Z81" s="123">
        <f t="shared" si="11"/>
        <v>1.1117287381878822</v>
      </c>
      <c r="AA81" s="123">
        <f t="shared" si="12"/>
        <v>2.9859659599880564</v>
      </c>
      <c r="AB81" s="123">
        <f t="shared" si="13"/>
        <v>2.0371494575070995E-2</v>
      </c>
      <c r="AC81" s="127">
        <f t="shared" si="14"/>
        <v>1.5463120457708364</v>
      </c>
      <c r="AD81" s="123">
        <f t="shared" si="15"/>
        <v>0.24355789371133515</v>
      </c>
      <c r="AE81" s="123">
        <f t="shared" si="16"/>
        <v>1.6630633627141196</v>
      </c>
      <c r="AF81" s="129">
        <f t="shared" si="17"/>
        <v>2.2598870056497176</v>
      </c>
      <c r="AG81" s="123">
        <f t="shared" si="18"/>
        <v>0.93370681605975725</v>
      </c>
      <c r="AH81" s="123">
        <f t="shared" si="19"/>
        <v>0.34737902525445513</v>
      </c>
      <c r="AN81" s="122">
        <v>41760</v>
      </c>
      <c r="AO81" s="131">
        <v>98.3</v>
      </c>
      <c r="AP81" s="131">
        <v>108.2</v>
      </c>
      <c r="AS81" s="122">
        <v>41760</v>
      </c>
      <c r="AT81" s="51">
        <v>329.5</v>
      </c>
    </row>
    <row r="82" spans="1:46" ht="15.6" x14ac:dyDescent="0.3">
      <c r="A82" s="76">
        <v>43586</v>
      </c>
      <c r="B82" s="123">
        <v>0.62709999999999999</v>
      </c>
      <c r="C82" s="123">
        <v>0.58740000000000003</v>
      </c>
      <c r="D82" s="123">
        <v>0.43959999999999999</v>
      </c>
      <c r="E82" s="123">
        <v>0.38940000000000002</v>
      </c>
      <c r="F82" s="123">
        <v>0.89490000000000003</v>
      </c>
      <c r="G82" s="123">
        <v>0.3387</v>
      </c>
      <c r="H82" s="123">
        <v>47.993400000000001</v>
      </c>
      <c r="I82" s="123">
        <v>0.66549999999999998</v>
      </c>
      <c r="J82" s="123">
        <v>4.1894</v>
      </c>
      <c r="K82" s="123">
        <v>0.6008</v>
      </c>
      <c r="L82" s="123">
        <v>0.43680000000000002</v>
      </c>
      <c r="M82" s="123">
        <v>1.0755999999999999</v>
      </c>
      <c r="N82" s="123">
        <v>2.8416999999999999</v>
      </c>
      <c r="U82" s="76">
        <v>43556</v>
      </c>
      <c r="V82" s="125">
        <f t="shared" si="7"/>
        <v>1.6173378618793468</v>
      </c>
      <c r="W82" s="123">
        <f t="shared" si="8"/>
        <v>1.6969285593076531</v>
      </c>
      <c r="X82" s="123">
        <f t="shared" si="9"/>
        <v>2.2644927536231885</v>
      </c>
      <c r="Y82" s="123">
        <f t="shared" si="10"/>
        <v>2.5510204081632653</v>
      </c>
      <c r="Z82" s="123">
        <f t="shared" si="11"/>
        <v>1.1160714285714286</v>
      </c>
      <c r="AA82" s="123">
        <f t="shared" si="12"/>
        <v>2.9629629629629628</v>
      </c>
      <c r="AB82" s="123">
        <f t="shared" si="13"/>
        <v>2.0318636863290118E-2</v>
      </c>
      <c r="AC82" s="127">
        <f t="shared" si="14"/>
        <v>1.5281173594132029</v>
      </c>
      <c r="AD82" s="123">
        <f t="shared" si="15"/>
        <v>0.24335637106979457</v>
      </c>
      <c r="AE82" s="123">
        <f t="shared" si="16"/>
        <v>1.665833749791771</v>
      </c>
      <c r="AF82" s="129">
        <f t="shared" si="17"/>
        <v>2.2665457842248413</v>
      </c>
      <c r="AG82" s="123">
        <f t="shared" si="18"/>
        <v>0.93292284728052988</v>
      </c>
      <c r="AH82" s="123">
        <f t="shared" si="19"/>
        <v>0.3484199156823804</v>
      </c>
      <c r="AN82" s="122">
        <v>41791</v>
      </c>
      <c r="AO82" s="131">
        <v>97.9</v>
      </c>
      <c r="AP82" s="131">
        <v>106</v>
      </c>
      <c r="AS82" s="122">
        <v>41791</v>
      </c>
      <c r="AT82" s="51">
        <v>340</v>
      </c>
    </row>
    <row r="83" spans="1:46" ht="15.6" x14ac:dyDescent="0.3">
      <c r="A83" s="76">
        <v>43617</v>
      </c>
      <c r="B83" s="123">
        <v>0.62819999999999998</v>
      </c>
      <c r="C83" s="123">
        <v>0.58109999999999995</v>
      </c>
      <c r="D83" s="123">
        <v>0.43009999999999998</v>
      </c>
      <c r="E83" s="123">
        <v>0.38629999999999998</v>
      </c>
      <c r="F83" s="123">
        <v>0.89570000000000005</v>
      </c>
      <c r="G83" s="123">
        <v>0.34389999999999998</v>
      </c>
      <c r="H83" s="123">
        <v>47.164900000000003</v>
      </c>
      <c r="I83" s="123">
        <v>0.66210000000000002</v>
      </c>
      <c r="J83" s="123">
        <v>4.1148999999999996</v>
      </c>
      <c r="K83" s="123">
        <v>0.59750000000000003</v>
      </c>
      <c r="L83" s="123">
        <v>0.43740000000000001</v>
      </c>
      <c r="M83" s="123">
        <v>1.0762</v>
      </c>
      <c r="N83" s="123">
        <v>2.8456000000000001</v>
      </c>
      <c r="U83" s="76">
        <v>43586</v>
      </c>
      <c r="V83" s="125">
        <f t="shared" si="7"/>
        <v>1.5946420028703556</v>
      </c>
      <c r="W83" s="123">
        <f t="shared" si="8"/>
        <v>1.7024174327545114</v>
      </c>
      <c r="X83" s="123">
        <f t="shared" si="9"/>
        <v>2.2747952684258417</v>
      </c>
      <c r="Y83" s="123">
        <f t="shared" si="10"/>
        <v>2.5680534155110424</v>
      </c>
      <c r="Z83" s="123">
        <f t="shared" si="11"/>
        <v>1.1174432897530451</v>
      </c>
      <c r="AA83" s="123">
        <f t="shared" si="12"/>
        <v>2.9524653085326249</v>
      </c>
      <c r="AB83" s="123">
        <f t="shared" si="13"/>
        <v>2.0836198310601042E-2</v>
      </c>
      <c r="AC83" s="127">
        <f t="shared" si="14"/>
        <v>1.5026296018031555</v>
      </c>
      <c r="AD83" s="123">
        <f t="shared" si="15"/>
        <v>0.23869766553683106</v>
      </c>
      <c r="AE83" s="123">
        <f t="shared" si="16"/>
        <v>1.6644474034620507</v>
      </c>
      <c r="AF83" s="129">
        <f t="shared" si="17"/>
        <v>2.2893772893772892</v>
      </c>
      <c r="AG83" s="123">
        <f t="shared" si="18"/>
        <v>0.9297136481963556</v>
      </c>
      <c r="AH83" s="123">
        <f t="shared" si="19"/>
        <v>0.35190203047471585</v>
      </c>
      <c r="AN83" s="122">
        <v>41821</v>
      </c>
      <c r="AO83" s="131">
        <v>98.1</v>
      </c>
      <c r="AP83" s="131">
        <v>105.9</v>
      </c>
      <c r="AS83" s="122">
        <v>41821</v>
      </c>
      <c r="AT83" s="51">
        <v>333.5</v>
      </c>
    </row>
    <row r="84" spans="1:46" ht="15.6" x14ac:dyDescent="0.3">
      <c r="A84" s="76">
        <v>43647</v>
      </c>
      <c r="B84" s="123">
        <v>0.62719999999999998</v>
      </c>
      <c r="C84" s="123">
        <v>0.57489999999999997</v>
      </c>
      <c r="D84" s="123">
        <v>0.43149999999999999</v>
      </c>
      <c r="E84" s="123">
        <v>0.39029999999999998</v>
      </c>
      <c r="F84" s="123">
        <v>0.89600000000000002</v>
      </c>
      <c r="G84" s="123">
        <v>0.35070000000000001</v>
      </c>
      <c r="H84" s="123">
        <v>47.425800000000002</v>
      </c>
      <c r="I84" s="123">
        <v>0.65620000000000001</v>
      </c>
      <c r="J84" s="123">
        <v>4.1292999999999997</v>
      </c>
      <c r="K84" s="123">
        <v>0.59970000000000001</v>
      </c>
      <c r="L84" s="123">
        <v>0.43919999999999998</v>
      </c>
      <c r="M84" s="123">
        <v>1.0745</v>
      </c>
      <c r="N84" s="123">
        <v>2.8573</v>
      </c>
      <c r="U84" s="76">
        <v>43617</v>
      </c>
      <c r="V84" s="125">
        <f t="shared" si="7"/>
        <v>1.591849729385546</v>
      </c>
      <c r="W84" s="123">
        <f t="shared" si="8"/>
        <v>1.7208742040956808</v>
      </c>
      <c r="X84" s="123">
        <f t="shared" si="9"/>
        <v>2.3250406882120438</v>
      </c>
      <c r="Y84" s="123">
        <f t="shared" si="10"/>
        <v>2.5886616619207872</v>
      </c>
      <c r="Z84" s="123">
        <f t="shared" si="11"/>
        <v>1.1164452383610584</v>
      </c>
      <c r="AA84" s="123">
        <f t="shared" si="12"/>
        <v>2.9078220412910731</v>
      </c>
      <c r="AB84" s="123">
        <f t="shared" si="13"/>
        <v>2.1202207573852588E-2</v>
      </c>
      <c r="AC84" s="127">
        <f t="shared" si="14"/>
        <v>1.5103458692040477</v>
      </c>
      <c r="AD84" s="123">
        <f t="shared" si="15"/>
        <v>0.24301927142822427</v>
      </c>
      <c r="AE84" s="123">
        <f t="shared" si="16"/>
        <v>1.6736401673640167</v>
      </c>
      <c r="AF84" s="129">
        <f t="shared" si="17"/>
        <v>2.2862368541380889</v>
      </c>
      <c r="AG84" s="123">
        <f t="shared" si="18"/>
        <v>0.92919531685560297</v>
      </c>
      <c r="AH84" s="123">
        <f t="shared" si="19"/>
        <v>0.35141973573235874</v>
      </c>
      <c r="AN84" s="122">
        <v>41852</v>
      </c>
      <c r="AO84" s="131">
        <v>98.2</v>
      </c>
      <c r="AP84" s="131">
        <v>106.6</v>
      </c>
      <c r="AS84" s="122">
        <v>41852</v>
      </c>
      <c r="AT84" s="51">
        <v>334.6</v>
      </c>
    </row>
    <row r="85" spans="1:46" ht="15.6" x14ac:dyDescent="0.3">
      <c r="A85" s="76">
        <v>43678</v>
      </c>
      <c r="B85" s="123">
        <v>0.6371</v>
      </c>
      <c r="C85" s="123">
        <v>0.5736</v>
      </c>
      <c r="D85" s="123">
        <v>0.42120000000000002</v>
      </c>
      <c r="E85" s="123">
        <v>0.38769999999999999</v>
      </c>
      <c r="F85" s="123">
        <v>0.89200000000000002</v>
      </c>
      <c r="G85" s="123">
        <v>0.3548</v>
      </c>
      <c r="H85" s="123">
        <v>45.879199999999997</v>
      </c>
      <c r="I85" s="123">
        <v>0.67059999999999997</v>
      </c>
      <c r="J85" s="123">
        <v>4.1684999999999999</v>
      </c>
      <c r="K85" s="123">
        <v>0.60099999999999998</v>
      </c>
      <c r="L85" s="123">
        <v>0.4325</v>
      </c>
      <c r="M85" s="123">
        <v>1.0761000000000001</v>
      </c>
      <c r="N85" s="123">
        <v>2.8140000000000001</v>
      </c>
      <c r="U85" s="76">
        <v>43647</v>
      </c>
      <c r="V85" s="125">
        <f t="shared" si="7"/>
        <v>1.5943877551020409</v>
      </c>
      <c r="W85" s="123">
        <f t="shared" si="8"/>
        <v>1.7394329448599757</v>
      </c>
      <c r="X85" s="123">
        <f t="shared" si="9"/>
        <v>2.3174971031286211</v>
      </c>
      <c r="Y85" s="123">
        <f t="shared" si="10"/>
        <v>2.5621316935690497</v>
      </c>
      <c r="Z85" s="123">
        <f t="shared" si="11"/>
        <v>1.1160714285714286</v>
      </c>
      <c r="AA85" s="123">
        <f t="shared" si="12"/>
        <v>2.85143997718848</v>
      </c>
      <c r="AB85" s="123">
        <f t="shared" si="13"/>
        <v>2.1085569457974351E-2</v>
      </c>
      <c r="AC85" s="127">
        <f t="shared" si="14"/>
        <v>1.5239256324291375</v>
      </c>
      <c r="AD85" s="123">
        <f t="shared" si="15"/>
        <v>0.24217179667255953</v>
      </c>
      <c r="AE85" s="123">
        <f t="shared" si="16"/>
        <v>1.6675004168751042</v>
      </c>
      <c r="AF85" s="129">
        <f t="shared" si="17"/>
        <v>2.2768670309653918</v>
      </c>
      <c r="AG85" s="123">
        <f t="shared" si="18"/>
        <v>0.93066542577943223</v>
      </c>
      <c r="AH85" s="123">
        <f t="shared" si="19"/>
        <v>0.34998075105869175</v>
      </c>
      <c r="AN85" s="122">
        <v>41883</v>
      </c>
      <c r="AO85" s="131">
        <v>98.2</v>
      </c>
      <c r="AP85" s="131">
        <v>105.2</v>
      </c>
      <c r="AS85" s="122">
        <v>41883</v>
      </c>
      <c r="AT85" s="51">
        <v>341.4</v>
      </c>
    </row>
    <row r="86" spans="1:46" ht="15.6" x14ac:dyDescent="0.3">
      <c r="A86" s="76">
        <v>43709</v>
      </c>
      <c r="B86" s="123">
        <v>0.63229999999999997</v>
      </c>
      <c r="C86" s="123">
        <v>0.57069999999999999</v>
      </c>
      <c r="D86" s="123">
        <v>0.42449999999999999</v>
      </c>
      <c r="E86" s="123">
        <v>0.39100000000000001</v>
      </c>
      <c r="F86" s="123">
        <v>0.89039999999999997</v>
      </c>
      <c r="G86" s="123">
        <v>0.34839999999999999</v>
      </c>
      <c r="H86" s="123">
        <v>46.157600000000002</v>
      </c>
      <c r="I86" s="123">
        <v>0.67869999999999997</v>
      </c>
      <c r="J86" s="123">
        <v>4.1860999999999997</v>
      </c>
      <c r="K86" s="123">
        <v>0.59750000000000003</v>
      </c>
      <c r="L86" s="123">
        <v>0.43120000000000003</v>
      </c>
      <c r="M86" s="123">
        <v>1.1074999999999999</v>
      </c>
      <c r="N86" s="123">
        <v>2.8052999999999999</v>
      </c>
      <c r="U86" s="76">
        <v>43678</v>
      </c>
      <c r="V86" s="125">
        <f t="shared" si="7"/>
        <v>1.5696123057604772</v>
      </c>
      <c r="W86" s="123">
        <f t="shared" si="8"/>
        <v>1.7433751743375174</v>
      </c>
      <c r="X86" s="123">
        <f t="shared" si="9"/>
        <v>2.3741690408357075</v>
      </c>
      <c r="Y86" s="123">
        <f t="shared" si="10"/>
        <v>2.5793139025019345</v>
      </c>
      <c r="Z86" s="123">
        <f t="shared" si="11"/>
        <v>1.1210762331838564</v>
      </c>
      <c r="AA86" s="123">
        <f t="shared" si="12"/>
        <v>2.818489289740699</v>
      </c>
      <c r="AB86" s="123">
        <f t="shared" si="13"/>
        <v>2.1796369596679979E-2</v>
      </c>
      <c r="AC86" s="127">
        <f t="shared" si="14"/>
        <v>1.4912019087384432</v>
      </c>
      <c r="AD86" s="123">
        <f t="shared" si="15"/>
        <v>0.23989444644356483</v>
      </c>
      <c r="AE86" s="123">
        <f t="shared" si="16"/>
        <v>1.6638935108153079</v>
      </c>
      <c r="AF86" s="129">
        <f t="shared" si="17"/>
        <v>2.3121387283236996</v>
      </c>
      <c r="AG86" s="123">
        <f t="shared" si="18"/>
        <v>0.92928166527274414</v>
      </c>
      <c r="AH86" s="123">
        <f t="shared" si="19"/>
        <v>0.35536602700781805</v>
      </c>
      <c r="AN86" s="122">
        <v>41913</v>
      </c>
      <c r="AO86" s="131">
        <v>98.1</v>
      </c>
      <c r="AP86" s="131">
        <v>104.6</v>
      </c>
      <c r="AS86" s="122">
        <v>41913</v>
      </c>
      <c r="AT86" s="51">
        <v>339.3</v>
      </c>
    </row>
    <row r="87" spans="1:46" ht="15.6" x14ac:dyDescent="0.3">
      <c r="A87" s="76">
        <v>43739</v>
      </c>
      <c r="B87" s="123">
        <v>0.63249999999999995</v>
      </c>
      <c r="C87" s="123">
        <v>0.56779999999999997</v>
      </c>
      <c r="D87" s="123">
        <v>0.42559999999999998</v>
      </c>
      <c r="E87" s="123">
        <v>0.38900000000000001</v>
      </c>
      <c r="F87" s="123">
        <v>0.88959999999999995</v>
      </c>
      <c r="G87" s="123">
        <v>0.34</v>
      </c>
      <c r="H87" s="123">
        <v>46.4696</v>
      </c>
      <c r="I87" s="123">
        <v>0.67930000000000001</v>
      </c>
      <c r="J87" s="123">
        <v>4.2085999999999997</v>
      </c>
      <c r="K87" s="123">
        <v>0.59260000000000002</v>
      </c>
      <c r="L87" s="123">
        <v>0.43059999999999998</v>
      </c>
      <c r="M87" s="123">
        <v>1.0733999999999999</v>
      </c>
      <c r="N87" s="123">
        <v>2.8014999999999999</v>
      </c>
      <c r="U87" s="76">
        <v>43709</v>
      </c>
      <c r="V87" s="125">
        <f t="shared" si="7"/>
        <v>1.5815277558121146</v>
      </c>
      <c r="W87" s="123">
        <f t="shared" si="8"/>
        <v>1.7522340984755564</v>
      </c>
      <c r="X87" s="123">
        <f t="shared" si="9"/>
        <v>2.3557126030624262</v>
      </c>
      <c r="Y87" s="123">
        <f t="shared" si="10"/>
        <v>2.5575447570332481</v>
      </c>
      <c r="Z87" s="123">
        <f t="shared" si="11"/>
        <v>1.1230907457322552</v>
      </c>
      <c r="AA87" s="123">
        <f t="shared" si="12"/>
        <v>2.8702640642939152</v>
      </c>
      <c r="AB87" s="123">
        <f t="shared" si="13"/>
        <v>2.1664904587760193E-2</v>
      </c>
      <c r="AC87" s="127">
        <f t="shared" si="14"/>
        <v>1.4734050390452336</v>
      </c>
      <c r="AD87" s="123">
        <f t="shared" si="15"/>
        <v>0.23888583645875638</v>
      </c>
      <c r="AE87" s="123">
        <f t="shared" si="16"/>
        <v>1.6736401673640167</v>
      </c>
      <c r="AF87" s="129">
        <f t="shared" si="17"/>
        <v>2.3191094619666046</v>
      </c>
      <c r="AG87" s="123">
        <f t="shared" si="18"/>
        <v>0.90293453724604977</v>
      </c>
      <c r="AH87" s="123">
        <f t="shared" si="19"/>
        <v>0.35646811392720923</v>
      </c>
      <c r="AN87" s="122">
        <v>41944</v>
      </c>
      <c r="AO87" s="131">
        <v>98.1</v>
      </c>
      <c r="AP87" s="131">
        <v>104.5</v>
      </c>
      <c r="AS87" s="122">
        <v>41944</v>
      </c>
      <c r="AT87" s="51">
        <v>342</v>
      </c>
    </row>
    <row r="88" spans="1:46" ht="15.6" x14ac:dyDescent="0.3">
      <c r="A88" s="76">
        <v>43770</v>
      </c>
      <c r="B88" s="123">
        <v>0.63019999999999998</v>
      </c>
      <c r="C88" s="123">
        <v>0.57089999999999996</v>
      </c>
      <c r="D88" s="123">
        <v>0.4264</v>
      </c>
      <c r="E88" s="123">
        <v>0.3896</v>
      </c>
      <c r="F88" s="123">
        <v>0.8911</v>
      </c>
      <c r="G88" s="123">
        <v>0.33389999999999997</v>
      </c>
      <c r="H88" s="123">
        <v>46.894500000000001</v>
      </c>
      <c r="I88" s="123">
        <v>0.67400000000000004</v>
      </c>
      <c r="J88" s="123">
        <v>4.16</v>
      </c>
      <c r="K88" s="123">
        <v>0.58979999999999999</v>
      </c>
      <c r="L88" s="123">
        <v>0.43159999999999998</v>
      </c>
      <c r="M88" s="123">
        <v>1.0760000000000001</v>
      </c>
      <c r="N88" s="123">
        <v>2.8081999999999998</v>
      </c>
      <c r="U88" s="76">
        <v>43739</v>
      </c>
      <c r="V88" s="125">
        <f t="shared" si="7"/>
        <v>1.5810276679841899</v>
      </c>
      <c r="W88" s="123">
        <f t="shared" si="8"/>
        <v>1.7611835153222968</v>
      </c>
      <c r="X88" s="123">
        <f t="shared" si="9"/>
        <v>2.3496240601503762</v>
      </c>
      <c r="Y88" s="123">
        <f t="shared" si="10"/>
        <v>2.5706940874035991</v>
      </c>
      <c r="Z88" s="123">
        <f t="shared" si="11"/>
        <v>1.1241007194244605</v>
      </c>
      <c r="AA88" s="123">
        <f t="shared" si="12"/>
        <v>2.9411764705882351</v>
      </c>
      <c r="AB88" s="123">
        <f t="shared" si="13"/>
        <v>2.151944497047532E-2</v>
      </c>
      <c r="AC88" s="127">
        <f t="shared" si="14"/>
        <v>1.4721036360959812</v>
      </c>
      <c r="AD88" s="123">
        <f t="shared" si="15"/>
        <v>0.23760870598298722</v>
      </c>
      <c r="AE88" s="123">
        <f t="shared" si="16"/>
        <v>1.6874789065136686</v>
      </c>
      <c r="AF88" s="129">
        <f t="shared" si="17"/>
        <v>2.3223409196470044</v>
      </c>
      <c r="AG88" s="123">
        <f t="shared" si="18"/>
        <v>0.93161915408980811</v>
      </c>
      <c r="AH88" s="123">
        <f t="shared" si="19"/>
        <v>0.35695163305372124</v>
      </c>
      <c r="AN88" s="122">
        <v>41974</v>
      </c>
      <c r="AO88" s="131">
        <v>97.7</v>
      </c>
      <c r="AP88" s="131">
        <v>103.8</v>
      </c>
      <c r="AS88" s="122">
        <v>41974</v>
      </c>
      <c r="AT88" s="51">
        <v>351.9</v>
      </c>
    </row>
    <row r="89" spans="1:46" ht="15.6" x14ac:dyDescent="0.3">
      <c r="A89" s="76">
        <v>43800</v>
      </c>
      <c r="B89" s="123">
        <v>0.63090000000000002</v>
      </c>
      <c r="C89" s="123">
        <v>0.57279999999999998</v>
      </c>
      <c r="D89" s="123">
        <v>0.42570000000000002</v>
      </c>
      <c r="E89" s="123">
        <v>0.39050000000000001</v>
      </c>
      <c r="F89" s="123">
        <v>0.89390000000000003</v>
      </c>
      <c r="G89" s="123">
        <v>0.33069999999999999</v>
      </c>
      <c r="H89" s="123">
        <v>47.349499999999999</v>
      </c>
      <c r="I89" s="123">
        <v>0.65959999999999996</v>
      </c>
      <c r="J89" s="123">
        <v>4.1040000000000001</v>
      </c>
      <c r="K89" s="123">
        <v>0.59240000000000004</v>
      </c>
      <c r="L89" s="123">
        <v>0.43490000000000001</v>
      </c>
      <c r="M89" s="123">
        <v>1.0740000000000001</v>
      </c>
      <c r="N89" s="123">
        <v>2.8292999999999999</v>
      </c>
      <c r="U89" s="76">
        <v>43770</v>
      </c>
      <c r="V89" s="125">
        <f t="shared" si="7"/>
        <v>1.5867978419549349</v>
      </c>
      <c r="W89" s="123">
        <f t="shared" si="8"/>
        <v>1.7516202487300754</v>
      </c>
      <c r="X89" s="123">
        <f t="shared" si="9"/>
        <v>2.3452157598499062</v>
      </c>
      <c r="Y89" s="123">
        <f t="shared" si="10"/>
        <v>2.5667351129363452</v>
      </c>
      <c r="Z89" s="123">
        <f t="shared" si="11"/>
        <v>1.1222085063404781</v>
      </c>
      <c r="AA89" s="123">
        <f t="shared" si="12"/>
        <v>2.994908655286014</v>
      </c>
      <c r="AB89" s="123">
        <f t="shared" si="13"/>
        <v>2.1324462356992823E-2</v>
      </c>
      <c r="AC89" s="127">
        <f t="shared" si="14"/>
        <v>1.4836795252225519</v>
      </c>
      <c r="AD89" s="123">
        <f t="shared" si="15"/>
        <v>0.24038461538461536</v>
      </c>
      <c r="AE89" s="123">
        <f t="shared" si="16"/>
        <v>1.69548999660902</v>
      </c>
      <c r="AF89" s="129">
        <f t="shared" si="17"/>
        <v>2.3169601482854496</v>
      </c>
      <c r="AG89" s="123">
        <f t="shared" si="18"/>
        <v>0.92936802973977695</v>
      </c>
      <c r="AH89" s="123">
        <f t="shared" si="19"/>
        <v>0.35609999287800015</v>
      </c>
      <c r="AN89" s="122">
        <v>42005</v>
      </c>
      <c r="AO89" s="132">
        <v>98.7</v>
      </c>
      <c r="AP89" s="132">
        <v>107.11</v>
      </c>
      <c r="AS89" s="122">
        <v>42005</v>
      </c>
      <c r="AT89" s="51">
        <v>348.5</v>
      </c>
    </row>
    <row r="90" spans="1:46" ht="15.6" x14ac:dyDescent="0.3">
      <c r="A90" s="76">
        <v>43831</v>
      </c>
      <c r="B90" s="123">
        <v>0.63270000000000004</v>
      </c>
      <c r="C90" s="123">
        <v>0.56899999999999995</v>
      </c>
      <c r="D90" s="123">
        <v>0.42</v>
      </c>
      <c r="E90" s="123">
        <v>0.3911</v>
      </c>
      <c r="F90" s="123">
        <v>0.89870000000000005</v>
      </c>
      <c r="G90" s="123">
        <v>0.33189999999999997</v>
      </c>
      <c r="H90" s="123">
        <v>47.4876</v>
      </c>
      <c r="I90" s="123">
        <v>0.65759999999999996</v>
      </c>
      <c r="J90" s="123">
        <v>4.1336000000000004</v>
      </c>
      <c r="K90" s="123">
        <v>0.59040000000000004</v>
      </c>
      <c r="L90" s="123">
        <v>0.43540000000000001</v>
      </c>
      <c r="M90" s="123">
        <v>1.0736000000000001</v>
      </c>
      <c r="N90" s="123">
        <v>2.8329</v>
      </c>
      <c r="U90" s="76">
        <v>43800</v>
      </c>
      <c r="V90" s="125">
        <f t="shared" si="7"/>
        <v>1.5850372483753368</v>
      </c>
      <c r="W90" s="123">
        <f t="shared" si="8"/>
        <v>1.7458100558659218</v>
      </c>
      <c r="X90" s="123">
        <f t="shared" si="9"/>
        <v>2.3490721165139767</v>
      </c>
      <c r="Y90" s="123">
        <f t="shared" si="10"/>
        <v>2.5608194622279128</v>
      </c>
      <c r="Z90" s="123">
        <f t="shared" si="11"/>
        <v>1.1186933661483387</v>
      </c>
      <c r="AA90" s="123">
        <f t="shared" si="12"/>
        <v>3.0238887208950711</v>
      </c>
      <c r="AB90" s="123">
        <f t="shared" si="13"/>
        <v>2.11195471969081E-2</v>
      </c>
      <c r="AC90" s="127">
        <f t="shared" si="14"/>
        <v>1.516070345664039</v>
      </c>
      <c r="AD90" s="123">
        <f t="shared" si="15"/>
        <v>0.24366471734892786</v>
      </c>
      <c r="AE90" s="123">
        <f t="shared" si="16"/>
        <v>1.6880486158001349</v>
      </c>
      <c r="AF90" s="129">
        <f t="shared" si="17"/>
        <v>2.2993791676247413</v>
      </c>
      <c r="AG90" s="123">
        <f t="shared" si="18"/>
        <v>0.93109869646182486</v>
      </c>
      <c r="AH90" s="123">
        <f t="shared" si="19"/>
        <v>0.35344431484819566</v>
      </c>
      <c r="AN90" s="122">
        <v>42036</v>
      </c>
      <c r="AO90" s="132">
        <v>98.16</v>
      </c>
      <c r="AP90" s="132">
        <v>105.37</v>
      </c>
      <c r="AS90" s="122">
        <v>42036</v>
      </c>
      <c r="AT90" s="51">
        <v>349.3</v>
      </c>
    </row>
    <row r="91" spans="1:46" ht="15.6" x14ac:dyDescent="0.3">
      <c r="A91" s="76">
        <v>43862</v>
      </c>
      <c r="B91" s="123">
        <v>0.64529999999999998</v>
      </c>
      <c r="C91" s="123">
        <v>0.57299999999999995</v>
      </c>
      <c r="D91" s="123">
        <v>0.41930000000000001</v>
      </c>
      <c r="E91" s="123">
        <v>0.39489999999999997</v>
      </c>
      <c r="F91" s="123">
        <v>0.8972</v>
      </c>
      <c r="G91" s="123">
        <v>0.33179999999999998</v>
      </c>
      <c r="H91" s="123">
        <v>47.417000000000002</v>
      </c>
      <c r="I91" s="123">
        <v>0.67349999999999999</v>
      </c>
      <c r="J91" s="123">
        <v>4.1750999999999996</v>
      </c>
      <c r="K91" s="123">
        <v>0.6018</v>
      </c>
      <c r="L91" s="123">
        <v>0.43190000000000001</v>
      </c>
      <c r="M91" s="123">
        <v>1.0815999999999999</v>
      </c>
      <c r="N91" s="123">
        <v>2.8096000000000001</v>
      </c>
      <c r="U91" s="76">
        <v>43831</v>
      </c>
      <c r="V91" s="125">
        <f t="shared" si="7"/>
        <v>1.5805278963173699</v>
      </c>
      <c r="W91" s="123">
        <f t="shared" si="8"/>
        <v>1.7574692442882252</v>
      </c>
      <c r="X91" s="123">
        <f t="shared" si="9"/>
        <v>2.3809523809523809</v>
      </c>
      <c r="Y91" s="123">
        <f t="shared" si="10"/>
        <v>2.5568908207619536</v>
      </c>
      <c r="Z91" s="123">
        <f t="shared" si="11"/>
        <v>1.1127183709803048</v>
      </c>
      <c r="AA91" s="123">
        <f t="shared" si="12"/>
        <v>3.0129557095510697</v>
      </c>
      <c r="AB91" s="123">
        <f t="shared" si="13"/>
        <v>2.1058128858902112E-2</v>
      </c>
      <c r="AC91" s="127">
        <f t="shared" si="14"/>
        <v>1.5206812652068127</v>
      </c>
      <c r="AD91" s="123">
        <f t="shared" si="15"/>
        <v>0.2419198761370234</v>
      </c>
      <c r="AE91" s="123">
        <f t="shared" si="16"/>
        <v>1.6937669376693767</v>
      </c>
      <c r="AF91" s="129">
        <f t="shared" si="17"/>
        <v>2.2967386311437759</v>
      </c>
      <c r="AG91" s="123">
        <f t="shared" si="18"/>
        <v>0.93144560357675099</v>
      </c>
      <c r="AH91" s="123">
        <f t="shared" si="19"/>
        <v>0.35299516396625369</v>
      </c>
      <c r="AN91" s="122">
        <v>42064</v>
      </c>
      <c r="AO91" s="132">
        <v>97.78</v>
      </c>
      <c r="AP91" s="132">
        <v>102.74</v>
      </c>
      <c r="AS91" s="122">
        <v>42064</v>
      </c>
      <c r="AT91" s="51">
        <v>342.9</v>
      </c>
    </row>
    <row r="92" spans="1:46" ht="15.6" x14ac:dyDescent="0.3">
      <c r="A92" s="76">
        <v>43891</v>
      </c>
      <c r="B92" s="123">
        <v>0.68379999999999996</v>
      </c>
      <c r="C92" s="123">
        <v>0.59289999999999998</v>
      </c>
      <c r="D92" s="123">
        <v>0.40600000000000003</v>
      </c>
      <c r="E92" s="123">
        <v>0.38429999999999997</v>
      </c>
      <c r="F92" s="123">
        <v>0.91080000000000005</v>
      </c>
      <c r="G92" s="123">
        <v>0.34360000000000002</v>
      </c>
      <c r="H92" s="123">
        <v>45.749899999999997</v>
      </c>
      <c r="I92" s="123">
        <v>0.7036</v>
      </c>
      <c r="J92" s="123">
        <v>4.1753</v>
      </c>
      <c r="K92" s="123">
        <v>0.60540000000000005</v>
      </c>
      <c r="L92" s="123">
        <v>0.42620000000000002</v>
      </c>
      <c r="M92" s="123">
        <v>1.0956999999999999</v>
      </c>
      <c r="N92" s="123">
        <v>2.7726999999999999</v>
      </c>
      <c r="U92" s="76">
        <v>43862</v>
      </c>
      <c r="V92" s="125">
        <f t="shared" si="7"/>
        <v>1.5496668216333489</v>
      </c>
      <c r="W92" s="123">
        <f t="shared" si="8"/>
        <v>1.7452006980802794</v>
      </c>
      <c r="X92" s="123">
        <f t="shared" si="9"/>
        <v>2.3849272597185784</v>
      </c>
      <c r="Y92" s="123">
        <f t="shared" si="10"/>
        <v>2.532286654849329</v>
      </c>
      <c r="Z92" s="123">
        <f t="shared" si="11"/>
        <v>1.1145786892554614</v>
      </c>
      <c r="AA92" s="123">
        <f t="shared" si="12"/>
        <v>3.0138637733574445</v>
      </c>
      <c r="AB92" s="123">
        <f t="shared" si="13"/>
        <v>2.108948267498998E-2</v>
      </c>
      <c r="AC92" s="127">
        <f t="shared" si="14"/>
        <v>1.4847809948032666</v>
      </c>
      <c r="AD92" s="123">
        <f t="shared" si="15"/>
        <v>0.23951522119230678</v>
      </c>
      <c r="AE92" s="123">
        <f t="shared" si="16"/>
        <v>1.6616816218012629</v>
      </c>
      <c r="AF92" s="129">
        <f t="shared" si="17"/>
        <v>2.3153507756425098</v>
      </c>
      <c r="AG92" s="123">
        <f t="shared" si="18"/>
        <v>0.92455621301775159</v>
      </c>
      <c r="AH92" s="123">
        <f t="shared" si="19"/>
        <v>0.35592255125284739</v>
      </c>
      <c r="AN92" s="122">
        <v>42095</v>
      </c>
      <c r="AO92" s="132">
        <v>97.35</v>
      </c>
      <c r="AP92" s="132">
        <v>106.31</v>
      </c>
      <c r="AS92" s="122">
        <v>42095</v>
      </c>
      <c r="AT92" s="51">
        <v>351.2</v>
      </c>
    </row>
    <row r="93" spans="1:46" ht="15.6" x14ac:dyDescent="0.3">
      <c r="A93" s="76">
        <v>43922</v>
      </c>
      <c r="B93" s="123">
        <v>0.67979999999999996</v>
      </c>
      <c r="C93" s="123">
        <v>0.60309999999999997</v>
      </c>
      <c r="D93" s="123">
        <v>0.41420000000000001</v>
      </c>
      <c r="E93" s="123">
        <v>0.39350000000000002</v>
      </c>
      <c r="F93" s="123">
        <v>0.92369999999999997</v>
      </c>
      <c r="G93" s="123">
        <v>0.34449999999999997</v>
      </c>
      <c r="H93" s="123">
        <v>46.071199999999997</v>
      </c>
      <c r="I93" s="123">
        <v>0.71340000000000003</v>
      </c>
      <c r="J93" s="123">
        <v>4.2988999999999997</v>
      </c>
      <c r="K93" s="123">
        <v>0.61299999999999999</v>
      </c>
      <c r="L93" s="123">
        <v>0.4289</v>
      </c>
      <c r="M93" s="123">
        <v>1.1104000000000001</v>
      </c>
      <c r="N93" s="123">
        <v>2.7905000000000002</v>
      </c>
      <c r="U93" s="76">
        <v>43891</v>
      </c>
      <c r="V93" s="125">
        <f t="shared" si="7"/>
        <v>1.4624159110851127</v>
      </c>
      <c r="W93" s="123">
        <f t="shared" si="8"/>
        <v>1.6866250632484399</v>
      </c>
      <c r="X93" s="123">
        <f t="shared" si="9"/>
        <v>2.4630541871921179</v>
      </c>
      <c r="Y93" s="123">
        <f t="shared" si="10"/>
        <v>2.6021337496747337</v>
      </c>
      <c r="Z93" s="123">
        <f t="shared" si="11"/>
        <v>1.097935880544576</v>
      </c>
      <c r="AA93" s="123">
        <f t="shared" si="12"/>
        <v>2.9103608847497089</v>
      </c>
      <c r="AB93" s="123">
        <f t="shared" si="13"/>
        <v>2.1857971274254154E-2</v>
      </c>
      <c r="AC93" s="127">
        <f t="shared" si="14"/>
        <v>1.4212620807276861</v>
      </c>
      <c r="AD93" s="123">
        <f t="shared" si="15"/>
        <v>0.23950374823365986</v>
      </c>
      <c r="AE93" s="123">
        <f t="shared" si="16"/>
        <v>1.6518004625041294</v>
      </c>
      <c r="AF93" s="129">
        <f t="shared" si="17"/>
        <v>2.3463162834350069</v>
      </c>
      <c r="AG93" s="123">
        <f t="shared" si="18"/>
        <v>0.9126585744273068</v>
      </c>
      <c r="AH93" s="123">
        <f t="shared" si="19"/>
        <v>0.36065928517329682</v>
      </c>
      <c r="AN93" s="122">
        <v>42125</v>
      </c>
      <c r="AO93" s="132">
        <v>97.37</v>
      </c>
      <c r="AP93" s="132">
        <v>106.16</v>
      </c>
      <c r="AS93" s="122">
        <v>42125</v>
      </c>
      <c r="AT93" s="51">
        <v>355.5</v>
      </c>
    </row>
    <row r="94" spans="1:46" ht="15.6" x14ac:dyDescent="0.3">
      <c r="A94" s="76">
        <v>43952</v>
      </c>
      <c r="B94" s="123">
        <v>0.66349999999999998</v>
      </c>
      <c r="C94" s="123">
        <v>0.60529999999999995</v>
      </c>
      <c r="D94" s="123">
        <v>0.41799999999999998</v>
      </c>
      <c r="E94" s="123">
        <v>0.39660000000000001</v>
      </c>
      <c r="F94" s="123">
        <v>0.9204</v>
      </c>
      <c r="G94" s="123">
        <v>0.35110000000000002</v>
      </c>
      <c r="H94" s="123">
        <v>46.341999999999999</v>
      </c>
      <c r="I94" s="123">
        <v>0.71079999999999999</v>
      </c>
      <c r="J94" s="123">
        <v>4.2153999999999998</v>
      </c>
      <c r="K94" s="123">
        <v>0.61670000000000003</v>
      </c>
      <c r="L94" s="123">
        <v>0.43340000000000001</v>
      </c>
      <c r="M94" s="123">
        <v>1.1125</v>
      </c>
      <c r="N94" s="123">
        <v>2.8193000000000001</v>
      </c>
      <c r="U94" s="76">
        <v>43922</v>
      </c>
      <c r="V94" s="125">
        <f t="shared" si="7"/>
        <v>1.4710208884966167</v>
      </c>
      <c r="W94" s="123">
        <f t="shared" si="8"/>
        <v>1.6580998176090203</v>
      </c>
      <c r="X94" s="123">
        <f t="shared" si="9"/>
        <v>2.4142926122646062</v>
      </c>
      <c r="Y94" s="123">
        <f t="shared" si="10"/>
        <v>2.5412960609911055</v>
      </c>
      <c r="Z94" s="123">
        <f t="shared" si="11"/>
        <v>1.0826025765941323</v>
      </c>
      <c r="AA94" s="123">
        <f t="shared" si="12"/>
        <v>2.9027576197387521</v>
      </c>
      <c r="AB94" s="123">
        <f t="shared" si="13"/>
        <v>2.1705534042959593E-2</v>
      </c>
      <c r="AC94" s="127">
        <f t="shared" si="14"/>
        <v>1.4017381553125876</v>
      </c>
      <c r="AD94" s="123">
        <f t="shared" si="15"/>
        <v>0.23261764637465399</v>
      </c>
      <c r="AE94" s="123">
        <f t="shared" si="16"/>
        <v>1.6313213703099512</v>
      </c>
      <c r="AF94" s="129">
        <f t="shared" si="17"/>
        <v>2.3315458148752621</v>
      </c>
      <c r="AG94" s="123">
        <f t="shared" si="18"/>
        <v>0.90057636887608061</v>
      </c>
      <c r="AH94" s="123">
        <f t="shared" si="19"/>
        <v>0.35835871707579287</v>
      </c>
      <c r="AN94" s="122">
        <v>42156</v>
      </c>
      <c r="AO94" s="132">
        <v>97.1</v>
      </c>
      <c r="AP94" s="132">
        <v>105.11</v>
      </c>
      <c r="AS94" s="122">
        <v>42156</v>
      </c>
      <c r="AT94" s="52">
        <v>348</v>
      </c>
    </row>
    <row r="95" spans="1:46" ht="15.6" x14ac:dyDescent="0.3">
      <c r="A95" s="76">
        <v>43983</v>
      </c>
      <c r="B95" s="123">
        <v>0.63800000000000001</v>
      </c>
      <c r="C95" s="123">
        <v>0.59689999999999999</v>
      </c>
      <c r="D95" s="123">
        <v>4169</v>
      </c>
      <c r="E95" s="123">
        <v>0.39040000000000002</v>
      </c>
      <c r="F95" s="123">
        <v>0.91549999999999998</v>
      </c>
      <c r="G95" s="123">
        <v>0.35070000000000001</v>
      </c>
      <c r="H95" s="123">
        <v>47.228200000000001</v>
      </c>
      <c r="I95" s="123">
        <v>0.6835</v>
      </c>
      <c r="J95" s="123">
        <v>4.1010999999999997</v>
      </c>
      <c r="K95" s="123">
        <v>0.61629999999999996</v>
      </c>
      <c r="L95" s="123">
        <v>0.44040000000000001</v>
      </c>
      <c r="M95" s="123">
        <v>1.0943000000000001</v>
      </c>
      <c r="N95" s="123">
        <v>2.8649</v>
      </c>
      <c r="U95" s="76">
        <v>43952</v>
      </c>
      <c r="V95" s="125">
        <f t="shared" si="7"/>
        <v>1.5071590052750565</v>
      </c>
      <c r="W95" s="123">
        <f t="shared" si="8"/>
        <v>1.6520733520568314</v>
      </c>
      <c r="X95" s="123">
        <f t="shared" si="9"/>
        <v>2.3923444976076556</v>
      </c>
      <c r="Y95" s="123">
        <f t="shared" si="10"/>
        <v>2.5214321734745333</v>
      </c>
      <c r="Z95" s="123">
        <f t="shared" si="11"/>
        <v>1.086484137331595</v>
      </c>
      <c r="AA95" s="123">
        <f t="shared" si="12"/>
        <v>2.8481913984619767</v>
      </c>
      <c r="AB95" s="123">
        <f t="shared" si="13"/>
        <v>2.1578697509818306E-2</v>
      </c>
      <c r="AC95" s="127">
        <f t="shared" si="14"/>
        <v>1.4068655036578503</v>
      </c>
      <c r="AD95" s="123">
        <f t="shared" si="15"/>
        <v>0.23722541158608912</v>
      </c>
      <c r="AE95" s="123">
        <f t="shared" si="16"/>
        <v>1.6215339711366952</v>
      </c>
      <c r="AF95" s="129">
        <f t="shared" si="17"/>
        <v>2.3073373327180433</v>
      </c>
      <c r="AG95" s="123">
        <f t="shared" si="18"/>
        <v>0.898876404494382</v>
      </c>
      <c r="AH95" s="123">
        <f t="shared" si="19"/>
        <v>0.3546979746745646</v>
      </c>
      <c r="AN95" s="122">
        <v>42186</v>
      </c>
      <c r="AO95" s="132">
        <v>96.78</v>
      </c>
      <c r="AP95" s="132">
        <v>105.95</v>
      </c>
      <c r="AS95" s="122">
        <v>42186</v>
      </c>
      <c r="AT95" s="51">
        <v>357.2</v>
      </c>
    </row>
    <row r="96" spans="1:46" ht="15.6" x14ac:dyDescent="0.3">
      <c r="A96" s="76">
        <v>44013</v>
      </c>
      <c r="B96" s="123">
        <v>0.62360000000000004</v>
      </c>
      <c r="C96" s="123">
        <v>0.5927</v>
      </c>
      <c r="D96" s="123">
        <v>0.40810000000000002</v>
      </c>
      <c r="E96" s="123">
        <v>0.3826</v>
      </c>
      <c r="F96" s="123">
        <v>0.90900000000000003</v>
      </c>
      <c r="G96" s="123">
        <v>0.3458</v>
      </c>
      <c r="H96" s="123">
        <v>46.787599999999998</v>
      </c>
      <c r="I96" s="123">
        <v>0.66620000000000001</v>
      </c>
      <c r="J96" s="123">
        <v>3.9716</v>
      </c>
      <c r="K96" s="123">
        <v>0.61140000000000005</v>
      </c>
      <c r="L96" s="123">
        <v>0.439</v>
      </c>
      <c r="M96" s="123">
        <v>1.0766</v>
      </c>
      <c r="N96" s="123">
        <v>2.8561000000000001</v>
      </c>
      <c r="U96" s="76">
        <v>43983</v>
      </c>
      <c r="V96" s="125">
        <f t="shared" ref="V96:V159" si="21">1/B95</f>
        <v>1.567398119122257</v>
      </c>
      <c r="W96" s="123">
        <f t="shared" si="8"/>
        <v>1.6753224995811695</v>
      </c>
      <c r="X96" s="123">
        <f t="shared" si="9"/>
        <v>2.3986567522187575E-4</v>
      </c>
      <c r="Y96" s="123">
        <f t="shared" si="10"/>
        <v>2.5614754098360653</v>
      </c>
      <c r="Z96" s="123">
        <f t="shared" si="11"/>
        <v>1.0922992900054616</v>
      </c>
      <c r="AA96" s="123">
        <f t="shared" si="12"/>
        <v>2.85143997718848</v>
      </c>
      <c r="AB96" s="123">
        <f t="shared" si="13"/>
        <v>2.1173790235494896E-2</v>
      </c>
      <c r="AC96" s="127">
        <f t="shared" si="14"/>
        <v>1.463057790782736</v>
      </c>
      <c r="AD96" s="123">
        <f t="shared" si="15"/>
        <v>0.24383701933627566</v>
      </c>
      <c r="AE96" s="123">
        <f t="shared" si="16"/>
        <v>1.6225864027259453</v>
      </c>
      <c r="AF96" s="129">
        <f t="shared" si="17"/>
        <v>2.2706630336058127</v>
      </c>
      <c r="AG96" s="123">
        <f t="shared" si="18"/>
        <v>0.91382619025861278</v>
      </c>
      <c r="AH96" s="123">
        <f t="shared" si="19"/>
        <v>0.3490523229432092</v>
      </c>
      <c r="AN96" s="122">
        <v>42217</v>
      </c>
      <c r="AO96" s="132">
        <v>96.46</v>
      </c>
      <c r="AP96" s="132">
        <v>103.72</v>
      </c>
      <c r="AS96" s="122">
        <v>42217</v>
      </c>
      <c r="AT96" s="51">
        <v>366.3</v>
      </c>
    </row>
    <row r="97" spans="1:46" ht="15.6" x14ac:dyDescent="0.3">
      <c r="A97" s="76">
        <v>44044</v>
      </c>
      <c r="B97" s="123">
        <v>0.60860000000000003</v>
      </c>
      <c r="C97" s="123">
        <v>0.5806</v>
      </c>
      <c r="D97" s="123">
        <v>0.3972</v>
      </c>
      <c r="E97" s="123">
        <v>0.37009999999999998</v>
      </c>
      <c r="F97" s="123">
        <v>0.90280000000000005</v>
      </c>
      <c r="G97" s="123">
        <v>0.3332</v>
      </c>
      <c r="H97" s="123">
        <v>46.398200000000003</v>
      </c>
      <c r="I97" s="123">
        <v>0.66400000000000003</v>
      </c>
      <c r="J97" s="123">
        <v>3.8207</v>
      </c>
      <c r="K97" s="123">
        <v>0.60299999999999998</v>
      </c>
      <c r="L97" s="123">
        <v>0.43859999999999999</v>
      </c>
      <c r="M97" s="123">
        <v>1.0704</v>
      </c>
      <c r="N97" s="123">
        <v>2.8536000000000001</v>
      </c>
      <c r="U97" s="76">
        <v>44013</v>
      </c>
      <c r="V97" s="125">
        <f t="shared" si="21"/>
        <v>1.6035920461834507</v>
      </c>
      <c r="W97" s="123">
        <f t="shared" si="8"/>
        <v>1.6871941960519656</v>
      </c>
      <c r="X97" s="123">
        <f t="shared" si="9"/>
        <v>2.450379808870375</v>
      </c>
      <c r="Y97" s="123">
        <f t="shared" si="10"/>
        <v>2.6136957658128592</v>
      </c>
      <c r="Z97" s="123">
        <f t="shared" si="11"/>
        <v>1.1001100110011002</v>
      </c>
      <c r="AA97" s="123">
        <f t="shared" si="12"/>
        <v>2.891844997108155</v>
      </c>
      <c r="AB97" s="123">
        <f t="shared" si="13"/>
        <v>2.1373184347989641E-2</v>
      </c>
      <c r="AC97" s="127">
        <f t="shared" si="14"/>
        <v>1.5010507355148603</v>
      </c>
      <c r="AD97" s="123">
        <f t="shared" si="15"/>
        <v>0.25178769261758482</v>
      </c>
      <c r="AE97" s="123">
        <f t="shared" si="16"/>
        <v>1.6355904481517827</v>
      </c>
      <c r="AF97" s="129">
        <f t="shared" si="17"/>
        <v>2.2779043280182232</v>
      </c>
      <c r="AG97" s="123">
        <f t="shared" si="18"/>
        <v>0.92885008359650756</v>
      </c>
      <c r="AH97" s="123">
        <f t="shared" si="19"/>
        <v>0.3501277966457757</v>
      </c>
      <c r="AN97" s="122">
        <v>42248</v>
      </c>
      <c r="AO97" s="132">
        <v>95.17</v>
      </c>
      <c r="AP97" s="132">
        <v>100.18</v>
      </c>
      <c r="AS97" s="122">
        <v>42248</v>
      </c>
      <c r="AT97" s="51">
        <v>363.6</v>
      </c>
    </row>
    <row r="98" spans="1:46" ht="15.6" x14ac:dyDescent="0.3">
      <c r="A98" s="76">
        <v>44075</v>
      </c>
      <c r="B98" s="123">
        <v>0.60389999999999999</v>
      </c>
      <c r="C98" s="123">
        <v>0.57830000000000004</v>
      </c>
      <c r="D98" s="123">
        <v>0.39839999999999998</v>
      </c>
      <c r="E98" s="123">
        <v>0.3705</v>
      </c>
      <c r="F98" s="123">
        <v>0.89700000000000002</v>
      </c>
      <c r="G98" s="123">
        <v>0.33650000000000002</v>
      </c>
      <c r="H98" s="123">
        <v>46.1751</v>
      </c>
      <c r="I98" s="123">
        <v>0.65580000000000005</v>
      </c>
      <c r="J98" s="123">
        <v>3.8664000000000001</v>
      </c>
      <c r="K98" s="123">
        <v>0.60060000000000002</v>
      </c>
      <c r="L98" s="123">
        <v>0.43809999999999999</v>
      </c>
      <c r="M98" s="123">
        <v>1.0648</v>
      </c>
      <c r="N98" s="123">
        <v>2.85</v>
      </c>
      <c r="U98" s="76">
        <v>44044</v>
      </c>
      <c r="V98" s="125">
        <f t="shared" si="21"/>
        <v>1.6431153466973381</v>
      </c>
      <c r="W98" s="123">
        <f t="shared" si="8"/>
        <v>1.722356183258698</v>
      </c>
      <c r="X98" s="123">
        <f t="shared" si="9"/>
        <v>2.5176233635448138</v>
      </c>
      <c r="Y98" s="123">
        <f t="shared" si="10"/>
        <v>2.7019724398811134</v>
      </c>
      <c r="Z98" s="123">
        <f t="shared" si="11"/>
        <v>1.1076650420912715</v>
      </c>
      <c r="AA98" s="123">
        <f t="shared" si="12"/>
        <v>3.0012004801920771</v>
      </c>
      <c r="AB98" s="123">
        <f t="shared" si="13"/>
        <v>2.1552560228629558E-2</v>
      </c>
      <c r="AC98" s="127">
        <f t="shared" si="14"/>
        <v>1.506024096385542</v>
      </c>
      <c r="AD98" s="123">
        <f t="shared" si="15"/>
        <v>0.26173214332452166</v>
      </c>
      <c r="AE98" s="123">
        <f t="shared" si="16"/>
        <v>1.6583747927031509</v>
      </c>
      <c r="AF98" s="129">
        <f t="shared" si="17"/>
        <v>2.2799817601459189</v>
      </c>
      <c r="AG98" s="123">
        <f t="shared" si="18"/>
        <v>0.93423019431988041</v>
      </c>
      <c r="AH98" s="123">
        <f t="shared" si="19"/>
        <v>0.3504345388281469</v>
      </c>
      <c r="AN98" s="122">
        <v>42278</v>
      </c>
      <c r="AO98" s="132">
        <v>94.51</v>
      </c>
      <c r="AP98" s="132">
        <v>99.81</v>
      </c>
      <c r="AS98" s="122">
        <v>42278</v>
      </c>
      <c r="AT98" s="51">
        <v>369.2</v>
      </c>
    </row>
    <row r="99" spans="1:46" ht="15.6" x14ac:dyDescent="0.3">
      <c r="A99" s="76">
        <v>44105</v>
      </c>
      <c r="B99" s="123">
        <v>0.60440000000000005</v>
      </c>
      <c r="C99" s="123">
        <v>0.57069999999999999</v>
      </c>
      <c r="D99" s="123">
        <v>0.39240000000000003</v>
      </c>
      <c r="E99" s="123">
        <v>0.3664</v>
      </c>
      <c r="F99" s="123">
        <v>0.88970000000000005</v>
      </c>
      <c r="G99" s="123">
        <v>0.33210000000000001</v>
      </c>
      <c r="H99" s="123">
        <v>45.401400000000002</v>
      </c>
      <c r="I99" s="123">
        <v>0.65010000000000001</v>
      </c>
      <c r="J99" s="123">
        <v>3.8188</v>
      </c>
      <c r="K99" s="123">
        <v>0.59009999999999996</v>
      </c>
      <c r="L99" s="123">
        <v>0.43240000000000001</v>
      </c>
      <c r="M99" s="123">
        <v>1.0556000000000001</v>
      </c>
      <c r="N99" s="123">
        <v>2.8129</v>
      </c>
      <c r="U99" s="76">
        <v>44075</v>
      </c>
      <c r="V99" s="125">
        <f t="shared" si="21"/>
        <v>1.6559032952475576</v>
      </c>
      <c r="W99" s="123">
        <f t="shared" si="8"/>
        <v>1.7292062943109112</v>
      </c>
      <c r="X99" s="123">
        <f t="shared" si="9"/>
        <v>2.5100401606425704</v>
      </c>
      <c r="Y99" s="123">
        <f t="shared" si="10"/>
        <v>2.6990553306342782</v>
      </c>
      <c r="Z99" s="123">
        <f t="shared" si="11"/>
        <v>1.1148272017837235</v>
      </c>
      <c r="AA99" s="123">
        <f t="shared" si="12"/>
        <v>2.9717682020802374</v>
      </c>
      <c r="AB99" s="123">
        <f t="shared" si="13"/>
        <v>2.1656693759190559E-2</v>
      </c>
      <c r="AC99" s="127">
        <f t="shared" si="14"/>
        <v>1.5248551387618174</v>
      </c>
      <c r="AD99" s="123">
        <f t="shared" si="15"/>
        <v>0.25863852679495136</v>
      </c>
      <c r="AE99" s="123">
        <f t="shared" si="16"/>
        <v>1.665001665001665</v>
      </c>
      <c r="AF99" s="129">
        <f t="shared" si="17"/>
        <v>2.2825838849577722</v>
      </c>
      <c r="AG99" s="123">
        <f t="shared" si="18"/>
        <v>0.9391435011269722</v>
      </c>
      <c r="AH99" s="123">
        <f t="shared" si="19"/>
        <v>0.35087719298245612</v>
      </c>
      <c r="AN99" s="122">
        <v>42309</v>
      </c>
      <c r="AO99" s="132">
        <v>94.39</v>
      </c>
      <c r="AP99" s="132">
        <v>99.16</v>
      </c>
      <c r="AS99" s="122">
        <v>42309</v>
      </c>
      <c r="AT99" s="51">
        <v>371.5</v>
      </c>
    </row>
    <row r="100" spans="1:46" ht="15.6" x14ac:dyDescent="0.3">
      <c r="A100" s="76">
        <v>44136</v>
      </c>
      <c r="B100" s="123">
        <v>0.59589999999999999</v>
      </c>
      <c r="C100" s="123">
        <v>0.56840000000000002</v>
      </c>
      <c r="D100" s="123">
        <v>0.39400000000000002</v>
      </c>
      <c r="E100" s="123">
        <v>0.3669</v>
      </c>
      <c r="F100" s="123">
        <v>0.88570000000000004</v>
      </c>
      <c r="G100" s="123">
        <v>0.32840000000000003</v>
      </c>
      <c r="H100" s="123">
        <v>45.356499999999997</v>
      </c>
      <c r="I100" s="123">
        <v>0.63260000000000005</v>
      </c>
      <c r="J100" s="123">
        <v>3.7574999999999998</v>
      </c>
      <c r="K100" s="123">
        <v>0.58830000000000005</v>
      </c>
      <c r="L100" s="123">
        <v>0.43509999999999999</v>
      </c>
      <c r="M100" s="123">
        <v>1.0481</v>
      </c>
      <c r="N100" s="123">
        <v>2.8306</v>
      </c>
      <c r="U100" s="76">
        <v>44105</v>
      </c>
      <c r="V100" s="125">
        <f t="shared" si="21"/>
        <v>1.6545334215751157</v>
      </c>
      <c r="W100" s="123">
        <f t="shared" si="8"/>
        <v>1.7522340984755564</v>
      </c>
      <c r="X100" s="123">
        <f t="shared" si="9"/>
        <v>2.5484199796126399</v>
      </c>
      <c r="Y100" s="123">
        <f t="shared" si="10"/>
        <v>2.7292576419213974</v>
      </c>
      <c r="Z100" s="123">
        <f t="shared" si="11"/>
        <v>1.1239743733842869</v>
      </c>
      <c r="AA100" s="123">
        <f t="shared" si="12"/>
        <v>3.0111412225233365</v>
      </c>
      <c r="AB100" s="123">
        <f t="shared" si="13"/>
        <v>2.2025752509834497E-2</v>
      </c>
      <c r="AC100" s="127">
        <f t="shared" si="14"/>
        <v>1.5382248884786955</v>
      </c>
      <c r="AD100" s="123">
        <f t="shared" si="15"/>
        <v>0.26186236514088196</v>
      </c>
      <c r="AE100" s="123">
        <f t="shared" si="16"/>
        <v>1.6946280291476021</v>
      </c>
      <c r="AF100" s="129">
        <f t="shared" si="17"/>
        <v>2.3126734505087883</v>
      </c>
      <c r="AG100" s="123">
        <f t="shared" si="18"/>
        <v>0.94732853353543001</v>
      </c>
      <c r="AH100" s="123">
        <f t="shared" si="19"/>
        <v>0.35550499484517756</v>
      </c>
      <c r="AN100" s="122">
        <v>42339</v>
      </c>
      <c r="AO100" s="131">
        <v>93.5</v>
      </c>
      <c r="AP100" s="132">
        <v>98.45</v>
      </c>
      <c r="AS100" s="122">
        <v>42339</v>
      </c>
      <c r="AT100" s="51">
        <v>450.2</v>
      </c>
    </row>
    <row r="101" spans="1:46" ht="15.6" x14ac:dyDescent="0.3">
      <c r="A101" s="76">
        <v>44166</v>
      </c>
      <c r="B101" s="123">
        <v>0.58130000000000004</v>
      </c>
      <c r="C101" s="123">
        <v>0.56169999999999998</v>
      </c>
      <c r="D101" s="123">
        <v>0.38750000000000001</v>
      </c>
      <c r="E101" s="123">
        <v>0.35980000000000001</v>
      </c>
      <c r="F101" s="123">
        <v>0.87729999999999997</v>
      </c>
      <c r="G101" s="123">
        <v>0.32550000000000001</v>
      </c>
      <c r="H101" s="123">
        <v>45.429600000000001</v>
      </c>
      <c r="I101" s="123">
        <v>0.61739999999999995</v>
      </c>
      <c r="J101" s="123">
        <v>3.6669</v>
      </c>
      <c r="K101" s="123">
        <v>0.58660000000000001</v>
      </c>
      <c r="L101" s="123">
        <v>0.43819999999999998</v>
      </c>
      <c r="M101" s="123">
        <v>1.036</v>
      </c>
      <c r="N101" s="123">
        <v>2.8506999999999998</v>
      </c>
      <c r="U101" s="76">
        <v>44136</v>
      </c>
      <c r="V101" s="125">
        <f t="shared" si="21"/>
        <v>1.6781339150864238</v>
      </c>
      <c r="W101" s="123">
        <f t="shared" si="8"/>
        <v>1.7593244194229416</v>
      </c>
      <c r="X101" s="123">
        <f t="shared" si="9"/>
        <v>2.5380710659898478</v>
      </c>
      <c r="Y101" s="123">
        <f t="shared" si="10"/>
        <v>2.7255382938130279</v>
      </c>
      <c r="Z101" s="123">
        <f t="shared" si="11"/>
        <v>1.1290504685559444</v>
      </c>
      <c r="AA101" s="123">
        <f t="shared" si="12"/>
        <v>3.0450669914738122</v>
      </c>
      <c r="AB101" s="123">
        <f t="shared" si="13"/>
        <v>2.2047556579542073E-2</v>
      </c>
      <c r="AC101" s="127">
        <f t="shared" si="14"/>
        <v>1.5807777426493834</v>
      </c>
      <c r="AD101" s="123">
        <f t="shared" si="15"/>
        <v>0.26613439787092485</v>
      </c>
      <c r="AE101" s="123">
        <f t="shared" si="16"/>
        <v>1.6998130205677373</v>
      </c>
      <c r="AF101" s="129">
        <f t="shared" si="17"/>
        <v>2.2983222247759136</v>
      </c>
      <c r="AG101" s="123">
        <f t="shared" si="18"/>
        <v>0.95410743249689911</v>
      </c>
      <c r="AH101" s="123">
        <f t="shared" si="19"/>
        <v>0.35328198968416591</v>
      </c>
      <c r="AN101" s="122">
        <v>42370</v>
      </c>
      <c r="AO101" s="131">
        <v>93.46</v>
      </c>
      <c r="AP101" s="132">
        <v>100.13</v>
      </c>
      <c r="AS101" s="145">
        <v>42370</v>
      </c>
      <c r="AT101" s="146">
        <v>447.5</v>
      </c>
    </row>
    <row r="102" spans="1:46" ht="15.6" x14ac:dyDescent="0.3">
      <c r="A102" s="76">
        <v>44228</v>
      </c>
      <c r="B102" s="77">
        <v>0.5605</v>
      </c>
      <c r="C102" s="77">
        <v>0.55310000000000004</v>
      </c>
      <c r="D102" s="77">
        <v>0.3886</v>
      </c>
      <c r="E102" s="77">
        <v>0.3594</v>
      </c>
      <c r="F102" s="77">
        <v>0.85970000000000002</v>
      </c>
      <c r="G102" s="77">
        <v>0.31359999999999999</v>
      </c>
      <c r="H102" s="77">
        <v>45.780099999999997</v>
      </c>
      <c r="I102" s="77">
        <v>0.60089999999999999</v>
      </c>
      <c r="J102" s="77">
        <v>3.6278999999999999</v>
      </c>
      <c r="K102" s="77">
        <v>0.58079999999999998</v>
      </c>
      <c r="L102" s="77">
        <v>0.43580000000000002</v>
      </c>
      <c r="M102" s="77">
        <v>1.0181</v>
      </c>
      <c r="N102" s="77">
        <v>2.8351999999999999</v>
      </c>
      <c r="U102" s="76">
        <v>44166</v>
      </c>
      <c r="V102" s="125">
        <f t="shared" si="21"/>
        <v>1.720282126268708</v>
      </c>
      <c r="W102" s="123">
        <f t="shared" si="8"/>
        <v>1.7803097739006588</v>
      </c>
      <c r="X102" s="123">
        <f t="shared" si="9"/>
        <v>2.5806451612903225</v>
      </c>
      <c r="Y102" s="123">
        <f t="shared" si="10"/>
        <v>2.7793218454697053</v>
      </c>
      <c r="Z102" s="123">
        <f t="shared" si="11"/>
        <v>1.1398609369656902</v>
      </c>
      <c r="AA102" s="123">
        <f t="shared" si="12"/>
        <v>3.0721966205837172</v>
      </c>
      <c r="AB102" s="123">
        <f t="shared" si="13"/>
        <v>2.201208022963002E-2</v>
      </c>
      <c r="AC102" s="127">
        <f t="shared" si="14"/>
        <v>1.6196954972465178</v>
      </c>
      <c r="AD102" s="123">
        <f t="shared" si="15"/>
        <v>0.27270991845973436</v>
      </c>
      <c r="AE102" s="123">
        <f t="shared" si="16"/>
        <v>1.7047391749062393</v>
      </c>
      <c r="AF102" s="129">
        <f t="shared" si="17"/>
        <v>2.2820629849383844</v>
      </c>
      <c r="AG102" s="123">
        <f t="shared" si="18"/>
        <v>0.96525096525096521</v>
      </c>
      <c r="AH102" s="123">
        <f t="shared" si="19"/>
        <v>0.3507910337811766</v>
      </c>
      <c r="AN102" s="122">
        <v>42401</v>
      </c>
      <c r="AO102" s="131">
        <v>92.37</v>
      </c>
      <c r="AP102" s="132">
        <v>99.2</v>
      </c>
      <c r="AS102" s="122">
        <v>42401</v>
      </c>
      <c r="AT102" s="51">
        <v>456.5</v>
      </c>
    </row>
    <row r="103" spans="1:46" ht="15.6" x14ac:dyDescent="0.3">
      <c r="A103" s="76">
        <v>44256</v>
      </c>
      <c r="B103" s="77">
        <v>0.56769999999999998</v>
      </c>
      <c r="C103" s="77">
        <v>0.55179999999999996</v>
      </c>
      <c r="D103" s="77">
        <v>0.40500000000000003</v>
      </c>
      <c r="E103" s="77">
        <v>0.36770000000000003</v>
      </c>
      <c r="F103" s="77">
        <v>0.86799999999999999</v>
      </c>
      <c r="G103" s="77">
        <v>0.31569999999999998</v>
      </c>
      <c r="H103" s="77">
        <v>47.558100000000003</v>
      </c>
      <c r="I103" s="77">
        <v>0.61339999999999995</v>
      </c>
      <c r="J103" s="77">
        <v>3.7410000000000001</v>
      </c>
      <c r="K103" s="77">
        <v>0.59179999999999999</v>
      </c>
      <c r="L103" s="77">
        <v>0.439</v>
      </c>
      <c r="M103" s="77">
        <v>1.03</v>
      </c>
      <c r="N103" s="77">
        <v>2.8561999999999999</v>
      </c>
      <c r="U103" s="76">
        <v>44228</v>
      </c>
      <c r="V103" s="125">
        <f t="shared" si="21"/>
        <v>1.784121320249777</v>
      </c>
      <c r="W103" s="123">
        <f t="shared" si="8"/>
        <v>1.8079913216416561</v>
      </c>
      <c r="X103" s="123">
        <f t="shared" si="9"/>
        <v>2.5733401955738548</v>
      </c>
      <c r="Y103" s="123">
        <f t="shared" si="10"/>
        <v>2.7824151363383418</v>
      </c>
      <c r="Z103" s="123">
        <f t="shared" si="11"/>
        <v>1.1631964638827497</v>
      </c>
      <c r="AA103" s="123">
        <f t="shared" si="12"/>
        <v>3.1887755102040818</v>
      </c>
      <c r="AB103" s="123">
        <f t="shared" si="13"/>
        <v>2.1843552111070096E-2</v>
      </c>
      <c r="AC103" s="127">
        <f t="shared" si="14"/>
        <v>1.6641704110500914</v>
      </c>
      <c r="AD103" s="123">
        <f t="shared" si="15"/>
        <v>0.27564155572094051</v>
      </c>
      <c r="AE103" s="123">
        <f t="shared" si="16"/>
        <v>1.721763085399449</v>
      </c>
      <c r="AF103" s="129">
        <f t="shared" si="17"/>
        <v>2.2946305644791187</v>
      </c>
      <c r="AG103" s="123">
        <f t="shared" si="18"/>
        <v>0.98222178567920637</v>
      </c>
      <c r="AH103" s="123">
        <f t="shared" si="19"/>
        <v>0.35270880361173818</v>
      </c>
      <c r="AN103" s="122">
        <v>42430</v>
      </c>
      <c r="AO103" s="131">
        <v>91.78</v>
      </c>
      <c r="AP103" s="132">
        <v>98.31</v>
      </c>
      <c r="AS103" s="122">
        <v>42430</v>
      </c>
      <c r="AT103" s="51">
        <v>451.6</v>
      </c>
    </row>
    <row r="104" spans="1:46" ht="15.6" x14ac:dyDescent="0.3">
      <c r="A104" s="76">
        <v>44287</v>
      </c>
      <c r="B104" s="77">
        <v>0.56969999999999998</v>
      </c>
      <c r="C104" s="77">
        <v>0.55000000000000004</v>
      </c>
      <c r="D104" s="77">
        <v>0.40339999999999998</v>
      </c>
      <c r="E104" s="77">
        <v>0.36670000000000003</v>
      </c>
      <c r="F104" s="77">
        <v>0.87060000000000004</v>
      </c>
      <c r="G104" s="77">
        <v>0.317</v>
      </c>
      <c r="H104" s="77">
        <v>47.837899999999998</v>
      </c>
      <c r="I104" s="77">
        <v>0.61599999999999999</v>
      </c>
      <c r="J104" s="77">
        <v>3.7332000000000001</v>
      </c>
      <c r="K104" s="77">
        <v>0.58919999999999995</v>
      </c>
      <c r="L104" s="77">
        <v>0.44009999999999999</v>
      </c>
      <c r="M104" s="77">
        <v>1.0351999999999999</v>
      </c>
      <c r="N104" s="77">
        <v>2.8632</v>
      </c>
      <c r="U104" s="76">
        <v>44256</v>
      </c>
      <c r="V104" s="125">
        <f t="shared" si="21"/>
        <v>1.7614937466971994</v>
      </c>
      <c r="W104" s="123">
        <f t="shared" si="8"/>
        <v>1.8122508155128672</v>
      </c>
      <c r="X104" s="123">
        <f t="shared" si="9"/>
        <v>2.4691358024691357</v>
      </c>
      <c r="Y104" s="123">
        <f t="shared" si="10"/>
        <v>2.7196083763937993</v>
      </c>
      <c r="Z104" s="123">
        <f t="shared" si="11"/>
        <v>1.1520737327188941</v>
      </c>
      <c r="AA104" s="123">
        <f t="shared" si="12"/>
        <v>3.1675641431738994</v>
      </c>
      <c r="AB104" s="123">
        <f t="shared" si="13"/>
        <v>2.1026912345110504E-2</v>
      </c>
      <c r="AC104" s="127">
        <f t="shared" si="14"/>
        <v>1.6302575806977504</v>
      </c>
      <c r="AD104" s="123">
        <f t="shared" si="15"/>
        <v>0.26730820636193531</v>
      </c>
      <c r="AE104" s="123">
        <f t="shared" si="16"/>
        <v>1.6897600540723217</v>
      </c>
      <c r="AF104" s="129">
        <f t="shared" si="17"/>
        <v>2.2779043280182232</v>
      </c>
      <c r="AG104" s="123">
        <f t="shared" si="18"/>
        <v>0.970873786407767</v>
      </c>
      <c r="AH104" s="123">
        <f t="shared" si="19"/>
        <v>0.35011553812758212</v>
      </c>
      <c r="AN104" s="122">
        <v>42461</v>
      </c>
      <c r="AO104" s="131">
        <v>91.28</v>
      </c>
      <c r="AP104" s="132">
        <v>97.81</v>
      </c>
      <c r="AS104" s="122">
        <v>42461</v>
      </c>
      <c r="AT104" s="51">
        <v>453.7</v>
      </c>
    </row>
    <row r="105" spans="1:46" ht="15.6" x14ac:dyDescent="0.3">
      <c r="A105" s="76">
        <v>44317</v>
      </c>
      <c r="B105" s="77">
        <v>0.57120000000000004</v>
      </c>
      <c r="C105" s="77">
        <v>0.53879999999999995</v>
      </c>
      <c r="D105" s="77">
        <v>0.39900000000000002</v>
      </c>
      <c r="E105" s="77">
        <v>0.36530000000000001</v>
      </c>
      <c r="F105" s="77">
        <v>0.87450000000000006</v>
      </c>
      <c r="G105" s="77">
        <v>0.315</v>
      </c>
      <c r="H105" s="77">
        <v>48.3874</v>
      </c>
      <c r="I105" s="77">
        <v>0.61419999999999997</v>
      </c>
      <c r="J105" s="77">
        <v>3.7109999999999999</v>
      </c>
      <c r="K105" s="77">
        <v>0.59319999999999995</v>
      </c>
      <c r="L105" s="77">
        <v>0.44450000000000001</v>
      </c>
      <c r="M105" s="77">
        <v>1.0425</v>
      </c>
      <c r="N105" s="77">
        <v>2.8915000000000002</v>
      </c>
      <c r="U105" s="76">
        <v>44287</v>
      </c>
      <c r="V105" s="125">
        <f t="shared" si="21"/>
        <v>1.7553098121818502</v>
      </c>
      <c r="W105" s="123">
        <f t="shared" si="8"/>
        <v>1.8181818181818181</v>
      </c>
      <c r="X105" s="123">
        <f t="shared" si="9"/>
        <v>2.478929102627665</v>
      </c>
      <c r="Y105" s="123">
        <f t="shared" si="10"/>
        <v>2.7270248159258248</v>
      </c>
      <c r="Z105" s="123">
        <f t="shared" si="11"/>
        <v>1.1486331265793706</v>
      </c>
      <c r="AA105" s="123">
        <f t="shared" si="12"/>
        <v>3.1545741324921135</v>
      </c>
      <c r="AB105" s="123">
        <f t="shared" si="13"/>
        <v>2.0903927638964086E-2</v>
      </c>
      <c r="AC105" s="127">
        <f t="shared" si="14"/>
        <v>1.6233766233766234</v>
      </c>
      <c r="AD105" s="123">
        <f t="shared" si="15"/>
        <v>0.2678667095253402</v>
      </c>
      <c r="AE105" s="123">
        <f t="shared" si="16"/>
        <v>1.697216564833673</v>
      </c>
      <c r="AF105" s="129">
        <f t="shared" si="17"/>
        <v>2.2722108611679164</v>
      </c>
      <c r="AG105" s="123">
        <f t="shared" si="18"/>
        <v>0.96599690880989186</v>
      </c>
      <c r="AH105" s="123">
        <f t="shared" si="19"/>
        <v>0.34925956971221012</v>
      </c>
      <c r="AN105" s="122">
        <v>42491</v>
      </c>
      <c r="AO105" s="131">
        <v>91.32</v>
      </c>
      <c r="AP105" s="132">
        <v>97.53</v>
      </c>
      <c r="AS105" s="122">
        <v>42491</v>
      </c>
      <c r="AT105" s="51">
        <v>460.5</v>
      </c>
    </row>
    <row r="106" spans="1:46" ht="15.6" x14ac:dyDescent="0.3">
      <c r="A106" s="76">
        <v>44348</v>
      </c>
      <c r="B106" s="77">
        <v>0.58399999999999996</v>
      </c>
      <c r="C106" s="77">
        <v>0.54649999999999999</v>
      </c>
      <c r="D106" s="77">
        <v>0.40389999999999998</v>
      </c>
      <c r="E106" s="77">
        <v>0.37059999999999998</v>
      </c>
      <c r="F106" s="77">
        <v>0.88670000000000004</v>
      </c>
      <c r="G106" s="77">
        <v>0.31809999999999999</v>
      </c>
      <c r="H106" s="77">
        <v>49.127899999999997</v>
      </c>
      <c r="I106" s="77">
        <v>0.62819999999999998</v>
      </c>
      <c r="J106" s="77">
        <v>3.7538999999999998</v>
      </c>
      <c r="K106" s="77">
        <v>0.59889999999999999</v>
      </c>
      <c r="L106" s="77">
        <v>0.4476</v>
      </c>
      <c r="M106" s="77">
        <v>1.0566</v>
      </c>
      <c r="N106" s="77">
        <v>2.9121999999999999</v>
      </c>
      <c r="U106" s="76">
        <v>44317</v>
      </c>
      <c r="V106" s="125">
        <f t="shared" si="21"/>
        <v>1.7507002801120446</v>
      </c>
      <c r="W106" s="123">
        <f t="shared" si="8"/>
        <v>1.8559762435040834</v>
      </c>
      <c r="X106" s="123">
        <f t="shared" si="9"/>
        <v>2.5062656641604009</v>
      </c>
      <c r="Y106" s="123">
        <f t="shared" si="10"/>
        <v>2.7374760470845878</v>
      </c>
      <c r="Z106" s="123">
        <f t="shared" si="11"/>
        <v>1.1435105774728416</v>
      </c>
      <c r="AA106" s="123">
        <f t="shared" si="12"/>
        <v>3.1746031746031744</v>
      </c>
      <c r="AB106" s="123">
        <f t="shared" si="13"/>
        <v>2.0666537156367154E-2</v>
      </c>
      <c r="AC106" s="127">
        <f t="shared" si="14"/>
        <v>1.6281341582546403</v>
      </c>
      <c r="AD106" s="123">
        <f t="shared" si="15"/>
        <v>0.2694691457828079</v>
      </c>
      <c r="AE106" s="123">
        <f t="shared" si="16"/>
        <v>1.6857720836142955</v>
      </c>
      <c r="AF106" s="129">
        <f t="shared" si="17"/>
        <v>2.2497187851518561</v>
      </c>
      <c r="AG106" s="123">
        <f t="shared" si="18"/>
        <v>0.95923261390887293</v>
      </c>
      <c r="AH106" s="123">
        <f t="shared" si="19"/>
        <v>0.34584125886218225</v>
      </c>
      <c r="AN106" s="122">
        <v>42522</v>
      </c>
      <c r="AO106" s="131">
        <v>90.48</v>
      </c>
      <c r="AP106" s="131">
        <v>96.95</v>
      </c>
      <c r="AS106" s="122">
        <v>42522</v>
      </c>
      <c r="AT106" s="51">
        <v>470.5</v>
      </c>
    </row>
    <row r="107" spans="1:46" ht="15.6" x14ac:dyDescent="0.3">
      <c r="A107" s="76">
        <v>44378</v>
      </c>
      <c r="B107" s="77">
        <v>0.59550000000000003</v>
      </c>
      <c r="C107" s="77">
        <v>0.55479999999999996</v>
      </c>
      <c r="D107" s="77">
        <v>0.4047</v>
      </c>
      <c r="E107" s="77">
        <v>0.374</v>
      </c>
      <c r="F107" s="77">
        <v>0.88900000000000001</v>
      </c>
      <c r="G107" s="77">
        <v>0.31990000000000002</v>
      </c>
      <c r="H107" s="77">
        <v>48.738900000000001</v>
      </c>
      <c r="I107" s="77">
        <v>0.63349999999999995</v>
      </c>
      <c r="J107" s="77">
        <v>3.8197999999999999</v>
      </c>
      <c r="K107" s="77">
        <v>0.60289999999999999</v>
      </c>
      <c r="L107" s="77">
        <v>0.44319999999999998</v>
      </c>
      <c r="M107" s="77">
        <v>1.0593999999999999</v>
      </c>
      <c r="N107" s="77">
        <v>2.8834</v>
      </c>
      <c r="U107" s="76">
        <v>44348</v>
      </c>
      <c r="V107" s="125">
        <f t="shared" si="21"/>
        <v>1.7123287671232879</v>
      </c>
      <c r="W107" s="123">
        <f t="shared" si="8"/>
        <v>1.8298261665141813</v>
      </c>
      <c r="X107" s="123">
        <f t="shared" si="9"/>
        <v>2.4758603614756129</v>
      </c>
      <c r="Y107" s="123">
        <f t="shared" si="10"/>
        <v>2.698327037236913</v>
      </c>
      <c r="Z107" s="123">
        <f t="shared" si="11"/>
        <v>1.127777151234916</v>
      </c>
      <c r="AA107" s="123">
        <f t="shared" si="12"/>
        <v>3.1436655139893115</v>
      </c>
      <c r="AB107" s="123">
        <f t="shared" si="13"/>
        <v>2.0355032476454319E-2</v>
      </c>
      <c r="AC107" s="127">
        <f t="shared" si="14"/>
        <v>1.591849729385546</v>
      </c>
      <c r="AD107" s="123">
        <f t="shared" si="15"/>
        <v>0.26638962146034795</v>
      </c>
      <c r="AE107" s="123">
        <f t="shared" si="16"/>
        <v>1.6697278343629989</v>
      </c>
      <c r="AF107" s="129">
        <f t="shared" si="17"/>
        <v>2.2341376228775691</v>
      </c>
      <c r="AG107" s="123">
        <f t="shared" si="18"/>
        <v>0.94643195154268411</v>
      </c>
      <c r="AH107" s="123">
        <f t="shared" si="19"/>
        <v>0.34338300940869448</v>
      </c>
      <c r="AN107" s="122">
        <v>42552</v>
      </c>
      <c r="AO107" s="131">
        <v>90.53</v>
      </c>
      <c r="AP107" s="132">
        <v>99.62</v>
      </c>
      <c r="AS107" s="122">
        <v>42552</v>
      </c>
      <c r="AT107" s="51">
        <v>478</v>
      </c>
    </row>
    <row r="108" spans="1:46" ht="15.6" x14ac:dyDescent="0.3">
      <c r="A108" s="76">
        <v>44409</v>
      </c>
      <c r="B108" s="77">
        <v>0.60350000000000004</v>
      </c>
      <c r="C108" s="77">
        <v>0.55600000000000005</v>
      </c>
      <c r="D108" s="77">
        <v>0.40150000000000002</v>
      </c>
      <c r="E108" s="77">
        <v>0.3745</v>
      </c>
      <c r="F108" s="77">
        <v>0.89129999999999998</v>
      </c>
      <c r="G108" s="77">
        <v>0.31900000000000001</v>
      </c>
      <c r="H108" s="77">
        <v>48.394799999999996</v>
      </c>
      <c r="I108" s="77">
        <v>0.63239999999999996</v>
      </c>
      <c r="J108" s="77">
        <v>3.8311000000000002</v>
      </c>
      <c r="K108" s="77">
        <v>0.60229999999999995</v>
      </c>
      <c r="L108" s="77">
        <v>0.44190000000000002</v>
      </c>
      <c r="M108" s="77">
        <v>1.0592999999999999</v>
      </c>
      <c r="N108" s="77">
        <v>2.875</v>
      </c>
      <c r="U108" s="76">
        <v>44378</v>
      </c>
      <c r="V108" s="125">
        <f t="shared" si="21"/>
        <v>1.6792611251049538</v>
      </c>
      <c r="W108" s="123">
        <f t="shared" si="8"/>
        <v>1.8024513338139871</v>
      </c>
      <c r="X108" s="123">
        <f t="shared" si="9"/>
        <v>2.4709661477637757</v>
      </c>
      <c r="Y108" s="123">
        <f t="shared" si="10"/>
        <v>2.6737967914438503</v>
      </c>
      <c r="Z108" s="123">
        <f t="shared" si="11"/>
        <v>1.124859392575928</v>
      </c>
      <c r="AA108" s="123">
        <f t="shared" si="12"/>
        <v>3.1259768677711781</v>
      </c>
      <c r="AB108" s="123">
        <f t="shared" si="13"/>
        <v>2.051749218796485E-2</v>
      </c>
      <c r="AC108" s="127">
        <f t="shared" si="14"/>
        <v>1.5785319652722969</v>
      </c>
      <c r="AD108" s="123">
        <f t="shared" si="15"/>
        <v>0.26179381119430339</v>
      </c>
      <c r="AE108" s="123">
        <f t="shared" si="16"/>
        <v>1.658649859014762</v>
      </c>
      <c r="AF108" s="129">
        <f t="shared" si="17"/>
        <v>2.256317689530686</v>
      </c>
      <c r="AG108" s="123">
        <f t="shared" si="18"/>
        <v>0.94393052671323396</v>
      </c>
      <c r="AH108" s="123">
        <f t="shared" si="19"/>
        <v>0.34681279045571201</v>
      </c>
      <c r="AN108" s="122">
        <v>42583</v>
      </c>
      <c r="AO108" s="131">
        <v>90.22</v>
      </c>
      <c r="AP108" s="132">
        <v>100.63</v>
      </c>
      <c r="AS108" s="122">
        <v>42583</v>
      </c>
      <c r="AT108" s="51">
        <v>491</v>
      </c>
    </row>
    <row r="109" spans="1:46" ht="15.6" x14ac:dyDescent="0.3">
      <c r="A109" s="76">
        <v>44440</v>
      </c>
      <c r="B109" s="77">
        <v>0.6048</v>
      </c>
      <c r="C109" s="77">
        <v>0.56200000000000006</v>
      </c>
      <c r="D109" s="77">
        <v>0.40699999999999997</v>
      </c>
      <c r="E109" s="77">
        <v>0.37609999999999999</v>
      </c>
      <c r="F109" s="77">
        <v>0.89319999999999999</v>
      </c>
      <c r="G109" s="77">
        <v>0.32190000000000002</v>
      </c>
      <c r="H109" s="77">
        <v>48.744199999999999</v>
      </c>
      <c r="I109" s="77">
        <v>0.62760000000000005</v>
      </c>
      <c r="J109" s="77">
        <v>3.8332000000000002</v>
      </c>
      <c r="K109" s="77">
        <v>0.6018</v>
      </c>
      <c r="L109" s="77">
        <v>0.44400000000000001</v>
      </c>
      <c r="M109" s="77">
        <v>1.0612999999999999</v>
      </c>
      <c r="N109" s="77">
        <v>2.8885999999999998</v>
      </c>
      <c r="U109" s="76">
        <v>44409</v>
      </c>
      <c r="V109" s="125">
        <f t="shared" si="21"/>
        <v>1.6570008285004141</v>
      </c>
      <c r="W109" s="123">
        <f t="shared" si="8"/>
        <v>1.7985611510791366</v>
      </c>
      <c r="X109" s="123">
        <f t="shared" si="9"/>
        <v>2.4906600249066</v>
      </c>
      <c r="Y109" s="123">
        <f t="shared" si="10"/>
        <v>2.6702269692923899</v>
      </c>
      <c r="Z109" s="123">
        <f t="shared" si="11"/>
        <v>1.1219566924716706</v>
      </c>
      <c r="AA109" s="123">
        <f t="shared" si="12"/>
        <v>3.134796238244514</v>
      </c>
      <c r="AB109" s="123">
        <f t="shared" si="13"/>
        <v>2.0663377057039186E-2</v>
      </c>
      <c r="AC109" s="127">
        <f t="shared" si="14"/>
        <v>1.5812776723592663</v>
      </c>
      <c r="AD109" s="123">
        <f t="shared" si="15"/>
        <v>0.2610216386938477</v>
      </c>
      <c r="AE109" s="123">
        <f t="shared" si="16"/>
        <v>1.6603021749958493</v>
      </c>
      <c r="AF109" s="129">
        <f t="shared" si="17"/>
        <v>2.2629554197782302</v>
      </c>
      <c r="AG109" s="123">
        <f t="shared" si="18"/>
        <v>0.94401963560842073</v>
      </c>
      <c r="AH109" s="123">
        <f t="shared" si="19"/>
        <v>0.34782608695652173</v>
      </c>
      <c r="AN109" s="122">
        <v>42614</v>
      </c>
      <c r="AO109" s="131">
        <v>90.39</v>
      </c>
      <c r="AP109" s="132">
        <v>100.42</v>
      </c>
      <c r="AS109" s="122">
        <v>42614</v>
      </c>
      <c r="AT109" s="51">
        <v>496.2</v>
      </c>
    </row>
    <row r="110" spans="1:46" ht="15.6" x14ac:dyDescent="0.3">
      <c r="A110" s="76">
        <v>44470</v>
      </c>
      <c r="B110" s="77">
        <v>0.59919999999999995</v>
      </c>
      <c r="C110" s="77">
        <v>0.55269999999999997</v>
      </c>
      <c r="D110" s="77">
        <v>0.40789999999999998</v>
      </c>
      <c r="E110" s="77">
        <v>0.38200000000000001</v>
      </c>
      <c r="F110" s="77">
        <v>0.89749999999999996</v>
      </c>
      <c r="G110" s="77">
        <v>0.32350000000000001</v>
      </c>
      <c r="H110" s="77">
        <v>50.0625</v>
      </c>
      <c r="I110" s="77">
        <v>0.62919999999999998</v>
      </c>
      <c r="J110" s="77">
        <v>3.85</v>
      </c>
      <c r="K110" s="77">
        <v>0.60370000000000001</v>
      </c>
      <c r="L110" s="77">
        <v>0.44419999999999998</v>
      </c>
      <c r="M110" s="77">
        <v>1.1322000000000001</v>
      </c>
      <c r="N110" s="77">
        <v>2.8900999999999999</v>
      </c>
      <c r="U110" s="76">
        <v>44440</v>
      </c>
      <c r="V110" s="125">
        <f t="shared" si="21"/>
        <v>1.6534391534391535</v>
      </c>
      <c r="W110" s="123">
        <f t="shared" si="8"/>
        <v>1.779359430604982</v>
      </c>
      <c r="X110" s="123">
        <f t="shared" si="9"/>
        <v>2.4570024570024573</v>
      </c>
      <c r="Y110" s="123">
        <f t="shared" si="10"/>
        <v>2.6588673225206061</v>
      </c>
      <c r="Z110" s="123">
        <f t="shared" si="11"/>
        <v>1.1195700850873265</v>
      </c>
      <c r="AA110" s="123">
        <f t="shared" si="12"/>
        <v>3.1065548306927617</v>
      </c>
      <c r="AB110" s="123">
        <f t="shared" si="13"/>
        <v>2.0515261302883215E-2</v>
      </c>
      <c r="AC110" s="127">
        <f t="shared" si="14"/>
        <v>1.5933715742511152</v>
      </c>
      <c r="AD110" s="123">
        <f t="shared" si="15"/>
        <v>0.2608786392570176</v>
      </c>
      <c r="AE110" s="123">
        <f t="shared" si="16"/>
        <v>1.6616816218012629</v>
      </c>
      <c r="AF110" s="129">
        <f t="shared" si="17"/>
        <v>2.2522522522522523</v>
      </c>
      <c r="AG110" s="123">
        <f t="shared" si="18"/>
        <v>0.94224064826156606</v>
      </c>
      <c r="AH110" s="123">
        <f t="shared" si="19"/>
        <v>0.34618846500034622</v>
      </c>
      <c r="AN110" s="122">
        <v>42644</v>
      </c>
      <c r="AO110" s="131">
        <v>90.76</v>
      </c>
      <c r="AP110" s="132">
        <v>100.15</v>
      </c>
      <c r="AS110" s="122">
        <v>42644</v>
      </c>
      <c r="AT110" s="51">
        <v>501.2</v>
      </c>
    </row>
    <row r="111" spans="1:46" ht="15.6" x14ac:dyDescent="0.3">
      <c r="A111" s="76">
        <v>44501</v>
      </c>
      <c r="B111" s="77">
        <v>0.60389999999999999</v>
      </c>
      <c r="C111" s="77">
        <v>0.55589999999999995</v>
      </c>
      <c r="D111" s="77">
        <v>0.40610000000000002</v>
      </c>
      <c r="E111" s="77">
        <v>0.38729999999999998</v>
      </c>
      <c r="F111" s="77">
        <v>0.9032</v>
      </c>
      <c r="G111" s="77">
        <v>0.32779999999999998</v>
      </c>
      <c r="H111" s="77">
        <v>50.413600000000002</v>
      </c>
      <c r="I111" s="77">
        <v>0.62960000000000005</v>
      </c>
      <c r="J111" s="77">
        <v>3.8976999999999999</v>
      </c>
      <c r="K111" s="77">
        <v>0.60450000000000004</v>
      </c>
      <c r="L111" s="77">
        <v>0.44309999999999999</v>
      </c>
      <c r="M111" s="77">
        <v>1.1776</v>
      </c>
      <c r="N111" s="77">
        <v>2.8826000000000001</v>
      </c>
      <c r="U111" s="76">
        <v>44470</v>
      </c>
      <c r="V111" s="125">
        <f t="shared" si="21"/>
        <v>1.6688918558077437</v>
      </c>
      <c r="W111" s="123">
        <f t="shared" ref="W111:W174" si="22">1/C110</f>
        <v>1.809299800977022</v>
      </c>
      <c r="X111" s="123">
        <f t="shared" ref="X111:X174" si="23">1/D110</f>
        <v>2.4515812699190977</v>
      </c>
      <c r="Y111" s="123">
        <f t="shared" ref="Y111:Y174" si="24">1/E110</f>
        <v>2.6178010471204187</v>
      </c>
      <c r="Z111" s="123">
        <f t="shared" ref="Z111:Z174" si="25">1/F110</f>
        <v>1.1142061281337048</v>
      </c>
      <c r="AA111" s="123">
        <f t="shared" ref="AA111:AA174" si="26">1/G110</f>
        <v>3.0911901081916535</v>
      </c>
      <c r="AB111" s="123">
        <f t="shared" ref="AB111:AB174" si="27">1/H110</f>
        <v>1.9975031210986267E-2</v>
      </c>
      <c r="AC111" s="127">
        <f t="shared" ref="AC111:AC174" si="28">1/I110</f>
        <v>1.589319771137953</v>
      </c>
      <c r="AD111" s="123">
        <f t="shared" ref="AD111:AD174" si="29">1/J110</f>
        <v>0.25974025974025972</v>
      </c>
      <c r="AE111" s="123">
        <f t="shared" ref="AE111:AE174" si="30">1/K110</f>
        <v>1.6564518800728838</v>
      </c>
      <c r="AF111" s="129">
        <f t="shared" ref="AF111:AF174" si="31">1/L110</f>
        <v>2.2512381809995499</v>
      </c>
      <c r="AG111" s="123">
        <f t="shared" ref="AG111:AG174" si="32">1/M110</f>
        <v>0.88323617735382431</v>
      </c>
      <c r="AH111" s="123">
        <f t="shared" ref="AH111:AH174" si="33">1/N110</f>
        <v>0.34600878862323103</v>
      </c>
      <c r="AN111" s="122">
        <v>42675</v>
      </c>
      <c r="AO111" s="132">
        <v>91.84</v>
      </c>
      <c r="AP111" s="132">
        <v>100.72</v>
      </c>
      <c r="AS111" s="122">
        <v>42675</v>
      </c>
      <c r="AT111" s="51">
        <v>493.6</v>
      </c>
    </row>
    <row r="112" spans="1:46" ht="15.6" x14ac:dyDescent="0.3">
      <c r="A112" s="76">
        <v>44531</v>
      </c>
      <c r="B112" s="77">
        <v>0.61029999999999995</v>
      </c>
      <c r="C112" s="77">
        <v>0.56020000000000003</v>
      </c>
      <c r="D112" s="77">
        <v>0.4012</v>
      </c>
      <c r="E112" s="77">
        <v>0.3866</v>
      </c>
      <c r="F112" s="77">
        <v>0.90649999999999997</v>
      </c>
      <c r="G112" s="77">
        <v>0.3281</v>
      </c>
      <c r="H112" s="77">
        <v>49.706800000000001</v>
      </c>
      <c r="I112" s="77">
        <v>0.64410000000000001</v>
      </c>
      <c r="J112" s="77">
        <v>3.9739</v>
      </c>
      <c r="K112" s="77">
        <v>0.60050000000000003</v>
      </c>
      <c r="L112" s="77">
        <v>0.43790000000000001</v>
      </c>
      <c r="M112" s="77">
        <v>1.1821999999999999</v>
      </c>
      <c r="N112" s="77">
        <v>2.8492000000000002</v>
      </c>
      <c r="U112" s="76">
        <v>44501</v>
      </c>
      <c r="V112" s="125">
        <f t="shared" si="21"/>
        <v>1.6559032952475576</v>
      </c>
      <c r="W112" s="123">
        <f t="shared" si="22"/>
        <v>1.7988846914912755</v>
      </c>
      <c r="X112" s="123">
        <f t="shared" si="23"/>
        <v>2.4624476729869489</v>
      </c>
      <c r="Y112" s="123">
        <f t="shared" si="24"/>
        <v>2.581977794990963</v>
      </c>
      <c r="Z112" s="123">
        <f t="shared" si="25"/>
        <v>1.1071744906997343</v>
      </c>
      <c r="AA112" s="123">
        <f t="shared" si="26"/>
        <v>3.0506406345332522</v>
      </c>
      <c r="AB112" s="123">
        <f t="shared" si="27"/>
        <v>1.9835917292159257E-2</v>
      </c>
      <c r="AC112" s="127">
        <f t="shared" si="28"/>
        <v>1.5883100381194408</v>
      </c>
      <c r="AD112" s="123">
        <f t="shared" si="29"/>
        <v>0.25656156194678914</v>
      </c>
      <c r="AE112" s="123">
        <f t="shared" si="30"/>
        <v>1.6542597187758477</v>
      </c>
      <c r="AF112" s="129">
        <f t="shared" si="31"/>
        <v>2.2568269013766646</v>
      </c>
      <c r="AG112" s="123">
        <f t="shared" si="32"/>
        <v>0.84918478260869568</v>
      </c>
      <c r="AH112" s="123">
        <f t="shared" si="33"/>
        <v>0.34690904044959409</v>
      </c>
      <c r="AN112" s="122">
        <v>42705</v>
      </c>
      <c r="AO112" s="132">
        <v>92.02</v>
      </c>
      <c r="AP112" s="132">
        <v>101.03</v>
      </c>
      <c r="AS112" s="122">
        <v>42705</v>
      </c>
      <c r="AT112" s="51">
        <v>512.20000000000005</v>
      </c>
    </row>
    <row r="113" spans="1:47" ht="15.6" x14ac:dyDescent="0.3">
      <c r="A113" s="76">
        <v>44562</v>
      </c>
      <c r="B113" s="77">
        <v>0.60680000000000001</v>
      </c>
      <c r="C113" s="77">
        <v>0.55310000000000004</v>
      </c>
      <c r="D113" s="77">
        <v>0.40010000000000001</v>
      </c>
      <c r="E113" s="77">
        <v>0.38550000000000001</v>
      </c>
      <c r="F113" s="77">
        <v>0.90910000000000002</v>
      </c>
      <c r="G113" s="77">
        <v>0.3216</v>
      </c>
      <c r="H113" s="77">
        <v>50.255299999999998</v>
      </c>
      <c r="I113" s="77">
        <v>0.64570000000000005</v>
      </c>
      <c r="J113" s="77">
        <v>3.9733000000000001</v>
      </c>
      <c r="K113" s="77">
        <v>0.59650000000000003</v>
      </c>
      <c r="L113" s="77">
        <v>0.43919999999999998</v>
      </c>
      <c r="M113" s="77">
        <v>1.1786000000000001</v>
      </c>
      <c r="N113" s="77">
        <v>2.8574000000000002</v>
      </c>
      <c r="U113" s="76">
        <v>44531</v>
      </c>
      <c r="V113" s="125">
        <f t="shared" si="21"/>
        <v>1.6385384237260365</v>
      </c>
      <c r="W113" s="123">
        <f t="shared" si="22"/>
        <v>1.7850767583006069</v>
      </c>
      <c r="X113" s="123">
        <f t="shared" si="23"/>
        <v>2.4925224327018944</v>
      </c>
      <c r="Y113" s="123">
        <f t="shared" si="24"/>
        <v>2.586652871184687</v>
      </c>
      <c r="Z113" s="123">
        <f t="shared" si="25"/>
        <v>1.1031439602868174</v>
      </c>
      <c r="AA113" s="123">
        <f t="shared" si="26"/>
        <v>3.047851264858275</v>
      </c>
      <c r="AB113" s="123">
        <f t="shared" si="27"/>
        <v>2.0117971786556367E-2</v>
      </c>
      <c r="AC113" s="127">
        <f t="shared" si="28"/>
        <v>1.5525539512498059</v>
      </c>
      <c r="AD113" s="123">
        <f t="shared" si="29"/>
        <v>0.25164196381388559</v>
      </c>
      <c r="AE113" s="123">
        <f t="shared" si="30"/>
        <v>1.665278934221482</v>
      </c>
      <c r="AF113" s="129">
        <f t="shared" si="31"/>
        <v>2.2836263987211693</v>
      </c>
      <c r="AG113" s="123">
        <f t="shared" si="32"/>
        <v>0.84588056166469305</v>
      </c>
      <c r="AH113" s="123">
        <f t="shared" si="33"/>
        <v>0.35097571248069631</v>
      </c>
      <c r="AN113" s="122">
        <v>42736</v>
      </c>
      <c r="AO113" s="132">
        <v>91.53</v>
      </c>
      <c r="AP113" s="132">
        <v>100.87</v>
      </c>
      <c r="AS113" s="122">
        <v>42736</v>
      </c>
      <c r="AT113" s="54">
        <v>512</v>
      </c>
    </row>
    <row r="114" spans="1:47" ht="15.6" x14ac:dyDescent="0.3">
      <c r="A114" s="76">
        <v>44593</v>
      </c>
      <c r="B114" s="77">
        <v>0.60870000000000002</v>
      </c>
      <c r="C114" s="77">
        <v>0.55489999999999995</v>
      </c>
      <c r="D114" s="77">
        <v>0.4007</v>
      </c>
      <c r="E114" s="77">
        <v>0.38159999999999999</v>
      </c>
      <c r="F114" s="77">
        <v>0.91169999999999995</v>
      </c>
      <c r="G114" s="77">
        <v>0.32150000000000001</v>
      </c>
      <c r="H114" s="77">
        <v>50.09</v>
      </c>
      <c r="I114" s="77">
        <v>0.65410000000000001</v>
      </c>
      <c r="J114" s="77">
        <v>4.0663999999999998</v>
      </c>
      <c r="K114" s="77">
        <v>0.59130000000000005</v>
      </c>
      <c r="L114" s="77">
        <v>0.43619999999999998</v>
      </c>
      <c r="M114" s="77">
        <v>1.1815</v>
      </c>
      <c r="N114" s="77">
        <v>2.8380999999999998</v>
      </c>
      <c r="U114" s="76">
        <v>44562</v>
      </c>
      <c r="V114" s="125">
        <f t="shared" si="21"/>
        <v>1.6479894528675016</v>
      </c>
      <c r="W114" s="123">
        <f t="shared" si="22"/>
        <v>1.8079913216416561</v>
      </c>
      <c r="X114" s="123">
        <f t="shared" si="23"/>
        <v>2.4993751562109474</v>
      </c>
      <c r="Y114" s="123">
        <f t="shared" si="24"/>
        <v>2.5940337224383918</v>
      </c>
      <c r="Z114" s="123">
        <f t="shared" si="25"/>
        <v>1.0999890001099988</v>
      </c>
      <c r="AA114" s="123">
        <f t="shared" si="26"/>
        <v>3.1094527363184081</v>
      </c>
      <c r="AB114" s="123">
        <f t="shared" si="27"/>
        <v>1.9898398775850507E-2</v>
      </c>
      <c r="AC114" s="127">
        <f t="shared" si="28"/>
        <v>1.5487068297971194</v>
      </c>
      <c r="AD114" s="123">
        <f t="shared" si="29"/>
        <v>0.25167996375808521</v>
      </c>
      <c r="AE114" s="123">
        <f t="shared" si="30"/>
        <v>1.6764459346186085</v>
      </c>
      <c r="AF114" s="129">
        <f t="shared" si="31"/>
        <v>2.2768670309653918</v>
      </c>
      <c r="AG114" s="123">
        <f t="shared" si="32"/>
        <v>0.84846427965382654</v>
      </c>
      <c r="AH114" s="123">
        <f t="shared" si="33"/>
        <v>0.34996850283474484</v>
      </c>
      <c r="AN114" s="122">
        <v>42767</v>
      </c>
      <c r="AO114" s="132">
        <v>91.69</v>
      </c>
      <c r="AP114" s="132">
        <v>104.14</v>
      </c>
      <c r="AS114" s="122">
        <v>42767</v>
      </c>
      <c r="AT114" s="54">
        <v>510.2</v>
      </c>
    </row>
    <row r="115" spans="1:47" ht="15.6" x14ac:dyDescent="0.3">
      <c r="A115" s="76">
        <v>44621</v>
      </c>
      <c r="B115" s="77">
        <v>0.59889999999999999</v>
      </c>
      <c r="C115" s="77">
        <v>0.55910000000000004</v>
      </c>
      <c r="D115" s="77">
        <v>0.4083</v>
      </c>
      <c r="E115" s="77">
        <v>0.39960000000000001</v>
      </c>
      <c r="F115" s="77">
        <v>0.90900000000000003</v>
      </c>
      <c r="G115" s="77">
        <v>0.33410000000000001</v>
      </c>
      <c r="H115" s="77">
        <v>52.1145</v>
      </c>
      <c r="I115" s="77">
        <v>0.64349999999999996</v>
      </c>
      <c r="J115" s="77">
        <v>4.2233999999999998</v>
      </c>
      <c r="K115" s="77">
        <v>0.6038</v>
      </c>
      <c r="L115" s="77">
        <v>0.44180000000000003</v>
      </c>
      <c r="M115" s="77">
        <v>1.181</v>
      </c>
      <c r="N115" s="77">
        <v>2.8026</v>
      </c>
      <c r="U115" s="76">
        <v>44593</v>
      </c>
      <c r="V115" s="125">
        <f t="shared" si="21"/>
        <v>1.6428454082470838</v>
      </c>
      <c r="W115" s="123">
        <f t="shared" si="22"/>
        <v>1.8021265092809517</v>
      </c>
      <c r="X115" s="123">
        <f t="shared" si="23"/>
        <v>2.4956326428749689</v>
      </c>
      <c r="Y115" s="123">
        <f t="shared" si="24"/>
        <v>2.6205450733752622</v>
      </c>
      <c r="Z115" s="123">
        <f t="shared" si="25"/>
        <v>1.0968520346605244</v>
      </c>
      <c r="AA115" s="123">
        <f t="shared" si="26"/>
        <v>3.1104199066874028</v>
      </c>
      <c r="AB115" s="123">
        <f t="shared" si="27"/>
        <v>1.9964064683569573E-2</v>
      </c>
      <c r="AC115" s="127">
        <f t="shared" si="28"/>
        <v>1.5288182235132242</v>
      </c>
      <c r="AD115" s="123">
        <f t="shared" si="29"/>
        <v>0.24591776509935079</v>
      </c>
      <c r="AE115" s="123">
        <f t="shared" si="30"/>
        <v>1.6911889058007779</v>
      </c>
      <c r="AF115" s="129">
        <f t="shared" si="31"/>
        <v>2.2925263640531868</v>
      </c>
      <c r="AG115" s="123">
        <f t="shared" si="32"/>
        <v>0.84638171815488783</v>
      </c>
      <c r="AH115" s="123">
        <f t="shared" si="33"/>
        <v>0.35234840209999652</v>
      </c>
      <c r="AN115" s="122">
        <v>42795</v>
      </c>
      <c r="AO115" s="132">
        <v>91.41</v>
      </c>
      <c r="AP115" s="132">
        <v>104.18</v>
      </c>
      <c r="AS115" s="122">
        <v>42795</v>
      </c>
      <c r="AT115" s="54">
        <v>503.6</v>
      </c>
    </row>
    <row r="116" spans="1:47" ht="15.6" x14ac:dyDescent="0.3">
      <c r="A116" s="76">
        <v>44652</v>
      </c>
      <c r="B116" s="77">
        <v>0.59530000000000005</v>
      </c>
      <c r="C116" s="77">
        <v>0.55530000000000002</v>
      </c>
      <c r="D116" s="77">
        <v>0.4128</v>
      </c>
      <c r="E116" s="77">
        <v>0.40579999999999999</v>
      </c>
      <c r="F116" s="77">
        <v>0.90959999999999996</v>
      </c>
      <c r="G116" s="77">
        <v>0.33889999999999998</v>
      </c>
      <c r="H116" s="77">
        <v>55.299399999999999</v>
      </c>
      <c r="I116" s="77">
        <v>0.64880000000000004</v>
      </c>
      <c r="J116" s="77">
        <v>4.2011000000000003</v>
      </c>
      <c r="K116" s="77">
        <v>0.60519999999999996</v>
      </c>
      <c r="L116" s="77">
        <v>0.44069999999999998</v>
      </c>
      <c r="M116" s="77">
        <v>1.1843999999999999</v>
      </c>
      <c r="N116" s="77">
        <v>2.8287</v>
      </c>
      <c r="U116" s="76">
        <v>44621</v>
      </c>
      <c r="V116" s="125">
        <f t="shared" si="21"/>
        <v>1.6697278343629989</v>
      </c>
      <c r="W116" s="123">
        <f t="shared" si="22"/>
        <v>1.7885888034340904</v>
      </c>
      <c r="X116" s="123">
        <f t="shared" si="23"/>
        <v>2.4491795248591721</v>
      </c>
      <c r="Y116" s="123">
        <f t="shared" si="24"/>
        <v>2.5025025025025025</v>
      </c>
      <c r="Z116" s="123">
        <f t="shared" si="25"/>
        <v>1.1001100110011002</v>
      </c>
      <c r="AA116" s="123">
        <f t="shared" si="26"/>
        <v>2.9931158335827597</v>
      </c>
      <c r="AB116" s="123">
        <f t="shared" si="27"/>
        <v>1.9188517591073501E-2</v>
      </c>
      <c r="AC116" s="127">
        <f t="shared" si="28"/>
        <v>1.5540015540015542</v>
      </c>
      <c r="AD116" s="123">
        <f t="shared" si="29"/>
        <v>0.23677605720509542</v>
      </c>
      <c r="AE116" s="123">
        <f t="shared" si="30"/>
        <v>1.6561775422325273</v>
      </c>
      <c r="AF116" s="129">
        <f t="shared" si="31"/>
        <v>2.2634676324128562</v>
      </c>
      <c r="AG116" s="123">
        <f t="shared" si="32"/>
        <v>0.84674005080440307</v>
      </c>
      <c r="AH116" s="123">
        <f t="shared" si="33"/>
        <v>0.35681153214871902</v>
      </c>
      <c r="AN116" s="122">
        <v>42826</v>
      </c>
      <c r="AO116" s="132">
        <v>91.21</v>
      </c>
      <c r="AP116" s="132">
        <v>103.79</v>
      </c>
      <c r="AS116" s="122">
        <v>42826</v>
      </c>
      <c r="AT116" s="53">
        <v>509.9</v>
      </c>
      <c r="AU116" t="s">
        <v>169</v>
      </c>
    </row>
    <row r="117" spans="1:47" ht="15.6" x14ac:dyDescent="0.3">
      <c r="A117" s="76">
        <v>44682</v>
      </c>
      <c r="B117" s="77">
        <v>0.60929999999999995</v>
      </c>
      <c r="C117" s="77">
        <v>0.55359999999999998</v>
      </c>
      <c r="D117" s="77">
        <v>0.41949999999999998</v>
      </c>
      <c r="E117" s="77">
        <v>0.40660000000000002</v>
      </c>
      <c r="F117" s="77">
        <v>0.91559999999999997</v>
      </c>
      <c r="G117" s="77">
        <v>0.3448</v>
      </c>
      <c r="H117" s="77">
        <v>55.362900000000003</v>
      </c>
      <c r="I117" s="77">
        <v>0.67149999999999999</v>
      </c>
      <c r="J117" s="77">
        <v>4.2735000000000003</v>
      </c>
      <c r="K117" s="77">
        <v>0.59919999999999995</v>
      </c>
      <c r="L117" s="77">
        <v>0.43099999999999999</v>
      </c>
      <c r="M117" s="77">
        <v>1.1808000000000001</v>
      </c>
      <c r="N117" s="77">
        <v>2.8854000000000002</v>
      </c>
      <c r="U117" s="76">
        <v>44652</v>
      </c>
      <c r="V117" s="125">
        <f t="shared" si="21"/>
        <v>1.6798252981689903</v>
      </c>
      <c r="W117" s="123">
        <f t="shared" si="22"/>
        <v>1.8008283810552854</v>
      </c>
      <c r="X117" s="123">
        <f t="shared" si="23"/>
        <v>2.4224806201550386</v>
      </c>
      <c r="Y117" s="123">
        <f t="shared" si="24"/>
        <v>2.4642681123706258</v>
      </c>
      <c r="Z117" s="123">
        <f t="shared" si="25"/>
        <v>1.0993843447669305</v>
      </c>
      <c r="AA117" s="123">
        <f t="shared" si="26"/>
        <v>2.9507229271171438</v>
      </c>
      <c r="AB117" s="123">
        <f t="shared" si="27"/>
        <v>1.808337884317009E-2</v>
      </c>
      <c r="AC117" s="127">
        <f t="shared" si="28"/>
        <v>1.5413070283600492</v>
      </c>
      <c r="AD117" s="123">
        <f t="shared" si="29"/>
        <v>0.2380328961462474</v>
      </c>
      <c r="AE117" s="123">
        <f t="shared" si="30"/>
        <v>1.6523463317911435</v>
      </c>
      <c r="AF117" s="129">
        <f t="shared" si="31"/>
        <v>2.269117313365101</v>
      </c>
      <c r="AG117" s="123">
        <f t="shared" si="32"/>
        <v>0.84430935494765291</v>
      </c>
      <c r="AH117" s="123">
        <f t="shared" si="33"/>
        <v>0.35351928447696823</v>
      </c>
      <c r="AN117" s="122">
        <v>42856</v>
      </c>
      <c r="AO117" s="132">
        <v>90.77</v>
      </c>
      <c r="AP117" s="132">
        <v>103.63</v>
      </c>
      <c r="AS117" s="122">
        <v>42856</v>
      </c>
      <c r="AT117" s="53">
        <v>517.6</v>
      </c>
    </row>
    <row r="118" spans="1:47" ht="15.6" x14ac:dyDescent="0.3">
      <c r="A118" s="76">
        <v>44713</v>
      </c>
      <c r="B118" s="77">
        <v>0.60960000000000003</v>
      </c>
      <c r="C118" s="77">
        <v>0.54990000000000006</v>
      </c>
      <c r="D118" s="77">
        <v>0.41460000000000002</v>
      </c>
      <c r="E118" s="77">
        <v>0.40539999999999998</v>
      </c>
      <c r="F118" s="77">
        <v>0.9133</v>
      </c>
      <c r="G118" s="77">
        <v>0.34710000000000002</v>
      </c>
      <c r="H118" s="77">
        <v>57.3795</v>
      </c>
      <c r="I118" s="77">
        <v>0.67459999999999998</v>
      </c>
      <c r="J118" s="77">
        <v>4.3022999999999998</v>
      </c>
      <c r="K118" s="77">
        <v>0.5978</v>
      </c>
      <c r="L118" s="77">
        <v>0.42959999999999998</v>
      </c>
      <c r="M118" s="77">
        <v>1.1777</v>
      </c>
      <c r="N118" s="77">
        <v>2.8767</v>
      </c>
      <c r="U118" s="76">
        <v>44682</v>
      </c>
      <c r="V118" s="125">
        <f t="shared" si="21"/>
        <v>1.6412276382734285</v>
      </c>
      <c r="W118" s="123">
        <f t="shared" si="22"/>
        <v>1.8063583815028903</v>
      </c>
      <c r="X118" s="123">
        <f t="shared" si="23"/>
        <v>2.3837902264600714</v>
      </c>
      <c r="Y118" s="123">
        <f t="shared" si="24"/>
        <v>2.4594195769798328</v>
      </c>
      <c r="Z118" s="123">
        <f t="shared" si="25"/>
        <v>1.09217999126256</v>
      </c>
      <c r="AA118" s="123">
        <f t="shared" si="26"/>
        <v>2.9002320185614852</v>
      </c>
      <c r="AB118" s="123">
        <f t="shared" si="27"/>
        <v>1.8062637614720326E-2</v>
      </c>
      <c r="AC118" s="127">
        <f t="shared" si="28"/>
        <v>1.4892032762472078</v>
      </c>
      <c r="AD118" s="123">
        <f t="shared" si="29"/>
        <v>0.23400023400023398</v>
      </c>
      <c r="AE118" s="123">
        <f t="shared" si="30"/>
        <v>1.6688918558077437</v>
      </c>
      <c r="AF118" s="129">
        <f t="shared" si="31"/>
        <v>2.3201856148491879</v>
      </c>
      <c r="AG118" s="123">
        <f t="shared" si="32"/>
        <v>0.84688346883468835</v>
      </c>
      <c r="AH118" s="123">
        <f t="shared" si="33"/>
        <v>0.34657239897414566</v>
      </c>
      <c r="AN118" s="122">
        <v>42887</v>
      </c>
      <c r="AO118" s="132">
        <v>91.28</v>
      </c>
      <c r="AP118" s="132">
        <v>104.92</v>
      </c>
      <c r="AS118" s="122">
        <v>42887</v>
      </c>
      <c r="AT118" s="53">
        <v>534.9</v>
      </c>
    </row>
    <row r="119" spans="1:47" ht="15.6" x14ac:dyDescent="0.3">
      <c r="A119" s="76">
        <v>44743</v>
      </c>
      <c r="B119" s="77">
        <v>0.61850000000000005</v>
      </c>
      <c r="C119" s="77">
        <v>0.55000000000000004</v>
      </c>
      <c r="D119" s="77">
        <v>0.41020000000000001</v>
      </c>
      <c r="E119" s="77">
        <v>0.41670000000000001</v>
      </c>
      <c r="F119" s="77">
        <v>0.91820000000000002</v>
      </c>
      <c r="G119" s="77">
        <v>0.35339999999999999</v>
      </c>
      <c r="H119" s="77">
        <v>58.0608</v>
      </c>
      <c r="I119" s="77">
        <v>0.68489999999999995</v>
      </c>
      <c r="J119" s="77">
        <v>4.4135</v>
      </c>
      <c r="K119" s="77">
        <v>0.59719999999999995</v>
      </c>
      <c r="L119" s="77">
        <v>0.4254</v>
      </c>
      <c r="M119" s="77">
        <v>1.1877</v>
      </c>
      <c r="N119" s="77">
        <v>2.8650000000000002</v>
      </c>
      <c r="U119" s="76">
        <v>44713</v>
      </c>
      <c r="V119" s="125">
        <f t="shared" si="21"/>
        <v>1.6404199475065615</v>
      </c>
      <c r="W119" s="123">
        <f t="shared" si="22"/>
        <v>1.818512456810329</v>
      </c>
      <c r="X119" s="123">
        <f t="shared" si="23"/>
        <v>2.4119633381572601</v>
      </c>
      <c r="Y119" s="123">
        <f t="shared" si="24"/>
        <v>2.4666995559940799</v>
      </c>
      <c r="Z119" s="123">
        <f t="shared" si="25"/>
        <v>1.0949304719150335</v>
      </c>
      <c r="AA119" s="123">
        <f t="shared" si="26"/>
        <v>2.881014116969173</v>
      </c>
      <c r="AB119" s="123">
        <f t="shared" si="27"/>
        <v>1.7427827011389084E-2</v>
      </c>
      <c r="AC119" s="127">
        <f t="shared" si="28"/>
        <v>1.4823599169878448</v>
      </c>
      <c r="AD119" s="123">
        <f t="shared" si="29"/>
        <v>0.2324338144713293</v>
      </c>
      <c r="AE119" s="123">
        <f t="shared" si="30"/>
        <v>1.6728002676480429</v>
      </c>
      <c r="AF119" s="129">
        <f t="shared" si="31"/>
        <v>2.3277467411545625</v>
      </c>
      <c r="AG119" s="123">
        <f t="shared" si="32"/>
        <v>0.84911267725227135</v>
      </c>
      <c r="AH119" s="123">
        <f t="shared" si="33"/>
        <v>0.34762053742135085</v>
      </c>
      <c r="AN119" s="122">
        <v>42917</v>
      </c>
      <c r="AO119" s="132">
        <v>91.39</v>
      </c>
      <c r="AP119" s="132">
        <v>104.54</v>
      </c>
      <c r="AS119" s="122">
        <v>42917</v>
      </c>
      <c r="AT119" s="54">
        <v>533.20000000000005</v>
      </c>
    </row>
    <row r="120" spans="1:47" ht="15.6" x14ac:dyDescent="0.3">
      <c r="A120" s="76">
        <v>44774</v>
      </c>
      <c r="B120" s="77">
        <v>0.61260000000000003</v>
      </c>
      <c r="C120" s="77">
        <v>0.55130000000000001</v>
      </c>
      <c r="D120" s="77">
        <v>0.40649999999999997</v>
      </c>
      <c r="E120" s="77">
        <v>0.42099999999999999</v>
      </c>
      <c r="F120" s="77">
        <v>0.91559999999999997</v>
      </c>
      <c r="G120" s="77">
        <v>0.35510000000000003</v>
      </c>
      <c r="H120" s="77">
        <v>57.622599999999998</v>
      </c>
      <c r="I120" s="77">
        <v>0.68100000000000005</v>
      </c>
      <c r="J120" s="77">
        <v>4.4252000000000002</v>
      </c>
      <c r="K120" s="77">
        <v>0.59499999999999997</v>
      </c>
      <c r="L120" s="77">
        <v>0.42759999999999998</v>
      </c>
      <c r="M120" s="77">
        <v>1.1879999999999999</v>
      </c>
      <c r="N120" s="77">
        <v>2.9053</v>
      </c>
      <c r="U120" s="76">
        <v>44743</v>
      </c>
      <c r="V120" s="125">
        <f t="shared" si="21"/>
        <v>1.6168148746968471</v>
      </c>
      <c r="W120" s="123">
        <f t="shared" si="22"/>
        <v>1.8181818181818181</v>
      </c>
      <c r="X120" s="123">
        <f t="shared" si="23"/>
        <v>2.4378352023403216</v>
      </c>
      <c r="Y120" s="123">
        <f t="shared" si="24"/>
        <v>2.3998080153587713</v>
      </c>
      <c r="Z120" s="123">
        <f t="shared" si="25"/>
        <v>1.0890873448050533</v>
      </c>
      <c r="AA120" s="123">
        <f t="shared" si="26"/>
        <v>2.8296547821165818</v>
      </c>
      <c r="AB120" s="123">
        <f t="shared" si="27"/>
        <v>1.722332451499118E-2</v>
      </c>
      <c r="AC120" s="127">
        <f t="shared" si="28"/>
        <v>1.4600671630895021</v>
      </c>
      <c r="AD120" s="123">
        <f t="shared" si="29"/>
        <v>0.22657754616517503</v>
      </c>
      <c r="AE120" s="123">
        <f t="shared" si="30"/>
        <v>1.6744809109176158</v>
      </c>
      <c r="AF120" s="129">
        <f t="shared" si="31"/>
        <v>2.3507287259050305</v>
      </c>
      <c r="AG120" s="123">
        <f t="shared" si="32"/>
        <v>0.84196345878588874</v>
      </c>
      <c r="AH120" s="123">
        <f t="shared" si="33"/>
        <v>0.34904013961605584</v>
      </c>
      <c r="AN120" s="122">
        <v>42948</v>
      </c>
      <c r="AO120" s="132">
        <v>91.79</v>
      </c>
      <c r="AP120" s="132">
        <v>104.68</v>
      </c>
      <c r="AS120" s="122">
        <v>42948</v>
      </c>
      <c r="AT120" s="54">
        <v>552.29999999999995</v>
      </c>
    </row>
    <row r="121" spans="1:47" ht="15.6" x14ac:dyDescent="0.3">
      <c r="A121" s="76">
        <v>44805</v>
      </c>
      <c r="B121" s="77">
        <v>0.62490000000000001</v>
      </c>
      <c r="C121" s="77">
        <v>0.55720000000000003</v>
      </c>
      <c r="D121" s="77">
        <v>0.40550000000000003</v>
      </c>
      <c r="E121" s="77">
        <v>0.42180000000000001</v>
      </c>
      <c r="F121" s="77">
        <v>0.91800000000000004</v>
      </c>
      <c r="G121" s="77">
        <v>0.36849999999999999</v>
      </c>
      <c r="H121" s="77">
        <v>59.756999999999998</v>
      </c>
      <c r="I121" s="77">
        <v>0.70409999999999995</v>
      </c>
      <c r="J121" s="77">
        <v>4.5563000000000002</v>
      </c>
      <c r="K121" s="77">
        <v>0.59540000000000004</v>
      </c>
      <c r="L121" s="77">
        <v>0.41920000000000002</v>
      </c>
      <c r="M121" s="77">
        <v>1.1897</v>
      </c>
      <c r="N121" s="77">
        <v>2.9371</v>
      </c>
      <c r="U121" s="76">
        <v>44774</v>
      </c>
      <c r="V121" s="125">
        <f t="shared" si="21"/>
        <v>1.6323865491348351</v>
      </c>
      <c r="W121" s="123">
        <f t="shared" si="22"/>
        <v>1.8138944313440957</v>
      </c>
      <c r="X121" s="123">
        <f t="shared" si="23"/>
        <v>2.4600246002460024</v>
      </c>
      <c r="Y121" s="123">
        <f t="shared" si="24"/>
        <v>2.3752969121140142</v>
      </c>
      <c r="Z121" s="123">
        <f t="shared" si="25"/>
        <v>1.09217999126256</v>
      </c>
      <c r="AA121" s="123">
        <f t="shared" si="26"/>
        <v>2.8161081385525204</v>
      </c>
      <c r="AB121" s="123">
        <f t="shared" si="27"/>
        <v>1.7354301957912346E-2</v>
      </c>
      <c r="AC121" s="127">
        <f t="shared" si="28"/>
        <v>1.4684287812041115</v>
      </c>
      <c r="AD121" s="123">
        <f t="shared" si="29"/>
        <v>0.22597848684805205</v>
      </c>
      <c r="AE121" s="123">
        <f t="shared" si="30"/>
        <v>1.680672268907563</v>
      </c>
      <c r="AF121" s="129">
        <f t="shared" si="31"/>
        <v>2.3386342376052385</v>
      </c>
      <c r="AG121" s="123">
        <f t="shared" si="32"/>
        <v>0.84175084175084181</v>
      </c>
      <c r="AH121" s="123">
        <f t="shared" si="33"/>
        <v>0.34419853371424636</v>
      </c>
      <c r="AN121" s="122">
        <v>42979</v>
      </c>
      <c r="AO121" s="132">
        <v>91.88</v>
      </c>
      <c r="AP121" s="132">
        <v>104.67</v>
      </c>
      <c r="AS121" s="122">
        <v>42979</v>
      </c>
      <c r="AT121" s="54">
        <v>549.70000000000005</v>
      </c>
    </row>
    <row r="122" spans="1:47" ht="15.6" x14ac:dyDescent="0.3">
      <c r="A122" s="76">
        <v>44835</v>
      </c>
      <c r="B122" s="77">
        <v>0.64370000000000005</v>
      </c>
      <c r="C122" s="77">
        <v>0.56259999999999999</v>
      </c>
      <c r="D122" s="77">
        <v>0.40629999999999999</v>
      </c>
      <c r="E122" s="77">
        <v>0.41639999999999999</v>
      </c>
      <c r="F122" s="77">
        <v>0.92469999999999997</v>
      </c>
      <c r="G122" s="77">
        <v>0.3624</v>
      </c>
      <c r="H122" s="77">
        <v>60.2</v>
      </c>
      <c r="I122" s="77">
        <v>0.72040000000000004</v>
      </c>
      <c r="J122" s="77">
        <v>4.5655999999999999</v>
      </c>
      <c r="K122" s="77">
        <v>0.58850000000000002</v>
      </c>
      <c r="L122" s="77">
        <v>0.4108</v>
      </c>
      <c r="M122" s="77">
        <v>1.2018</v>
      </c>
      <c r="N122" s="77">
        <v>2.9508000000000001</v>
      </c>
      <c r="U122" s="76">
        <v>44805</v>
      </c>
      <c r="V122" s="125">
        <f t="shared" si="21"/>
        <v>1.6002560409665547</v>
      </c>
      <c r="W122" s="123">
        <f t="shared" si="22"/>
        <v>1.7946877243359654</v>
      </c>
      <c r="X122" s="123">
        <f t="shared" si="23"/>
        <v>2.4660912453760786</v>
      </c>
      <c r="Y122" s="123">
        <f t="shared" si="24"/>
        <v>2.370791844476055</v>
      </c>
      <c r="Z122" s="123">
        <f t="shared" si="25"/>
        <v>1.0893246187363834</v>
      </c>
      <c r="AA122" s="123">
        <f t="shared" si="26"/>
        <v>2.7137042062415198</v>
      </c>
      <c r="AB122" s="123">
        <f t="shared" si="27"/>
        <v>1.6734441153337686E-2</v>
      </c>
      <c r="AC122" s="127">
        <f t="shared" si="28"/>
        <v>1.42025280499929</v>
      </c>
      <c r="AD122" s="123">
        <f t="shared" si="29"/>
        <v>0.2194763294778658</v>
      </c>
      <c r="AE122" s="123">
        <f t="shared" si="30"/>
        <v>1.6795431642593213</v>
      </c>
      <c r="AF122" s="129">
        <f t="shared" si="31"/>
        <v>2.3854961832061066</v>
      </c>
      <c r="AG122" s="123">
        <f t="shared" si="32"/>
        <v>0.8405480373203329</v>
      </c>
      <c r="AH122" s="123">
        <f t="shared" si="33"/>
        <v>0.34047189404514655</v>
      </c>
      <c r="AN122" s="122">
        <v>43009</v>
      </c>
      <c r="AO122" s="131">
        <v>91.99</v>
      </c>
      <c r="AP122" s="132">
        <v>104.38</v>
      </c>
      <c r="AS122" s="122">
        <v>43009</v>
      </c>
      <c r="AT122" s="54">
        <v>553.6</v>
      </c>
    </row>
    <row r="123" spans="1:47" ht="15.6" x14ac:dyDescent="0.3">
      <c r="A123" s="76">
        <v>44866</v>
      </c>
      <c r="B123" s="77">
        <v>0.63449999999999995</v>
      </c>
      <c r="C123" s="77">
        <v>0.56359999999999999</v>
      </c>
      <c r="D123" s="77">
        <v>0.40239999999999998</v>
      </c>
      <c r="E123" s="77">
        <v>0.41049999999999998</v>
      </c>
      <c r="F123" s="77">
        <v>0.92379999999999995</v>
      </c>
      <c r="G123" s="77">
        <v>0.35620000000000002</v>
      </c>
      <c r="H123" s="77">
        <v>59.570900000000002</v>
      </c>
      <c r="I123" s="77">
        <v>0.69089999999999996</v>
      </c>
      <c r="J123" s="77">
        <v>4.4743000000000004</v>
      </c>
      <c r="K123" s="77">
        <v>0.58550000000000002</v>
      </c>
      <c r="L123" s="77">
        <v>0.41970000000000002</v>
      </c>
      <c r="M123" s="77">
        <v>1.1973</v>
      </c>
      <c r="N123" s="77">
        <v>3.0137999999999998</v>
      </c>
      <c r="U123" s="76">
        <v>44835</v>
      </c>
      <c r="V123" s="125">
        <f t="shared" si="21"/>
        <v>1.5535187199005747</v>
      </c>
      <c r="W123" s="123">
        <f t="shared" si="22"/>
        <v>1.7774617845716318</v>
      </c>
      <c r="X123" s="123">
        <f t="shared" si="23"/>
        <v>2.4612355402412009</v>
      </c>
      <c r="Y123" s="123">
        <f t="shared" si="24"/>
        <v>2.4015369836695486</v>
      </c>
      <c r="Z123" s="123">
        <f t="shared" si="25"/>
        <v>1.0814318157240186</v>
      </c>
      <c r="AA123" s="123">
        <f t="shared" si="26"/>
        <v>2.759381898454746</v>
      </c>
      <c r="AB123" s="123">
        <f t="shared" si="27"/>
        <v>1.6611295681063121E-2</v>
      </c>
      <c r="AC123" s="127">
        <f t="shared" si="28"/>
        <v>1.3881177123820099</v>
      </c>
      <c r="AD123" s="123">
        <f t="shared" si="29"/>
        <v>0.21902926230944456</v>
      </c>
      <c r="AE123" s="123">
        <f t="shared" si="30"/>
        <v>1.6992353440951571</v>
      </c>
      <c r="AF123" s="129">
        <f t="shared" si="31"/>
        <v>2.4342745861733204</v>
      </c>
      <c r="AG123" s="123">
        <f t="shared" si="32"/>
        <v>0.83208520552504572</v>
      </c>
      <c r="AH123" s="123">
        <f t="shared" si="33"/>
        <v>0.33889114816320998</v>
      </c>
      <c r="AN123" s="122">
        <v>43040</v>
      </c>
      <c r="AO123" s="131">
        <v>91.54</v>
      </c>
      <c r="AP123" s="132">
        <v>103.07</v>
      </c>
      <c r="AS123" s="122">
        <v>43040</v>
      </c>
      <c r="AT123" s="54">
        <v>553.29999999999995</v>
      </c>
    </row>
    <row r="124" spans="1:47" ht="15.6" x14ac:dyDescent="0.3">
      <c r="A124" s="76">
        <v>44896</v>
      </c>
      <c r="B124" s="77">
        <v>0.63060000000000005</v>
      </c>
      <c r="C124" s="77">
        <v>0.5796</v>
      </c>
      <c r="D124" s="77">
        <v>0.3957</v>
      </c>
      <c r="E124" s="77">
        <v>0.40229999999999999</v>
      </c>
      <c r="F124" s="77">
        <v>0.92569999999999997</v>
      </c>
      <c r="G124" s="77">
        <v>0.3493</v>
      </c>
      <c r="H124" s="77">
        <v>57.598700000000001</v>
      </c>
      <c r="I124" s="77">
        <v>0.67010000000000003</v>
      </c>
      <c r="J124" s="77">
        <v>4.4280999999999997</v>
      </c>
      <c r="K124" s="77">
        <v>0.58050000000000002</v>
      </c>
      <c r="L124" s="77">
        <v>0.42649999999999999</v>
      </c>
      <c r="M124" s="77">
        <v>1.1951000000000001</v>
      </c>
      <c r="N124" s="77">
        <v>2.9767000000000001</v>
      </c>
      <c r="U124" s="76">
        <v>44866</v>
      </c>
      <c r="V124" s="125">
        <f t="shared" si="21"/>
        <v>1.5760441292356187</v>
      </c>
      <c r="W124" s="123">
        <f t="shared" si="22"/>
        <v>1.7743080198722498</v>
      </c>
      <c r="X124" s="123">
        <f t="shared" si="23"/>
        <v>2.4850894632206759</v>
      </c>
      <c r="Y124" s="123">
        <f t="shared" si="24"/>
        <v>2.4360535931790501</v>
      </c>
      <c r="Z124" s="123">
        <f t="shared" si="25"/>
        <v>1.082485386447283</v>
      </c>
      <c r="AA124" s="123">
        <f t="shared" si="26"/>
        <v>2.807411566535654</v>
      </c>
      <c r="AB124" s="123">
        <f t="shared" si="27"/>
        <v>1.6786719690318596E-2</v>
      </c>
      <c r="AC124" s="127">
        <f t="shared" si="28"/>
        <v>1.4473874656245478</v>
      </c>
      <c r="AD124" s="123">
        <f t="shared" si="29"/>
        <v>0.2234986478331806</v>
      </c>
      <c r="AE124" s="123">
        <f t="shared" si="30"/>
        <v>1.7079419299743808</v>
      </c>
      <c r="AF124" s="129">
        <f t="shared" si="31"/>
        <v>2.382654276864427</v>
      </c>
      <c r="AG124" s="123">
        <f t="shared" si="32"/>
        <v>0.83521256159692636</v>
      </c>
      <c r="AH124" s="123">
        <f t="shared" si="33"/>
        <v>0.33180702103656518</v>
      </c>
      <c r="AN124" s="122">
        <v>43070</v>
      </c>
      <c r="AO124" s="132">
        <v>91.26</v>
      </c>
      <c r="AP124" s="132">
        <v>103.3</v>
      </c>
      <c r="AS124" s="122">
        <v>43070</v>
      </c>
      <c r="AT124" s="54">
        <v>560.6</v>
      </c>
    </row>
    <row r="125" spans="1:47" ht="15.6" x14ac:dyDescent="0.3">
      <c r="A125" s="76">
        <v>44927</v>
      </c>
      <c r="B125" s="77">
        <v>0.61719999999999997</v>
      </c>
      <c r="C125" s="77">
        <v>0.57689999999999997</v>
      </c>
      <c r="D125" s="77">
        <v>0.39479999999999998</v>
      </c>
      <c r="E125" s="77">
        <v>0.39789999999999998</v>
      </c>
      <c r="F125" s="77">
        <v>0.91979999999999995</v>
      </c>
      <c r="G125" s="77">
        <v>0.35020000000000001</v>
      </c>
      <c r="H125" s="77">
        <v>55.869900000000001</v>
      </c>
      <c r="I125" s="77">
        <v>0.66979999999999995</v>
      </c>
      <c r="J125" s="77">
        <v>4.4617000000000004</v>
      </c>
      <c r="K125" s="77">
        <v>0.57340000000000002</v>
      </c>
      <c r="L125" s="77">
        <v>0.42980000000000002</v>
      </c>
      <c r="M125" s="77">
        <v>1.1931</v>
      </c>
      <c r="N125" s="77">
        <v>2.9218000000000002</v>
      </c>
      <c r="U125" s="76">
        <v>44896</v>
      </c>
      <c r="V125" s="125">
        <f t="shared" si="21"/>
        <v>1.5857913098636218</v>
      </c>
      <c r="W125" s="123">
        <f t="shared" si="22"/>
        <v>1.7253278122843341</v>
      </c>
      <c r="X125" s="123">
        <f t="shared" si="23"/>
        <v>2.5271670457417237</v>
      </c>
      <c r="Y125" s="123">
        <f t="shared" si="24"/>
        <v>2.4857071836937608</v>
      </c>
      <c r="Z125" s="123">
        <f t="shared" si="25"/>
        <v>1.0802635843145727</v>
      </c>
      <c r="AA125" s="123">
        <f t="shared" si="26"/>
        <v>2.8628685943315202</v>
      </c>
      <c r="AB125" s="123">
        <f t="shared" si="27"/>
        <v>1.7361502950587426E-2</v>
      </c>
      <c r="AC125" s="127">
        <f t="shared" si="28"/>
        <v>1.4923145799134456</v>
      </c>
      <c r="AD125" s="123">
        <f t="shared" si="29"/>
        <v>0.2258304916329803</v>
      </c>
      <c r="AE125" s="123">
        <f t="shared" si="30"/>
        <v>1.722652885443583</v>
      </c>
      <c r="AF125" s="129">
        <f t="shared" si="31"/>
        <v>2.3446658851113718</v>
      </c>
      <c r="AG125" s="123">
        <f t="shared" si="32"/>
        <v>0.83675006275625463</v>
      </c>
      <c r="AH125" s="123">
        <f t="shared" si="33"/>
        <v>0.33594248664628612</v>
      </c>
      <c r="AN125" s="122">
        <v>43101</v>
      </c>
      <c r="AO125" s="131">
        <v>90.56</v>
      </c>
      <c r="AP125" s="60">
        <v>102.99</v>
      </c>
      <c r="AS125" s="142">
        <v>43101</v>
      </c>
      <c r="AT125" s="143">
        <v>552.5</v>
      </c>
    </row>
    <row r="126" spans="1:47" ht="15.6" x14ac:dyDescent="0.3">
      <c r="A126" s="76">
        <v>44958</v>
      </c>
      <c r="B126" s="77">
        <v>0.61699999999999999</v>
      </c>
      <c r="C126" s="77">
        <v>0.57430000000000003</v>
      </c>
      <c r="D126" s="77">
        <v>0.39290000000000003</v>
      </c>
      <c r="E126" s="77">
        <v>0.39810000000000001</v>
      </c>
      <c r="F126" s="77">
        <v>0.9163</v>
      </c>
      <c r="G126" s="77">
        <v>0.35249999999999998</v>
      </c>
      <c r="H126" s="77">
        <v>56.677900000000001</v>
      </c>
      <c r="I126" s="77">
        <v>0.6774</v>
      </c>
      <c r="J126" s="77">
        <v>4.4617000000000004</v>
      </c>
      <c r="K126" s="77">
        <v>0.57269999999999999</v>
      </c>
      <c r="L126" s="77">
        <v>0.4279</v>
      </c>
      <c r="M126" s="77">
        <v>1.1940999999999999</v>
      </c>
      <c r="N126" s="77">
        <v>2.9228999999999998</v>
      </c>
      <c r="U126" s="76">
        <v>44927</v>
      </c>
      <c r="V126" s="125">
        <f t="shared" si="21"/>
        <v>1.6202203499675956</v>
      </c>
      <c r="W126" s="123">
        <f t="shared" si="22"/>
        <v>1.733402669440111</v>
      </c>
      <c r="X126" s="123">
        <f t="shared" si="23"/>
        <v>2.5329280648429586</v>
      </c>
      <c r="Y126" s="123">
        <f t="shared" si="24"/>
        <v>2.5131942699170646</v>
      </c>
      <c r="Z126" s="123">
        <f t="shared" si="25"/>
        <v>1.087192868014786</v>
      </c>
      <c r="AA126" s="123">
        <f t="shared" si="26"/>
        <v>2.855511136493432</v>
      </c>
      <c r="AB126" s="123">
        <f t="shared" si="27"/>
        <v>1.7898725431762005E-2</v>
      </c>
      <c r="AC126" s="127">
        <f t="shared" si="28"/>
        <v>1.4929829799940282</v>
      </c>
      <c r="AD126" s="123">
        <f t="shared" si="29"/>
        <v>0.22412981598942106</v>
      </c>
      <c r="AE126" s="123">
        <f t="shared" si="30"/>
        <v>1.7439832577607255</v>
      </c>
      <c r="AF126" s="129">
        <f t="shared" si="31"/>
        <v>2.3266635644485807</v>
      </c>
      <c r="AG126" s="123">
        <f t="shared" si="32"/>
        <v>0.83815271142402137</v>
      </c>
      <c r="AH126" s="123">
        <f t="shared" si="33"/>
        <v>0.34225477445410363</v>
      </c>
      <c r="AN126" s="122">
        <v>43132</v>
      </c>
      <c r="AO126" s="131">
        <v>90.32</v>
      </c>
      <c r="AP126" s="132">
        <v>103.49</v>
      </c>
      <c r="AS126" s="122">
        <v>43132</v>
      </c>
      <c r="AT126" s="54">
        <v>558.20000000000005</v>
      </c>
    </row>
    <row r="127" spans="1:47" ht="15" x14ac:dyDescent="0.3">
      <c r="A127" s="76">
        <v>44986</v>
      </c>
      <c r="B127" s="77">
        <v>0.63349999999999995</v>
      </c>
      <c r="C127" s="77">
        <v>0.58020000000000005</v>
      </c>
      <c r="D127" s="77">
        <v>0.39069999999999999</v>
      </c>
      <c r="E127" s="77">
        <v>0.39550000000000002</v>
      </c>
      <c r="F127" s="77">
        <v>0.9194</v>
      </c>
      <c r="G127" s="77">
        <v>0.34839999999999999</v>
      </c>
      <c r="H127" s="77">
        <v>56.548000000000002</v>
      </c>
      <c r="I127" s="77">
        <v>0.68240000000000001</v>
      </c>
      <c r="J127" s="77">
        <v>4.4428000000000001</v>
      </c>
      <c r="K127" s="77">
        <v>0.57250000000000001</v>
      </c>
      <c r="L127" s="77">
        <v>0.42430000000000001</v>
      </c>
      <c r="M127" s="77">
        <v>1.198</v>
      </c>
      <c r="N127" s="77">
        <v>2.9260999999999999</v>
      </c>
      <c r="U127" s="76">
        <v>44958</v>
      </c>
      <c r="V127" s="125">
        <f t="shared" si="21"/>
        <v>1.6207455429497568</v>
      </c>
      <c r="W127" s="123">
        <f t="shared" si="22"/>
        <v>1.7412502176562772</v>
      </c>
      <c r="X127" s="123">
        <f t="shared" si="23"/>
        <v>2.5451768897938405</v>
      </c>
      <c r="Y127" s="123">
        <f t="shared" si="24"/>
        <v>2.5119316754584275</v>
      </c>
      <c r="Z127" s="123">
        <f t="shared" si="25"/>
        <v>1.0913456291607553</v>
      </c>
      <c r="AA127" s="123">
        <f t="shared" si="26"/>
        <v>2.8368794326241136</v>
      </c>
      <c r="AB127" s="123">
        <f t="shared" si="27"/>
        <v>1.7643561246976334E-2</v>
      </c>
      <c r="AC127" s="127">
        <f t="shared" si="28"/>
        <v>1.4762326542663124</v>
      </c>
      <c r="AD127" s="123">
        <f t="shared" si="29"/>
        <v>0.22412981598942106</v>
      </c>
      <c r="AE127" s="123">
        <f t="shared" si="30"/>
        <v>1.7461148943600489</v>
      </c>
      <c r="AF127" s="129">
        <f t="shared" si="31"/>
        <v>2.3369946249123625</v>
      </c>
      <c r="AG127" s="123">
        <f t="shared" si="32"/>
        <v>0.83745079976551384</v>
      </c>
      <c r="AH127" s="123">
        <f t="shared" si="33"/>
        <v>0.34212597078244211</v>
      </c>
      <c r="AN127" s="122">
        <v>43160</v>
      </c>
      <c r="AO127" s="131">
        <v>90.15</v>
      </c>
      <c r="AP127" s="131">
        <v>103.4</v>
      </c>
      <c r="AS127" s="122">
        <v>43160</v>
      </c>
      <c r="AT127" s="54">
        <v>558.70000000000005</v>
      </c>
    </row>
    <row r="128" spans="1:47" ht="15.6" x14ac:dyDescent="0.3">
      <c r="A128" s="76">
        <v>45017</v>
      </c>
      <c r="B128" s="77">
        <v>0.63249999999999995</v>
      </c>
      <c r="C128" s="77">
        <v>0.57220000000000004</v>
      </c>
      <c r="D128" s="77">
        <v>0.37980000000000003</v>
      </c>
      <c r="E128" s="77">
        <v>0.38690000000000002</v>
      </c>
      <c r="F128" s="77">
        <v>0.9194</v>
      </c>
      <c r="G128" s="77">
        <v>0.34050000000000002</v>
      </c>
      <c r="H128" s="77">
        <v>56.539499999999997</v>
      </c>
      <c r="I128" s="77">
        <v>0.68259999999999998</v>
      </c>
      <c r="J128" s="77">
        <v>4.3917999999999999</v>
      </c>
      <c r="K128" s="77">
        <v>0.56920000000000004</v>
      </c>
      <c r="L128" s="77">
        <v>0.4249</v>
      </c>
      <c r="M128" s="77">
        <v>1.1982999999999999</v>
      </c>
      <c r="N128" s="77">
        <v>2.9266999999999999</v>
      </c>
      <c r="U128" s="76">
        <v>44986</v>
      </c>
      <c r="V128" s="125">
        <f t="shared" si="21"/>
        <v>1.5785319652722969</v>
      </c>
      <c r="W128" s="123">
        <f t="shared" si="22"/>
        <v>1.723543605653223</v>
      </c>
      <c r="X128" s="123">
        <f t="shared" si="23"/>
        <v>2.5595085743537243</v>
      </c>
      <c r="Y128" s="123">
        <f t="shared" si="24"/>
        <v>2.5284450063211126</v>
      </c>
      <c r="Z128" s="123">
        <f t="shared" si="25"/>
        <v>1.0876658690450294</v>
      </c>
      <c r="AA128" s="123">
        <f t="shared" si="26"/>
        <v>2.8702640642939152</v>
      </c>
      <c r="AB128" s="123">
        <f t="shared" si="27"/>
        <v>1.7684091391384309E-2</v>
      </c>
      <c r="AC128" s="127">
        <f t="shared" si="28"/>
        <v>1.4654161781946073</v>
      </c>
      <c r="AD128" s="123">
        <f t="shared" si="29"/>
        <v>0.22508328081390114</v>
      </c>
      <c r="AE128" s="123">
        <f t="shared" si="30"/>
        <v>1.7467248908296944</v>
      </c>
      <c r="AF128" s="129">
        <f t="shared" si="31"/>
        <v>2.3568230025925052</v>
      </c>
      <c r="AG128" s="123">
        <f t="shared" si="32"/>
        <v>0.8347245409015025</v>
      </c>
      <c r="AH128" s="123">
        <f t="shared" si="33"/>
        <v>0.34175181982844061</v>
      </c>
      <c r="AN128" s="122">
        <v>43191</v>
      </c>
      <c r="AO128" s="131">
        <v>90.45</v>
      </c>
      <c r="AP128" s="132">
        <v>105.35</v>
      </c>
      <c r="AS128" s="122">
        <v>43191</v>
      </c>
      <c r="AT128" s="54">
        <v>547.1</v>
      </c>
    </row>
    <row r="129" spans="1:46" ht="15.6" x14ac:dyDescent="0.3">
      <c r="A129" s="76">
        <v>45047</v>
      </c>
      <c r="B129" s="77">
        <v>0.63629999999999998</v>
      </c>
      <c r="C129" s="77">
        <v>0.57289999999999996</v>
      </c>
      <c r="D129" s="77">
        <v>0.378</v>
      </c>
      <c r="E129" s="77">
        <v>0.38900000000000001</v>
      </c>
      <c r="F129" s="77">
        <v>0.92010000000000003</v>
      </c>
      <c r="G129" s="77">
        <v>0.33850000000000002</v>
      </c>
      <c r="H129" s="77">
        <v>58.019199999999998</v>
      </c>
      <c r="I129" s="77">
        <v>0.68110000000000004</v>
      </c>
      <c r="J129" s="77">
        <v>4.4276999999999997</v>
      </c>
      <c r="K129" s="77">
        <v>0.5716</v>
      </c>
      <c r="L129" s="77">
        <v>0.42420000000000002</v>
      </c>
      <c r="M129" s="77">
        <v>1.1940999999999999</v>
      </c>
      <c r="N129" s="77">
        <v>2.9613999999999998</v>
      </c>
      <c r="U129" s="76">
        <v>45017</v>
      </c>
      <c r="V129" s="125">
        <f t="shared" si="21"/>
        <v>1.5810276679841899</v>
      </c>
      <c r="W129" s="123">
        <f t="shared" si="22"/>
        <v>1.7476406850751485</v>
      </c>
      <c r="X129" s="123">
        <f t="shared" si="23"/>
        <v>2.6329647182727749</v>
      </c>
      <c r="Y129" s="123">
        <f t="shared" si="24"/>
        <v>2.5846471956577926</v>
      </c>
      <c r="Z129" s="123">
        <f t="shared" si="25"/>
        <v>1.0876658690450294</v>
      </c>
      <c r="AA129" s="123">
        <f t="shared" si="26"/>
        <v>2.9368575624082229</v>
      </c>
      <c r="AB129" s="123">
        <f t="shared" si="27"/>
        <v>1.7686749971259033E-2</v>
      </c>
      <c r="AC129" s="127">
        <f t="shared" si="28"/>
        <v>1.464986815118664</v>
      </c>
      <c r="AD129" s="123">
        <f t="shared" si="29"/>
        <v>0.22769707181565646</v>
      </c>
      <c r="AE129" s="123">
        <f t="shared" si="30"/>
        <v>1.7568517217146871</v>
      </c>
      <c r="AF129" s="129">
        <f t="shared" si="31"/>
        <v>2.3534949399858789</v>
      </c>
      <c r="AG129" s="123">
        <f t="shared" si="32"/>
        <v>0.83451556371526336</v>
      </c>
      <c r="AH129" s="123">
        <f t="shared" si="33"/>
        <v>0.34168175761096115</v>
      </c>
      <c r="AN129" s="122">
        <v>43221</v>
      </c>
      <c r="AO129" s="131">
        <v>90.46</v>
      </c>
      <c r="AP129" s="132">
        <v>104.75</v>
      </c>
      <c r="AS129" s="122">
        <v>43221</v>
      </c>
      <c r="AT129" s="54">
        <v>561.5</v>
      </c>
    </row>
    <row r="130" spans="1:46" ht="15" x14ac:dyDescent="0.3">
      <c r="A130" s="76">
        <v>45078</v>
      </c>
      <c r="B130" s="77">
        <v>0.62919999999999998</v>
      </c>
      <c r="C130" s="77">
        <v>0.56240000000000001</v>
      </c>
      <c r="D130" s="77">
        <v>0.379</v>
      </c>
      <c r="E130" s="77">
        <v>0.3896</v>
      </c>
      <c r="F130" s="77">
        <v>0.9214</v>
      </c>
      <c r="G130" s="77">
        <v>0.33400000000000002</v>
      </c>
      <c r="H130" s="77">
        <v>59.669600000000003</v>
      </c>
      <c r="I130" s="77">
        <v>0.68889999999999996</v>
      </c>
      <c r="J130" s="77">
        <v>4.5552000000000001</v>
      </c>
      <c r="K130" s="77">
        <v>0.57350000000000001</v>
      </c>
      <c r="L130" s="77">
        <v>0.42320000000000002</v>
      </c>
      <c r="M130" s="77">
        <v>1.1541999999999999</v>
      </c>
      <c r="N130" s="77">
        <v>3.0299</v>
      </c>
      <c r="U130" s="76">
        <v>45047</v>
      </c>
      <c r="V130" s="125">
        <f t="shared" si="21"/>
        <v>1.5715857300015716</v>
      </c>
      <c r="W130" s="123">
        <f t="shared" si="22"/>
        <v>1.7455053237912377</v>
      </c>
      <c r="X130" s="123">
        <f t="shared" si="23"/>
        <v>2.6455026455026456</v>
      </c>
      <c r="Y130" s="123">
        <f t="shared" si="24"/>
        <v>2.5706940874035991</v>
      </c>
      <c r="Z130" s="123">
        <f t="shared" si="25"/>
        <v>1.0868383871318334</v>
      </c>
      <c r="AA130" s="123">
        <f t="shared" si="26"/>
        <v>2.954209748892171</v>
      </c>
      <c r="AB130" s="123">
        <f t="shared" si="27"/>
        <v>1.7235673708013901E-2</v>
      </c>
      <c r="AC130" s="127">
        <f t="shared" si="28"/>
        <v>1.4682131845543973</v>
      </c>
      <c r="AD130" s="123">
        <f t="shared" si="29"/>
        <v>0.22585089324028279</v>
      </c>
      <c r="AE130" s="123">
        <f t="shared" si="30"/>
        <v>1.7494751574527643</v>
      </c>
      <c r="AF130" s="129">
        <f t="shared" si="31"/>
        <v>2.3573785950023574</v>
      </c>
      <c r="AG130" s="123">
        <f t="shared" si="32"/>
        <v>0.83745079976551384</v>
      </c>
      <c r="AH130" s="123">
        <f t="shared" si="33"/>
        <v>0.33767812521104884</v>
      </c>
      <c r="AN130" s="122">
        <v>43252</v>
      </c>
      <c r="AO130" s="131">
        <v>90.9</v>
      </c>
      <c r="AP130" s="131">
        <v>105.38</v>
      </c>
      <c r="AS130" s="122">
        <v>43252</v>
      </c>
      <c r="AT130" s="54">
        <v>575.4</v>
      </c>
    </row>
    <row r="131" spans="1:46" ht="15" x14ac:dyDescent="0.3">
      <c r="A131" s="76">
        <v>45108</v>
      </c>
      <c r="B131" s="77">
        <v>0.63019999999999998</v>
      </c>
      <c r="C131" s="77">
        <v>0.56230000000000002</v>
      </c>
      <c r="D131" s="77">
        <v>0.3695</v>
      </c>
      <c r="E131" s="77">
        <v>0.38379999999999997</v>
      </c>
      <c r="F131" s="77">
        <v>0.92549999999999999</v>
      </c>
      <c r="G131" s="77">
        <v>0.3291</v>
      </c>
      <c r="H131" s="77">
        <v>59.843899999999998</v>
      </c>
      <c r="I131" s="77">
        <v>0.68220000000000003</v>
      </c>
      <c r="J131" s="77">
        <v>4.4694000000000003</v>
      </c>
      <c r="K131" s="77">
        <v>0.57150000000000001</v>
      </c>
      <c r="L131" s="77">
        <v>0.42530000000000001</v>
      </c>
      <c r="M131" s="77">
        <v>1.1541999999999999</v>
      </c>
      <c r="N131" s="77">
        <v>3.0586000000000002</v>
      </c>
      <c r="U131" s="76">
        <v>45078</v>
      </c>
      <c r="V131" s="125">
        <f t="shared" si="21"/>
        <v>1.589319771137953</v>
      </c>
      <c r="W131" s="123">
        <f t="shared" si="22"/>
        <v>1.7780938833570412</v>
      </c>
      <c r="X131" s="123">
        <f t="shared" si="23"/>
        <v>2.6385224274406331</v>
      </c>
      <c r="Y131" s="123">
        <f t="shared" si="24"/>
        <v>2.5667351129363452</v>
      </c>
      <c r="Z131" s="123">
        <f t="shared" si="25"/>
        <v>1.0853049706967659</v>
      </c>
      <c r="AA131" s="123">
        <f t="shared" si="26"/>
        <v>2.9940119760479038</v>
      </c>
      <c r="AB131" s="123">
        <f t="shared" si="27"/>
        <v>1.6758952632496278E-2</v>
      </c>
      <c r="AC131" s="127">
        <f t="shared" si="28"/>
        <v>1.451589490492089</v>
      </c>
      <c r="AD131" s="123">
        <f t="shared" si="29"/>
        <v>0.2195293291183702</v>
      </c>
      <c r="AE131" s="123">
        <f t="shared" si="30"/>
        <v>1.7436791630340016</v>
      </c>
      <c r="AF131" s="129">
        <f t="shared" si="31"/>
        <v>2.3629489603024574</v>
      </c>
      <c r="AG131" s="123">
        <f t="shared" si="32"/>
        <v>0.86640097036908692</v>
      </c>
      <c r="AH131" s="123">
        <f t="shared" si="33"/>
        <v>0.33004389583814647</v>
      </c>
      <c r="AN131" s="122">
        <v>43282</v>
      </c>
      <c r="AO131" s="131">
        <v>91.12</v>
      </c>
      <c r="AP131" s="131">
        <v>107.67</v>
      </c>
      <c r="AS131" s="122">
        <v>43282</v>
      </c>
      <c r="AT131" s="54">
        <v>506.5</v>
      </c>
    </row>
    <row r="132" spans="1:46" ht="15.6" x14ac:dyDescent="0.3">
      <c r="A132" s="76">
        <v>45139</v>
      </c>
      <c r="B132" s="77">
        <v>0.64529999999999998</v>
      </c>
      <c r="C132" s="77">
        <v>0.56520000000000004</v>
      </c>
      <c r="D132" s="77">
        <v>0.36649999999999999</v>
      </c>
      <c r="E132" s="77">
        <v>0.38390000000000002</v>
      </c>
      <c r="F132" s="77">
        <v>0.93089999999999995</v>
      </c>
      <c r="G132" s="77">
        <v>0.32919999999999999</v>
      </c>
      <c r="H132" s="77">
        <v>60.651000000000003</v>
      </c>
      <c r="I132" s="77">
        <v>0.69820000000000004</v>
      </c>
      <c r="J132" s="77">
        <v>4.5335999999999999</v>
      </c>
      <c r="K132" s="77">
        <v>0.57050000000000001</v>
      </c>
      <c r="L132" s="77">
        <v>0.41980000000000001</v>
      </c>
      <c r="M132" s="77">
        <v>1.1575</v>
      </c>
      <c r="N132" s="77">
        <v>3.0411000000000001</v>
      </c>
      <c r="U132" s="76">
        <v>45108</v>
      </c>
      <c r="V132" s="125">
        <f t="shared" si="21"/>
        <v>1.5867978419549349</v>
      </c>
      <c r="W132" s="123">
        <f t="shared" si="22"/>
        <v>1.7784101013693756</v>
      </c>
      <c r="X132" s="123">
        <f t="shared" si="23"/>
        <v>2.7063599458728009</v>
      </c>
      <c r="Y132" s="123">
        <f t="shared" si="24"/>
        <v>2.6055237102657638</v>
      </c>
      <c r="Z132" s="123">
        <f t="shared" si="25"/>
        <v>1.0804970286331712</v>
      </c>
      <c r="AA132" s="123">
        <f t="shared" si="26"/>
        <v>3.0385900941962927</v>
      </c>
      <c r="AB132" s="123">
        <f t="shared" si="27"/>
        <v>1.6710140883197788E-2</v>
      </c>
      <c r="AC132" s="127">
        <f t="shared" si="28"/>
        <v>1.4658457930225739</v>
      </c>
      <c r="AD132" s="123">
        <f t="shared" si="29"/>
        <v>0.22374367924106142</v>
      </c>
      <c r="AE132" s="123">
        <f t="shared" si="30"/>
        <v>1.7497812773403325</v>
      </c>
      <c r="AF132" s="129">
        <f t="shared" si="31"/>
        <v>2.351281448389372</v>
      </c>
      <c r="AG132" s="123">
        <f t="shared" si="32"/>
        <v>0.86640097036908692</v>
      </c>
      <c r="AH132" s="123">
        <f t="shared" si="33"/>
        <v>0.32694696920159549</v>
      </c>
      <c r="AN132" s="122">
        <v>43313</v>
      </c>
      <c r="AO132" s="131">
        <v>91.54</v>
      </c>
      <c r="AP132" s="132">
        <v>107.78</v>
      </c>
      <c r="AS132" s="122">
        <v>43313</v>
      </c>
      <c r="AT132" s="54">
        <v>606</v>
      </c>
    </row>
    <row r="133" spans="1:46" ht="15.6" x14ac:dyDescent="0.3">
      <c r="A133" s="76">
        <v>45170</v>
      </c>
      <c r="B133" s="77">
        <v>0.64870000000000005</v>
      </c>
      <c r="C133" s="77">
        <v>0.56530000000000002</v>
      </c>
      <c r="D133" s="77">
        <v>0.37290000000000001</v>
      </c>
      <c r="E133" s="77">
        <v>0.38990000000000002</v>
      </c>
      <c r="F133" s="77">
        <v>0.93149999999999999</v>
      </c>
      <c r="G133" s="77">
        <v>0.33539999999999998</v>
      </c>
      <c r="H133" s="77">
        <v>61.508899999999997</v>
      </c>
      <c r="I133" s="77">
        <v>0.70320000000000005</v>
      </c>
      <c r="J133" s="77">
        <v>4.6265000000000001</v>
      </c>
      <c r="K133" s="77">
        <v>0.57279999999999998</v>
      </c>
      <c r="L133" s="77">
        <v>0.41739999999999999</v>
      </c>
      <c r="M133" s="77">
        <v>1.1568000000000001</v>
      </c>
      <c r="N133" s="77">
        <v>3.0455999999999999</v>
      </c>
      <c r="U133" s="76">
        <v>45139</v>
      </c>
      <c r="V133" s="125">
        <f t="shared" si="21"/>
        <v>1.5496668216333489</v>
      </c>
      <c r="W133" s="123">
        <f t="shared" si="22"/>
        <v>1.7692852087756545</v>
      </c>
      <c r="X133" s="123">
        <f t="shared" si="23"/>
        <v>2.7285129604365621</v>
      </c>
      <c r="Y133" s="123">
        <f t="shared" si="24"/>
        <v>2.6048450117218023</v>
      </c>
      <c r="Z133" s="123">
        <f t="shared" si="25"/>
        <v>1.074229240519927</v>
      </c>
      <c r="AA133" s="123">
        <f t="shared" si="26"/>
        <v>3.0376670716889431</v>
      </c>
      <c r="AB133" s="123">
        <f t="shared" si="27"/>
        <v>1.648777431534517E-2</v>
      </c>
      <c r="AC133" s="127">
        <f t="shared" si="28"/>
        <v>1.4322543683758235</v>
      </c>
      <c r="AD133" s="123">
        <f t="shared" si="29"/>
        <v>0.22057526027880714</v>
      </c>
      <c r="AE133" s="123">
        <f t="shared" si="30"/>
        <v>1.7528483786152498</v>
      </c>
      <c r="AF133" s="129">
        <f t="shared" si="31"/>
        <v>2.3820867079561694</v>
      </c>
      <c r="AG133" s="123">
        <f t="shared" si="32"/>
        <v>0.86393088552915764</v>
      </c>
      <c r="AH133" s="123">
        <f t="shared" si="33"/>
        <v>0.32882838446614709</v>
      </c>
      <c r="AN133" s="122">
        <v>43344</v>
      </c>
      <c r="AO133" s="132">
        <v>91.9</v>
      </c>
      <c r="AP133" s="132">
        <v>109.01</v>
      </c>
      <c r="AS133" s="122">
        <v>43344</v>
      </c>
      <c r="AT133" s="54">
        <v>592.5</v>
      </c>
    </row>
    <row r="134" spans="1:46" ht="15" x14ac:dyDescent="0.3">
      <c r="A134" s="76">
        <v>45200</v>
      </c>
      <c r="B134" s="77">
        <v>0.6542</v>
      </c>
      <c r="C134" s="77">
        <v>0.57020000000000004</v>
      </c>
      <c r="D134" s="77">
        <v>0.37419999999999998</v>
      </c>
      <c r="E134" s="77">
        <v>0.39329999999999998</v>
      </c>
      <c r="F134" s="77">
        <v>0.93579999999999997</v>
      </c>
      <c r="G134" s="77">
        <v>0.34089999999999998</v>
      </c>
      <c r="H134" s="77">
        <v>62.112400000000001</v>
      </c>
      <c r="I134" s="77">
        <v>0.70340000000000003</v>
      </c>
      <c r="J134" s="77">
        <v>4.5846999999999998</v>
      </c>
      <c r="K134" s="77">
        <v>0.5736</v>
      </c>
      <c r="L134" s="77">
        <v>0.4163</v>
      </c>
      <c r="M134" s="77">
        <v>1.1574</v>
      </c>
      <c r="N134" s="77">
        <v>3.0421999999999998</v>
      </c>
      <c r="U134" s="76">
        <v>45170</v>
      </c>
      <c r="V134" s="125">
        <f t="shared" si="21"/>
        <v>1.5415446277169722</v>
      </c>
      <c r="W134" s="123">
        <f t="shared" si="22"/>
        <v>1.768972227136034</v>
      </c>
      <c r="X134" s="123">
        <f t="shared" si="23"/>
        <v>2.6816840976133012</v>
      </c>
      <c r="Y134" s="123">
        <f t="shared" si="24"/>
        <v>2.5647601949217749</v>
      </c>
      <c r="Z134" s="123">
        <f t="shared" si="25"/>
        <v>1.0735373054213635</v>
      </c>
      <c r="AA134" s="123">
        <f t="shared" si="26"/>
        <v>2.9815146094215863</v>
      </c>
      <c r="AB134" s="123">
        <f t="shared" si="27"/>
        <v>1.6257809845404488E-2</v>
      </c>
      <c r="AC134" s="127">
        <f t="shared" si="28"/>
        <v>1.422070534698521</v>
      </c>
      <c r="AD134" s="123">
        <f t="shared" si="29"/>
        <v>0.21614611477358694</v>
      </c>
      <c r="AE134" s="123">
        <f t="shared" si="30"/>
        <v>1.7458100558659218</v>
      </c>
      <c r="AF134" s="129">
        <f t="shared" si="31"/>
        <v>2.3957834211787254</v>
      </c>
      <c r="AG134" s="123">
        <f t="shared" si="32"/>
        <v>0.86445366528354073</v>
      </c>
      <c r="AH134" s="123">
        <f t="shared" si="33"/>
        <v>0.32834252692408722</v>
      </c>
      <c r="AN134" s="122">
        <v>43374</v>
      </c>
      <c r="AO134" s="133">
        <v>92.62</v>
      </c>
      <c r="AP134" s="133">
        <v>109.03</v>
      </c>
      <c r="AS134" s="122">
        <v>43374</v>
      </c>
      <c r="AT134" s="54">
        <v>595.79999999999995</v>
      </c>
    </row>
    <row r="135" spans="1:46" ht="15.6" x14ac:dyDescent="0.3">
      <c r="A135" s="76">
        <v>45231</v>
      </c>
      <c r="B135" s="77">
        <v>0.64470000000000005</v>
      </c>
      <c r="C135" s="77">
        <v>0.57530000000000003</v>
      </c>
      <c r="D135" s="77">
        <v>0.37180000000000002</v>
      </c>
      <c r="E135" s="77">
        <v>0.3871</v>
      </c>
      <c r="F135" s="77">
        <v>0.93540000000000001</v>
      </c>
      <c r="G135" s="77">
        <v>0.3367</v>
      </c>
      <c r="H135" s="77">
        <v>62.744100000000003</v>
      </c>
      <c r="I135" s="77">
        <v>0.69910000000000005</v>
      </c>
      <c r="J135" s="77">
        <v>4.4789000000000003</v>
      </c>
      <c r="K135" s="77">
        <v>0.56940000000000002</v>
      </c>
      <c r="L135" s="77">
        <v>0.41909999999999997</v>
      </c>
      <c r="M135" s="77">
        <v>1.1558999999999999</v>
      </c>
      <c r="N135" s="77">
        <v>3.0291999999999999</v>
      </c>
      <c r="U135" s="76">
        <v>45200</v>
      </c>
      <c r="V135" s="125">
        <f t="shared" si="21"/>
        <v>1.5285845307245491</v>
      </c>
      <c r="W135" s="123">
        <f t="shared" si="22"/>
        <v>1.7537706068046299</v>
      </c>
      <c r="X135" s="123">
        <f t="shared" si="23"/>
        <v>2.672367717797969</v>
      </c>
      <c r="Y135" s="123">
        <f t="shared" si="24"/>
        <v>2.5425883549453343</v>
      </c>
      <c r="Z135" s="123">
        <f t="shared" si="25"/>
        <v>1.0686044026501389</v>
      </c>
      <c r="AA135" s="123">
        <f t="shared" si="26"/>
        <v>2.9334115576415374</v>
      </c>
      <c r="AB135" s="123">
        <f t="shared" si="27"/>
        <v>1.6099844797496151E-2</v>
      </c>
      <c r="AC135" s="127">
        <f t="shared" si="28"/>
        <v>1.4216661927779357</v>
      </c>
      <c r="AD135" s="123">
        <f t="shared" si="29"/>
        <v>0.21811677972386417</v>
      </c>
      <c r="AE135" s="123">
        <f t="shared" si="30"/>
        <v>1.7433751743375174</v>
      </c>
      <c r="AF135" s="129">
        <f t="shared" si="31"/>
        <v>2.4021138601969731</v>
      </c>
      <c r="AG135" s="123">
        <f t="shared" si="32"/>
        <v>0.86400552963538968</v>
      </c>
      <c r="AH135" s="123">
        <f t="shared" si="33"/>
        <v>0.32870948655578203</v>
      </c>
      <c r="AN135" s="122">
        <v>43405</v>
      </c>
      <c r="AO135" s="132">
        <v>91.83</v>
      </c>
      <c r="AP135" s="132">
        <v>109.16</v>
      </c>
      <c r="AS135" s="122">
        <v>43405</v>
      </c>
      <c r="AT135" s="54">
        <v>593.20000000000005</v>
      </c>
    </row>
    <row r="136" spans="1:46" ht="15.6" x14ac:dyDescent="0.3">
      <c r="A136" s="76">
        <v>45261</v>
      </c>
      <c r="B136" s="77">
        <v>0.63480000000000003</v>
      </c>
      <c r="C136" s="77">
        <v>0.57089999999999996</v>
      </c>
      <c r="D136" s="77">
        <v>0.36609999999999998</v>
      </c>
      <c r="E136" s="77">
        <v>0.38869999999999999</v>
      </c>
      <c r="F136" s="77">
        <v>0.9335</v>
      </c>
      <c r="G136" s="77">
        <v>0.3347</v>
      </c>
      <c r="H136" s="77">
        <v>61.13</v>
      </c>
      <c r="I136" s="77">
        <v>0.68269999999999997</v>
      </c>
      <c r="J136" s="77">
        <v>4.3658999999999999</v>
      </c>
      <c r="K136" s="77">
        <v>0.56999999999999995</v>
      </c>
      <c r="L136" s="77">
        <v>0.42459999999999998</v>
      </c>
      <c r="M136" s="77">
        <v>1.1526000000000001</v>
      </c>
      <c r="N136" s="77">
        <v>3.0335000000000001</v>
      </c>
      <c r="U136" s="76">
        <v>45231</v>
      </c>
      <c r="V136" s="125">
        <f t="shared" si="21"/>
        <v>1.5511090429657204</v>
      </c>
      <c r="W136" s="123">
        <f t="shared" si="22"/>
        <v>1.7382235355466713</v>
      </c>
      <c r="X136" s="123">
        <f t="shared" si="23"/>
        <v>2.6896180742334588</v>
      </c>
      <c r="Y136" s="123">
        <f t="shared" si="24"/>
        <v>2.5833118057349522</v>
      </c>
      <c r="Z136" s="123">
        <f t="shared" si="25"/>
        <v>1.0690613641223006</v>
      </c>
      <c r="AA136" s="123">
        <f t="shared" si="26"/>
        <v>2.97000297000297</v>
      </c>
      <c r="AB136" s="123">
        <f t="shared" si="27"/>
        <v>1.5937753509891767E-2</v>
      </c>
      <c r="AC136" s="127">
        <f t="shared" si="28"/>
        <v>1.4304105278214847</v>
      </c>
      <c r="AD136" s="123">
        <f t="shared" si="29"/>
        <v>0.22326910625376764</v>
      </c>
      <c r="AE136" s="123">
        <f t="shared" si="30"/>
        <v>1.7562346329469616</v>
      </c>
      <c r="AF136" s="129">
        <f t="shared" si="31"/>
        <v>2.3860653781913626</v>
      </c>
      <c r="AG136" s="123">
        <f t="shared" si="32"/>
        <v>0.86512674106756648</v>
      </c>
      <c r="AH136" s="123">
        <f t="shared" si="33"/>
        <v>0.33012016373960124</v>
      </c>
      <c r="AN136" s="122">
        <v>43435</v>
      </c>
      <c r="AO136" s="132">
        <v>91.67</v>
      </c>
      <c r="AP136" s="60">
        <v>108.04</v>
      </c>
      <c r="AS136" s="122">
        <v>43435</v>
      </c>
      <c r="AT136" s="54">
        <v>605.29999999999995</v>
      </c>
    </row>
    <row r="137" spans="1:46" ht="15.6" x14ac:dyDescent="0.3">
      <c r="A137" s="76">
        <v>45292</v>
      </c>
      <c r="B137" s="77">
        <v>0.63649999999999995</v>
      </c>
      <c r="C137" s="77">
        <v>0.56859999999999999</v>
      </c>
      <c r="D137" s="77">
        <v>0.36159999999999998</v>
      </c>
      <c r="E137" s="77">
        <v>0.3876</v>
      </c>
      <c r="F137" s="77">
        <v>0.93489999999999995</v>
      </c>
      <c r="G137" s="77">
        <v>0.33260000000000001</v>
      </c>
      <c r="H137" s="77">
        <v>61.772799999999997</v>
      </c>
      <c r="I137" s="77">
        <v>0.68489999999999995</v>
      </c>
      <c r="J137" s="77">
        <v>4.3821000000000003</v>
      </c>
      <c r="K137" s="77">
        <v>0.56979999999999997</v>
      </c>
      <c r="L137" s="77">
        <v>0.42380000000000001</v>
      </c>
      <c r="M137" s="77">
        <v>1.1532</v>
      </c>
      <c r="N137" s="77">
        <v>3.0377000000000001</v>
      </c>
      <c r="U137" s="76">
        <v>45261</v>
      </c>
      <c r="V137" s="125">
        <f t="shared" si="21"/>
        <v>1.575299306868305</v>
      </c>
      <c r="W137" s="123">
        <f t="shared" si="22"/>
        <v>1.7516202487300754</v>
      </c>
      <c r="X137" s="123">
        <f t="shared" si="23"/>
        <v>2.7314941272876263</v>
      </c>
      <c r="Y137" s="123">
        <f t="shared" si="24"/>
        <v>2.5726781579624389</v>
      </c>
      <c r="Z137" s="123">
        <f t="shared" si="25"/>
        <v>1.0712372790573113</v>
      </c>
      <c r="AA137" s="123">
        <f t="shared" si="26"/>
        <v>2.987750224081267</v>
      </c>
      <c r="AB137" s="123">
        <f t="shared" si="27"/>
        <v>1.6358580075249467E-2</v>
      </c>
      <c r="AC137" s="127">
        <f t="shared" si="28"/>
        <v>1.4647722279185587</v>
      </c>
      <c r="AD137" s="123">
        <f t="shared" si="29"/>
        <v>0.22904784809546716</v>
      </c>
      <c r="AE137" s="123">
        <f t="shared" si="30"/>
        <v>1.7543859649122808</v>
      </c>
      <c r="AF137" s="129">
        <f t="shared" si="31"/>
        <v>2.3551577955723033</v>
      </c>
      <c r="AG137" s="123">
        <f t="shared" si="32"/>
        <v>0.86760367863959742</v>
      </c>
      <c r="AH137" s="123">
        <f t="shared" si="33"/>
        <v>0.3296522169111587</v>
      </c>
      <c r="AN137" s="122">
        <v>43466</v>
      </c>
      <c r="AO137" s="131">
        <v>91.42</v>
      </c>
      <c r="AP137" s="60">
        <v>105.89</v>
      </c>
      <c r="AS137" s="122">
        <v>43466</v>
      </c>
      <c r="AT137" s="54">
        <v>598.29999999999995</v>
      </c>
    </row>
    <row r="138" spans="1:46" ht="15.6" x14ac:dyDescent="0.3">
      <c r="A138" s="76">
        <v>45323</v>
      </c>
      <c r="B138" s="77">
        <v>0.64500000000000002</v>
      </c>
      <c r="C138" s="77">
        <v>0.56889999999999996</v>
      </c>
      <c r="D138" s="77">
        <v>0.36720000000000003</v>
      </c>
      <c r="E138" s="77">
        <v>0.38990000000000002</v>
      </c>
      <c r="F138" s="77">
        <v>0.93479999999999996</v>
      </c>
      <c r="G138" s="77">
        <v>0.33289999999999997</v>
      </c>
      <c r="H138" s="77">
        <v>62.929099999999998</v>
      </c>
      <c r="I138" s="77">
        <v>0.68720000000000003</v>
      </c>
      <c r="J138" s="77">
        <v>4.3929</v>
      </c>
      <c r="K138" s="77">
        <v>0.57099999999999995</v>
      </c>
      <c r="L138" s="77">
        <v>0.42170000000000002</v>
      </c>
      <c r="M138" s="77">
        <v>1.1544000000000001</v>
      </c>
      <c r="N138" s="77">
        <v>3.0331000000000001</v>
      </c>
      <c r="U138" s="76">
        <v>45292</v>
      </c>
      <c r="V138" s="125">
        <f t="shared" si="21"/>
        <v>1.5710919088766695</v>
      </c>
      <c r="W138" s="123">
        <f t="shared" si="22"/>
        <v>1.7587055926837847</v>
      </c>
      <c r="X138" s="123">
        <f t="shared" si="23"/>
        <v>2.7654867256637168</v>
      </c>
      <c r="Y138" s="123">
        <f t="shared" si="24"/>
        <v>2.5799793601651189</v>
      </c>
      <c r="Z138" s="123">
        <f t="shared" si="25"/>
        <v>1.0696331158412664</v>
      </c>
      <c r="AA138" s="123">
        <f t="shared" si="26"/>
        <v>3.0066145520144318</v>
      </c>
      <c r="AB138" s="123">
        <f t="shared" si="27"/>
        <v>1.6188354745130543E-2</v>
      </c>
      <c r="AC138" s="127">
        <f t="shared" si="28"/>
        <v>1.4600671630895021</v>
      </c>
      <c r="AD138" s="123">
        <f t="shared" si="29"/>
        <v>0.22820109080121401</v>
      </c>
      <c r="AE138" s="123">
        <f t="shared" si="30"/>
        <v>1.7550017550017551</v>
      </c>
      <c r="AF138" s="129">
        <f t="shared" si="31"/>
        <v>2.3596035865974514</v>
      </c>
      <c r="AG138" s="123">
        <f t="shared" si="32"/>
        <v>0.8671522719389525</v>
      </c>
      <c r="AH138" s="123">
        <f t="shared" si="33"/>
        <v>0.3291964315106824</v>
      </c>
      <c r="AN138" s="122">
        <v>43497</v>
      </c>
      <c r="AO138" s="131">
        <v>91.07</v>
      </c>
      <c r="AP138" s="60">
        <v>107.35</v>
      </c>
      <c r="AS138" s="122">
        <v>43497</v>
      </c>
      <c r="AT138" s="54">
        <v>589</v>
      </c>
    </row>
    <row r="139" spans="1:46" ht="15.6" x14ac:dyDescent="0.3">
      <c r="A139" s="76">
        <v>45352</v>
      </c>
      <c r="B139" s="77">
        <v>0.64139999999999997</v>
      </c>
      <c r="C139" s="77">
        <v>0.57050000000000001</v>
      </c>
      <c r="D139" s="77">
        <v>0.37180000000000002</v>
      </c>
      <c r="E139" s="77">
        <v>0.38669999999999999</v>
      </c>
      <c r="F139" s="77">
        <v>0.93540000000000001</v>
      </c>
      <c r="G139" s="77">
        <v>0.33040000000000003</v>
      </c>
      <c r="H139" s="77">
        <v>62.9666</v>
      </c>
      <c r="I139" s="77">
        <v>0.69059999999999999</v>
      </c>
      <c r="J139" s="77">
        <v>4.3745000000000003</v>
      </c>
      <c r="K139" s="77">
        <v>0.56869999999999998</v>
      </c>
      <c r="L139" s="77">
        <v>0.42149999999999999</v>
      </c>
      <c r="M139" s="77">
        <v>1.1541999999999999</v>
      </c>
      <c r="N139" s="77">
        <v>3.0341</v>
      </c>
      <c r="U139" s="76">
        <v>45323</v>
      </c>
      <c r="V139" s="125">
        <f t="shared" si="21"/>
        <v>1.5503875968992247</v>
      </c>
      <c r="W139" s="123">
        <f t="shared" si="22"/>
        <v>1.7577781683951486</v>
      </c>
      <c r="X139" s="123">
        <f t="shared" si="23"/>
        <v>2.7233115468409586</v>
      </c>
      <c r="Y139" s="123">
        <f t="shared" si="24"/>
        <v>2.5647601949217749</v>
      </c>
      <c r="Z139" s="123">
        <f t="shared" si="25"/>
        <v>1.069747539580659</v>
      </c>
      <c r="AA139" s="123">
        <f t="shared" si="26"/>
        <v>3.0039050765995796</v>
      </c>
      <c r="AB139" s="123">
        <f t="shared" si="27"/>
        <v>1.5890899440799248E-2</v>
      </c>
      <c r="AC139" s="127">
        <f t="shared" si="28"/>
        <v>1.4551804423748544</v>
      </c>
      <c r="AD139" s="123">
        <f t="shared" si="29"/>
        <v>0.22764005554417355</v>
      </c>
      <c r="AE139" s="123">
        <f t="shared" si="30"/>
        <v>1.7513134851138354</v>
      </c>
      <c r="AF139" s="129">
        <f t="shared" si="31"/>
        <v>2.3713540431586435</v>
      </c>
      <c r="AG139" s="123">
        <f t="shared" si="32"/>
        <v>0.86625086625086622</v>
      </c>
      <c r="AH139" s="123">
        <f t="shared" si="33"/>
        <v>0.3296956908773202</v>
      </c>
      <c r="AN139" s="122">
        <v>43525</v>
      </c>
      <c r="AO139" s="131">
        <v>91.64</v>
      </c>
      <c r="AP139" s="60">
        <v>108.6</v>
      </c>
      <c r="AS139" s="122">
        <v>43525</v>
      </c>
      <c r="AT139" s="54">
        <v>583.5</v>
      </c>
    </row>
    <row r="140" spans="1:46" ht="15.6" x14ac:dyDescent="0.3">
      <c r="A140" s="76">
        <v>45383</v>
      </c>
      <c r="B140" s="77">
        <v>0.64259999999999995</v>
      </c>
      <c r="C140" s="77">
        <v>0.57250000000000001</v>
      </c>
      <c r="D140" s="77">
        <v>0.37869999999999998</v>
      </c>
      <c r="E140" s="77">
        <v>0.3896</v>
      </c>
      <c r="F140" s="77">
        <v>0.93759999999999999</v>
      </c>
      <c r="G140" s="77">
        <v>0.33339999999999997</v>
      </c>
      <c r="H140" s="77">
        <v>64.237499999999997</v>
      </c>
      <c r="I140" s="77">
        <v>0.7016</v>
      </c>
      <c r="J140" s="77">
        <v>4.5191999999999997</v>
      </c>
      <c r="K140" s="77">
        <v>0.57189999999999996</v>
      </c>
      <c r="L140" s="77">
        <v>0.41880000000000001</v>
      </c>
      <c r="M140" s="77">
        <v>1.1557999999999999</v>
      </c>
      <c r="N140" s="77">
        <v>3.0308000000000002</v>
      </c>
      <c r="U140" s="76">
        <v>45352</v>
      </c>
      <c r="V140" s="125">
        <f t="shared" si="21"/>
        <v>1.5590894917368259</v>
      </c>
      <c r="W140" s="123">
        <f t="shared" si="22"/>
        <v>1.7528483786152498</v>
      </c>
      <c r="X140" s="123">
        <f t="shared" si="23"/>
        <v>2.6896180742334588</v>
      </c>
      <c r="Y140" s="123">
        <f t="shared" si="24"/>
        <v>2.5859839668994051</v>
      </c>
      <c r="Z140" s="123">
        <f t="shared" si="25"/>
        <v>1.0690613641223006</v>
      </c>
      <c r="AA140" s="123">
        <f t="shared" si="26"/>
        <v>3.0266343825665856</v>
      </c>
      <c r="AB140" s="123">
        <f t="shared" si="27"/>
        <v>1.5881435554722663E-2</v>
      </c>
      <c r="AC140" s="127">
        <f t="shared" si="28"/>
        <v>1.4480162177816391</v>
      </c>
      <c r="AD140" s="123">
        <f t="shared" si="29"/>
        <v>0.22859755400617213</v>
      </c>
      <c r="AE140" s="123">
        <f t="shared" si="30"/>
        <v>1.7583963425356075</v>
      </c>
      <c r="AF140" s="129">
        <f t="shared" si="31"/>
        <v>2.3724792408066429</v>
      </c>
      <c r="AG140" s="123">
        <f t="shared" si="32"/>
        <v>0.86640097036908692</v>
      </c>
      <c r="AH140" s="123">
        <f t="shared" si="33"/>
        <v>0.32958702745459939</v>
      </c>
      <c r="AN140" s="122">
        <v>43556</v>
      </c>
      <c r="AO140" s="132">
        <v>91.65</v>
      </c>
      <c r="AP140" s="60">
        <v>106.49</v>
      </c>
      <c r="AS140" s="122">
        <v>43556</v>
      </c>
      <c r="AT140" s="141">
        <v>585.9</v>
      </c>
    </row>
    <row r="141" spans="1:46" ht="15.6" x14ac:dyDescent="0.3">
      <c r="A141" s="76">
        <v>45413</v>
      </c>
      <c r="B141" s="77">
        <v>0.63580000000000003</v>
      </c>
      <c r="C141" s="77">
        <v>0.57620000000000005</v>
      </c>
      <c r="D141" s="77">
        <v>0.38140000000000002</v>
      </c>
      <c r="E141" s="77">
        <v>0.38919999999999999</v>
      </c>
      <c r="F141" s="77">
        <v>0.94010000000000005</v>
      </c>
      <c r="G141" s="77">
        <v>0.3327</v>
      </c>
      <c r="H141" s="77">
        <v>65.617699999999999</v>
      </c>
      <c r="I141" s="77">
        <v>0.6946</v>
      </c>
      <c r="J141" s="77">
        <v>4.5343999999999998</v>
      </c>
      <c r="K141" s="77">
        <v>0.57340000000000002</v>
      </c>
      <c r="L141" s="77">
        <v>0.42170000000000002</v>
      </c>
      <c r="M141" s="77">
        <v>1.1535</v>
      </c>
      <c r="N141" s="77">
        <v>3.0503999999999998</v>
      </c>
      <c r="U141" s="76">
        <v>45383</v>
      </c>
      <c r="V141" s="125">
        <f t="shared" si="21"/>
        <v>1.5561780267662622</v>
      </c>
      <c r="W141" s="123">
        <f t="shared" si="22"/>
        <v>1.7467248908296944</v>
      </c>
      <c r="X141" s="123">
        <f t="shared" si="23"/>
        <v>2.6406126221283337</v>
      </c>
      <c r="Y141" s="123">
        <f t="shared" si="24"/>
        <v>2.5667351129363452</v>
      </c>
      <c r="Z141" s="123">
        <f t="shared" si="25"/>
        <v>1.0665529010238908</v>
      </c>
      <c r="AA141" s="123">
        <f t="shared" si="26"/>
        <v>2.9994001199760052</v>
      </c>
      <c r="AB141" s="123">
        <f t="shared" si="27"/>
        <v>1.5567230978789648E-2</v>
      </c>
      <c r="AC141" s="127">
        <f t="shared" si="28"/>
        <v>1.4253135689851768</v>
      </c>
      <c r="AD141" s="123">
        <f t="shared" si="29"/>
        <v>0.22127810231899453</v>
      </c>
      <c r="AE141" s="123">
        <f t="shared" si="30"/>
        <v>1.7485574401119077</v>
      </c>
      <c r="AF141" s="129">
        <f t="shared" si="31"/>
        <v>2.3877745940783188</v>
      </c>
      <c r="AG141" s="123">
        <f t="shared" si="32"/>
        <v>0.86520159197092927</v>
      </c>
      <c r="AH141" s="123">
        <f t="shared" si="33"/>
        <v>0.3299458888742246</v>
      </c>
      <c r="AN141" s="122">
        <v>43586</v>
      </c>
      <c r="AO141" s="131">
        <v>92.02</v>
      </c>
      <c r="AP141" s="60">
        <v>107.73</v>
      </c>
      <c r="AS141" s="122">
        <v>43586</v>
      </c>
      <c r="AT141" s="54">
        <v>584.79999999999995</v>
      </c>
    </row>
    <row r="142" spans="1:46" ht="15.6" x14ac:dyDescent="0.3">
      <c r="A142" s="76">
        <v>45444</v>
      </c>
      <c r="B142" s="77">
        <v>0.63580000000000003</v>
      </c>
      <c r="C142" s="77">
        <v>0.5796</v>
      </c>
      <c r="D142" s="77">
        <v>0.37559999999999999</v>
      </c>
      <c r="E142" s="77">
        <v>0.39200000000000002</v>
      </c>
      <c r="F142" s="77">
        <v>0.93830000000000002</v>
      </c>
      <c r="G142" s="77">
        <v>0.33139999999999997</v>
      </c>
      <c r="H142" s="77">
        <v>66.536100000000005</v>
      </c>
      <c r="I142" s="77">
        <v>0.68759999999999999</v>
      </c>
      <c r="J142" s="77">
        <v>4.4280999999999997</v>
      </c>
      <c r="K142" s="77">
        <v>0.57550000000000001</v>
      </c>
      <c r="L142" s="77">
        <v>0.42330000000000001</v>
      </c>
      <c r="M142" s="77">
        <v>1.1525000000000001</v>
      </c>
      <c r="N142" s="77">
        <v>3.0701000000000001</v>
      </c>
      <c r="U142" s="76">
        <v>45413</v>
      </c>
      <c r="V142" s="125">
        <f t="shared" si="21"/>
        <v>1.5728216420257941</v>
      </c>
      <c r="W142" s="123">
        <f t="shared" si="22"/>
        <v>1.7355085039916693</v>
      </c>
      <c r="X142" s="123">
        <f t="shared" si="23"/>
        <v>2.6219192448872572</v>
      </c>
      <c r="Y142" s="123">
        <f t="shared" si="24"/>
        <v>2.5693730729701953</v>
      </c>
      <c r="Z142" s="123">
        <f t="shared" si="25"/>
        <v>1.0637166258908626</v>
      </c>
      <c r="AA142" s="123">
        <f t="shared" si="26"/>
        <v>3.0057108506161709</v>
      </c>
      <c r="AB142" s="123">
        <f t="shared" si="27"/>
        <v>1.5239790483360435E-2</v>
      </c>
      <c r="AC142" s="127">
        <f t="shared" si="28"/>
        <v>1.4396775122372589</v>
      </c>
      <c r="AD142" s="123">
        <f t="shared" si="29"/>
        <v>0.22053634438955541</v>
      </c>
      <c r="AE142" s="123">
        <f t="shared" si="30"/>
        <v>1.7439832577607255</v>
      </c>
      <c r="AF142" s="129">
        <f t="shared" si="31"/>
        <v>2.3713540431586435</v>
      </c>
      <c r="AG142" s="123">
        <f t="shared" si="32"/>
        <v>0.86692674469007369</v>
      </c>
      <c r="AH142" s="123">
        <f t="shared" si="33"/>
        <v>0.32782585890375038</v>
      </c>
      <c r="AN142" s="122">
        <v>43617</v>
      </c>
      <c r="AO142" s="131">
        <v>91.82</v>
      </c>
      <c r="AP142" s="60">
        <v>106.34</v>
      </c>
      <c r="AS142" s="122">
        <v>43617</v>
      </c>
      <c r="AT142" s="54">
        <v>600.1</v>
      </c>
    </row>
    <row r="143" spans="1:46" ht="15.6" x14ac:dyDescent="0.3">
      <c r="A143" s="76">
        <v>45474</v>
      </c>
      <c r="B143" s="77">
        <v>0.63080000000000003</v>
      </c>
      <c r="C143" s="77">
        <v>0.57809999999999995</v>
      </c>
      <c r="D143" s="77">
        <v>0.37419999999999998</v>
      </c>
      <c r="E143" s="77">
        <v>0.38800000000000001</v>
      </c>
      <c r="F143" s="77">
        <v>0.93569999999999998</v>
      </c>
      <c r="G143" s="77">
        <v>0.32700000000000001</v>
      </c>
      <c r="H143" s="77">
        <v>66.498500000000007</v>
      </c>
      <c r="I143" s="77">
        <v>0.69789999999999996</v>
      </c>
      <c r="J143" s="77">
        <v>4.4817</v>
      </c>
      <c r="K143" s="77">
        <v>0.5716</v>
      </c>
      <c r="L143" s="77">
        <v>0.42199999999999999</v>
      </c>
      <c r="M143" s="77">
        <v>1.1534</v>
      </c>
      <c r="N143" s="77">
        <v>3.0648</v>
      </c>
      <c r="U143" s="76">
        <v>45444</v>
      </c>
      <c r="V143" s="125">
        <f t="shared" si="21"/>
        <v>1.5728216420257941</v>
      </c>
      <c r="W143" s="123">
        <f t="shared" si="22"/>
        <v>1.7253278122843341</v>
      </c>
      <c r="X143" s="123">
        <f t="shared" si="23"/>
        <v>2.6624068157614484</v>
      </c>
      <c r="Y143" s="123">
        <f t="shared" si="24"/>
        <v>2.5510204081632653</v>
      </c>
      <c r="Z143" s="123">
        <f t="shared" si="25"/>
        <v>1.0657572205051689</v>
      </c>
      <c r="AA143" s="123">
        <f t="shared" si="26"/>
        <v>3.0175015087507546</v>
      </c>
      <c r="AB143" s="123">
        <f t="shared" si="27"/>
        <v>1.5029435148738803E-2</v>
      </c>
      <c r="AC143" s="127">
        <f t="shared" si="28"/>
        <v>1.4543339150668995</v>
      </c>
      <c r="AD143" s="123">
        <f t="shared" si="29"/>
        <v>0.2258304916329803</v>
      </c>
      <c r="AE143" s="123">
        <f t="shared" si="30"/>
        <v>1.737619461337967</v>
      </c>
      <c r="AF143" s="129">
        <f t="shared" si="31"/>
        <v>2.3623907394283012</v>
      </c>
      <c r="AG143" s="123">
        <f t="shared" si="32"/>
        <v>0.86767895878524937</v>
      </c>
      <c r="AH143" s="123">
        <f t="shared" si="33"/>
        <v>0.32572228917624835</v>
      </c>
      <c r="AN143" s="122">
        <v>43647</v>
      </c>
      <c r="AO143" s="131">
        <v>91.87</v>
      </c>
      <c r="AP143" s="60">
        <v>106.36</v>
      </c>
      <c r="AS143" s="122">
        <v>43647</v>
      </c>
      <c r="AT143" s="54">
        <v>598.1</v>
      </c>
    </row>
    <row r="144" spans="1:46" ht="15.6" x14ac:dyDescent="0.3">
      <c r="A144" s="76">
        <v>45505</v>
      </c>
      <c r="B144" s="77">
        <v>0.63439999999999996</v>
      </c>
      <c r="C144" s="77">
        <v>0.57720000000000005</v>
      </c>
      <c r="D144" s="77">
        <v>0.36030000000000001</v>
      </c>
      <c r="E144" s="77">
        <v>0.3826</v>
      </c>
      <c r="F144" s="77">
        <v>0.93479999999999996</v>
      </c>
      <c r="G144" s="77">
        <v>0.32550000000000001</v>
      </c>
      <c r="H144" s="77">
        <v>61.688899999999997</v>
      </c>
      <c r="I144" s="77">
        <v>0.69430000000000003</v>
      </c>
      <c r="J144" s="77">
        <v>4.3899999999999997</v>
      </c>
      <c r="K144" s="77">
        <v>0.55969999999999998</v>
      </c>
      <c r="L144" s="77">
        <v>0.42259999999999998</v>
      </c>
      <c r="M144" s="77">
        <v>1.1537999999999999</v>
      </c>
      <c r="N144" s="77">
        <v>3.0232000000000001</v>
      </c>
      <c r="U144" s="76">
        <v>45474</v>
      </c>
      <c r="V144" s="125">
        <f t="shared" si="21"/>
        <v>1.5852885225110969</v>
      </c>
      <c r="W144" s="123">
        <f t="shared" si="22"/>
        <v>1.7298045320878743</v>
      </c>
      <c r="X144" s="123">
        <f t="shared" si="23"/>
        <v>2.672367717797969</v>
      </c>
      <c r="Y144" s="123">
        <f t="shared" si="24"/>
        <v>2.5773195876288657</v>
      </c>
      <c r="Z144" s="123">
        <f t="shared" si="25"/>
        <v>1.0687186063909373</v>
      </c>
      <c r="AA144" s="123">
        <f t="shared" si="26"/>
        <v>3.0581039755351682</v>
      </c>
      <c r="AB144" s="123">
        <f t="shared" si="27"/>
        <v>1.503793318646285E-2</v>
      </c>
      <c r="AC144" s="127">
        <f t="shared" si="28"/>
        <v>1.4328700386874911</v>
      </c>
      <c r="AD144" s="123">
        <f t="shared" si="29"/>
        <v>0.22312961599393089</v>
      </c>
      <c r="AE144" s="123">
        <f t="shared" si="30"/>
        <v>1.7494751574527643</v>
      </c>
      <c r="AF144" s="129">
        <f t="shared" si="31"/>
        <v>2.3696682464454977</v>
      </c>
      <c r="AG144" s="123">
        <f t="shared" si="32"/>
        <v>0.86700190740419636</v>
      </c>
      <c r="AH144" s="123">
        <f t="shared" si="33"/>
        <v>0.32628556512659879</v>
      </c>
      <c r="AN144" s="122">
        <v>43678</v>
      </c>
      <c r="AO144" s="132">
        <v>92.41</v>
      </c>
      <c r="AP144" s="60">
        <v>108.61</v>
      </c>
      <c r="AS144" s="122">
        <v>43678</v>
      </c>
      <c r="AT144" s="54">
        <v>608.6</v>
      </c>
    </row>
    <row r="145" spans="1:46" ht="15.6" x14ac:dyDescent="0.3">
      <c r="A145" s="76">
        <v>45536</v>
      </c>
      <c r="B145" s="77">
        <v>0.62880000000000003</v>
      </c>
      <c r="C145" s="77">
        <v>0.5766</v>
      </c>
      <c r="D145" s="77">
        <v>0.35880000000000001</v>
      </c>
      <c r="E145" s="77">
        <v>0.38290000000000002</v>
      </c>
      <c r="F145" s="77">
        <v>0.93189999999999995</v>
      </c>
      <c r="G145" s="77">
        <v>0.3216</v>
      </c>
      <c r="H145" s="77">
        <v>60.96</v>
      </c>
      <c r="I145" s="77">
        <v>0.68369999999999997</v>
      </c>
      <c r="J145" s="77">
        <v>4.3570000000000002</v>
      </c>
      <c r="K145" s="77">
        <v>0.55630000000000002</v>
      </c>
      <c r="L145" s="77" t="s">
        <v>164</v>
      </c>
      <c r="M145" s="77">
        <v>1.1517999999999999</v>
      </c>
      <c r="N145" s="77">
        <v>3.0185</v>
      </c>
      <c r="U145" s="76">
        <v>45505</v>
      </c>
      <c r="V145" s="125">
        <f t="shared" si="21"/>
        <v>1.5762925598991173</v>
      </c>
      <c r="W145" s="123">
        <f t="shared" si="22"/>
        <v>1.7325017325017324</v>
      </c>
      <c r="X145" s="123">
        <f t="shared" si="23"/>
        <v>2.7754648903691366</v>
      </c>
      <c r="Y145" s="123">
        <f t="shared" si="24"/>
        <v>2.6136957658128592</v>
      </c>
      <c r="Z145" s="123">
        <f t="shared" si="25"/>
        <v>1.069747539580659</v>
      </c>
      <c r="AA145" s="123">
        <f t="shared" si="26"/>
        <v>3.0721966205837172</v>
      </c>
      <c r="AB145" s="123">
        <f t="shared" si="27"/>
        <v>1.6210371720033912E-2</v>
      </c>
      <c r="AC145" s="127">
        <f t="shared" si="28"/>
        <v>1.4402995823131211</v>
      </c>
      <c r="AD145" s="123">
        <f t="shared" si="29"/>
        <v>0.22779043280182235</v>
      </c>
      <c r="AE145" s="123">
        <f t="shared" si="30"/>
        <v>1.7866714311238163</v>
      </c>
      <c r="AF145" s="129">
        <f t="shared" si="31"/>
        <v>2.3663038334122102</v>
      </c>
      <c r="AG145" s="123">
        <f t="shared" si="32"/>
        <v>0.86670133472005551</v>
      </c>
      <c r="AH145" s="123">
        <f t="shared" si="33"/>
        <v>0.33077533739084414</v>
      </c>
      <c r="AN145" s="122">
        <v>43709</v>
      </c>
      <c r="AO145" s="131">
        <v>92.58</v>
      </c>
      <c r="AP145" s="60">
        <v>108.65</v>
      </c>
      <c r="AS145" s="122">
        <v>43709</v>
      </c>
      <c r="AT145" s="54">
        <v>594.5</v>
      </c>
    </row>
    <row r="146" spans="1:46" ht="15.6" x14ac:dyDescent="0.3">
      <c r="A146" s="76">
        <v>45566</v>
      </c>
      <c r="B146" s="77">
        <v>0.62949999999999995</v>
      </c>
      <c r="C146" s="77">
        <v>0.58150000000000002</v>
      </c>
      <c r="D146" s="77">
        <v>0.36209999999999998</v>
      </c>
      <c r="E146" s="77">
        <v>0.38719999999999999</v>
      </c>
      <c r="F146" s="77">
        <v>0.93169999999999997</v>
      </c>
      <c r="G146" s="77">
        <v>0.32300000000000001</v>
      </c>
      <c r="H146" s="77">
        <v>63.1907</v>
      </c>
      <c r="I146" s="77">
        <v>0.69350000000000001</v>
      </c>
      <c r="J146" s="77">
        <v>4.4233000000000002</v>
      </c>
      <c r="K146" s="77">
        <v>0.55779999999999996</v>
      </c>
      <c r="L146" s="77">
        <v>0.42359999999999998</v>
      </c>
      <c r="M146" s="77">
        <v>1.157</v>
      </c>
      <c r="N146" s="77">
        <v>3.0007999999999999</v>
      </c>
      <c r="U146" s="76">
        <v>45536</v>
      </c>
      <c r="V146" s="125">
        <f t="shared" si="21"/>
        <v>1.5903307888040712</v>
      </c>
      <c r="W146" s="123">
        <f t="shared" si="22"/>
        <v>1.734304543877905</v>
      </c>
      <c r="X146" s="123">
        <f t="shared" si="23"/>
        <v>2.7870680044593086</v>
      </c>
      <c r="Y146" s="123">
        <f t="shared" si="24"/>
        <v>2.6116479498563594</v>
      </c>
      <c r="Z146" s="123">
        <f t="shared" si="25"/>
        <v>1.0730765103551885</v>
      </c>
      <c r="AA146" s="123">
        <f t="shared" si="26"/>
        <v>3.1094527363184081</v>
      </c>
      <c r="AB146" s="123">
        <f t="shared" si="27"/>
        <v>1.6404199475065617E-2</v>
      </c>
      <c r="AC146" s="127">
        <f t="shared" si="28"/>
        <v>1.4626298083954952</v>
      </c>
      <c r="AD146" s="123">
        <f t="shared" si="29"/>
        <v>0.22951572182694513</v>
      </c>
      <c r="AE146" s="123">
        <f t="shared" si="30"/>
        <v>1.7975912277548085</v>
      </c>
      <c r="AF146" s="129">
        <f>AF145+0.0002</f>
        <v>2.3665038334122102</v>
      </c>
      <c r="AG146" s="123">
        <f t="shared" si="32"/>
        <v>0.86820628581350934</v>
      </c>
      <c r="AH146" s="123">
        <f t="shared" si="33"/>
        <v>0.33129037601457678</v>
      </c>
      <c r="AN146" s="122">
        <v>43739</v>
      </c>
      <c r="AO146" s="131">
        <v>92.29</v>
      </c>
      <c r="AP146" s="60">
        <v>108.52</v>
      </c>
      <c r="AS146" s="122">
        <v>43739</v>
      </c>
      <c r="AT146" s="54">
        <v>592.5</v>
      </c>
    </row>
    <row r="147" spans="1:46" ht="15.6" x14ac:dyDescent="0.3">
      <c r="A147" s="76">
        <v>45597</v>
      </c>
      <c r="B147" s="77">
        <v>0.63929999999999998</v>
      </c>
      <c r="C147" s="77">
        <v>0.58399999999999996</v>
      </c>
      <c r="D147" s="77">
        <v>0.36620000000000003</v>
      </c>
      <c r="E147" s="77">
        <v>0.39269999999999999</v>
      </c>
      <c r="F147" s="77">
        <v>0.9335</v>
      </c>
      <c r="G147" s="77">
        <v>0.3271</v>
      </c>
      <c r="H147" s="77">
        <v>64.178200000000004</v>
      </c>
      <c r="I147" s="77">
        <v>0.70640000000000003</v>
      </c>
      <c r="J147" s="77">
        <v>4.5561999999999996</v>
      </c>
      <c r="K147" s="77">
        <v>0.56279999999999997</v>
      </c>
      <c r="L147" s="77">
        <v>0.41860000000000003</v>
      </c>
      <c r="M147" s="77">
        <v>1.1577999999999999</v>
      </c>
      <c r="N147" s="77">
        <v>3.0171999999999999</v>
      </c>
      <c r="U147" s="76">
        <v>45566</v>
      </c>
      <c r="V147" s="125">
        <f t="shared" si="21"/>
        <v>1.5885623510722797</v>
      </c>
      <c r="W147" s="123">
        <f t="shared" si="22"/>
        <v>1.7196904557179706</v>
      </c>
      <c r="X147" s="123">
        <f t="shared" si="23"/>
        <v>2.7616680475006907</v>
      </c>
      <c r="Y147" s="123">
        <f t="shared" si="24"/>
        <v>2.5826446280991737</v>
      </c>
      <c r="Z147" s="123">
        <f t="shared" si="25"/>
        <v>1.0733068584308254</v>
      </c>
      <c r="AA147" s="123">
        <f t="shared" si="26"/>
        <v>3.0959752321981422</v>
      </c>
      <c r="AB147" s="123">
        <f t="shared" si="27"/>
        <v>1.5825113505626619E-2</v>
      </c>
      <c r="AC147" s="127">
        <f t="shared" si="28"/>
        <v>1.4419610670511895</v>
      </c>
      <c r="AD147" s="123">
        <f t="shared" si="29"/>
        <v>0.22607555445029728</v>
      </c>
      <c r="AE147" s="123">
        <f t="shared" si="30"/>
        <v>1.7927572606669058</v>
      </c>
      <c r="AF147" s="129">
        <f t="shared" si="31"/>
        <v>2.3607176581680833</v>
      </c>
      <c r="AG147" s="123">
        <f t="shared" si="32"/>
        <v>0.86430423509075194</v>
      </c>
      <c r="AH147" s="123">
        <f t="shared" si="33"/>
        <v>0.33324446814182884</v>
      </c>
      <c r="AN147" s="122">
        <v>43770</v>
      </c>
      <c r="AO147" s="131">
        <v>92.15</v>
      </c>
      <c r="AP147" s="60">
        <v>107.65</v>
      </c>
      <c r="AS147" s="122">
        <v>43770</v>
      </c>
      <c r="AT147" s="54">
        <v>605.6</v>
      </c>
    </row>
    <row r="148" spans="1:46" ht="15.6" x14ac:dyDescent="0.3">
      <c r="A148" s="76">
        <v>45627</v>
      </c>
      <c r="B148" s="77">
        <v>0.65129999999999999</v>
      </c>
      <c r="C148" s="77">
        <v>0.5887</v>
      </c>
      <c r="D148" s="77">
        <v>0.36609999999999998</v>
      </c>
      <c r="E148" s="77">
        <v>0.39389999999999997</v>
      </c>
      <c r="F148" s="77">
        <v>0.93630000000000002</v>
      </c>
      <c r="G148" s="77">
        <v>0.32590000000000002</v>
      </c>
      <c r="H148" s="77">
        <v>63.378700000000002</v>
      </c>
      <c r="I148" s="77">
        <v>0.71719999999999995</v>
      </c>
      <c r="J148" s="77">
        <v>4.5391000000000004</v>
      </c>
      <c r="K148" s="77">
        <v>0.56220000000000003</v>
      </c>
      <c r="L148" s="77">
        <v>0.41389999999999999</v>
      </c>
      <c r="M148" s="77">
        <v>1.1545000000000001</v>
      </c>
      <c r="N148" s="77">
        <v>3.0133999999999999</v>
      </c>
      <c r="U148" s="76">
        <v>45597</v>
      </c>
      <c r="V148" s="125">
        <f t="shared" si="21"/>
        <v>1.5642108556233381</v>
      </c>
      <c r="W148" s="123">
        <f t="shared" si="22"/>
        <v>1.7123287671232879</v>
      </c>
      <c r="X148" s="123">
        <f t="shared" si="23"/>
        <v>2.7307482250136537</v>
      </c>
      <c r="Y148" s="123">
        <f t="shared" si="24"/>
        <v>2.5464731347084291</v>
      </c>
      <c r="Z148" s="123">
        <f t="shared" si="25"/>
        <v>1.0712372790573113</v>
      </c>
      <c r="AA148" s="123">
        <f t="shared" si="26"/>
        <v>3.0571690614490983</v>
      </c>
      <c r="AB148" s="123">
        <f t="shared" si="27"/>
        <v>1.5581614940898934E-2</v>
      </c>
      <c r="AC148" s="127">
        <f t="shared" si="28"/>
        <v>1.4156285390713477</v>
      </c>
      <c r="AD148" s="123">
        <f t="shared" si="29"/>
        <v>0.21948114656950971</v>
      </c>
      <c r="AE148" s="123">
        <f t="shared" si="30"/>
        <v>1.7768301350390903</v>
      </c>
      <c r="AF148" s="129">
        <f t="shared" si="31"/>
        <v>2.3889154323936932</v>
      </c>
      <c r="AG148" s="123">
        <f t="shared" si="32"/>
        <v>0.86370703057522891</v>
      </c>
      <c r="AH148" s="123">
        <f t="shared" si="33"/>
        <v>0.33143311679703036</v>
      </c>
      <c r="AN148" s="122">
        <v>43800</v>
      </c>
      <c r="AO148" s="131">
        <v>91.49</v>
      </c>
      <c r="AP148" s="60">
        <v>107.13</v>
      </c>
      <c r="AS148" s="122">
        <v>43800</v>
      </c>
      <c r="AT148" s="54">
        <v>602.20000000000005</v>
      </c>
    </row>
    <row r="149" spans="1:46" ht="15.6" x14ac:dyDescent="0.3">
      <c r="A149" s="76">
        <v>45658</v>
      </c>
      <c r="B149" s="77">
        <v>0.65720000000000001</v>
      </c>
      <c r="C149" s="77">
        <v>0.58960000000000001</v>
      </c>
      <c r="D149" s="77">
        <v>0.3705</v>
      </c>
      <c r="E149" s="77">
        <v>0.39500000000000002</v>
      </c>
      <c r="F149" s="77">
        <v>0.93779999999999997</v>
      </c>
      <c r="G149" s="77">
        <v>0.33079999999999998</v>
      </c>
      <c r="H149" s="77">
        <v>64.072500000000005</v>
      </c>
      <c r="I149" s="77">
        <v>0.72650000000000003</v>
      </c>
      <c r="J149" s="77">
        <v>4.5373000000000001</v>
      </c>
      <c r="K149" s="77">
        <v>0.56179999999999997</v>
      </c>
      <c r="L149" s="77">
        <v>0.4103</v>
      </c>
      <c r="M149" s="77">
        <v>1.1554</v>
      </c>
      <c r="N149" s="77">
        <v>2.9954000000000001</v>
      </c>
      <c r="U149" s="76">
        <v>45627</v>
      </c>
      <c r="V149" s="125">
        <f t="shared" si="21"/>
        <v>1.5353907569476433</v>
      </c>
      <c r="W149" s="123">
        <f t="shared" si="22"/>
        <v>1.6986580601324954</v>
      </c>
      <c r="X149" s="123">
        <f t="shared" si="23"/>
        <v>2.7314941272876263</v>
      </c>
      <c r="Y149" s="123">
        <f t="shared" si="24"/>
        <v>2.5387154100025389</v>
      </c>
      <c r="Z149" s="123">
        <f t="shared" si="25"/>
        <v>1.0680337498664958</v>
      </c>
      <c r="AA149" s="123">
        <f t="shared" si="26"/>
        <v>3.0684258975145746</v>
      </c>
      <c r="AB149" s="123">
        <f t="shared" si="27"/>
        <v>1.577817153081398E-2</v>
      </c>
      <c r="AC149" s="127">
        <f t="shared" si="28"/>
        <v>1.3943112102621307</v>
      </c>
      <c r="AD149" s="123">
        <f t="shared" si="29"/>
        <v>0.22030799057081799</v>
      </c>
      <c r="AE149" s="123">
        <f t="shared" si="30"/>
        <v>1.7787264318747775</v>
      </c>
      <c r="AF149" s="129">
        <f t="shared" si="31"/>
        <v>2.4160425223483935</v>
      </c>
      <c r="AG149" s="123">
        <f t="shared" si="32"/>
        <v>0.86617583369423989</v>
      </c>
      <c r="AH149" s="123">
        <f t="shared" si="33"/>
        <v>0.33185106524191943</v>
      </c>
      <c r="AN149" s="122">
        <v>43831</v>
      </c>
      <c r="AO149" s="131">
        <v>91.7</v>
      </c>
      <c r="AP149" s="60">
        <v>106.25</v>
      </c>
      <c r="AS149" s="122">
        <v>43831</v>
      </c>
      <c r="AT149" s="54">
        <v>592.5</v>
      </c>
    </row>
    <row r="150" spans="1:46" ht="15.6" x14ac:dyDescent="0.3">
      <c r="A150" s="76">
        <v>45689</v>
      </c>
      <c r="B150" s="77">
        <v>0.65259999999999996</v>
      </c>
      <c r="C150" s="77">
        <v>0.58889999999999998</v>
      </c>
      <c r="D150" s="77">
        <v>0.36990000000000001</v>
      </c>
      <c r="E150" s="77">
        <v>0.39450000000000002</v>
      </c>
      <c r="F150" s="77">
        <v>0.93630000000000002</v>
      </c>
      <c r="G150" s="77">
        <v>0.32750000000000001</v>
      </c>
      <c r="H150" s="77">
        <v>62.354599999999998</v>
      </c>
      <c r="I150" s="77">
        <v>0.72319999999999995</v>
      </c>
      <c r="J150" s="77">
        <v>4.4499000000000004</v>
      </c>
      <c r="K150" s="77">
        <v>0.55830000000000002</v>
      </c>
      <c r="L150" s="77">
        <v>0.41199999999999998</v>
      </c>
      <c r="M150" s="77">
        <v>1.153</v>
      </c>
      <c r="N150" s="77">
        <v>2.9962</v>
      </c>
      <c r="U150" s="76">
        <v>45658</v>
      </c>
      <c r="V150" s="125">
        <f t="shared" si="21"/>
        <v>1.5216068167985393</v>
      </c>
      <c r="W150" s="123">
        <f t="shared" si="22"/>
        <v>1.6960651289009498</v>
      </c>
      <c r="X150" s="123">
        <f t="shared" si="23"/>
        <v>2.6990553306342782</v>
      </c>
      <c r="Y150" s="123">
        <f t="shared" si="24"/>
        <v>2.5316455696202529</v>
      </c>
      <c r="Z150" s="123">
        <f t="shared" si="25"/>
        <v>1.0663254425250588</v>
      </c>
      <c r="AA150" s="123">
        <f t="shared" si="26"/>
        <v>3.0229746070133015</v>
      </c>
      <c r="AB150" s="123">
        <f t="shared" si="27"/>
        <v>1.5607319833001676E-2</v>
      </c>
      <c r="AC150" s="127">
        <f t="shared" si="28"/>
        <v>1.3764624913971093</v>
      </c>
      <c r="AD150" s="123">
        <f t="shared" si="29"/>
        <v>0.22039538932845523</v>
      </c>
      <c r="AE150" s="123">
        <f t="shared" si="30"/>
        <v>1.7799928800284799</v>
      </c>
      <c r="AF150" s="129">
        <f t="shared" si="31"/>
        <v>2.4372410431391667</v>
      </c>
      <c r="AG150" s="123">
        <f t="shared" si="32"/>
        <v>0.86550112515146271</v>
      </c>
      <c r="AH150" s="123">
        <f t="shared" si="33"/>
        <v>0.33384522935167255</v>
      </c>
      <c r="AN150" s="122">
        <v>43862</v>
      </c>
      <c r="AO150" s="131">
        <v>93.17</v>
      </c>
      <c r="AP150" s="60">
        <v>108.56</v>
      </c>
      <c r="AS150" s="122">
        <v>43862</v>
      </c>
      <c r="AT150" s="54">
        <v>590.20000000000005</v>
      </c>
    </row>
    <row r="151" spans="1:46" ht="15.6" x14ac:dyDescent="0.3">
      <c r="A151" s="76">
        <v>45717</v>
      </c>
      <c r="B151" s="77">
        <v>0.65359999999999996</v>
      </c>
      <c r="C151" s="77">
        <v>0.59250000000000003</v>
      </c>
      <c r="D151" s="77">
        <v>0.36270000000000002</v>
      </c>
      <c r="E151" s="77">
        <v>0.38159999999999999</v>
      </c>
      <c r="F151" s="77">
        <v>0.93669999999999998</v>
      </c>
      <c r="G151" s="77">
        <v>0.31869999999999998</v>
      </c>
      <c r="H151" s="77">
        <v>61.409100000000002</v>
      </c>
      <c r="I151" s="77">
        <v>0.71930000000000005</v>
      </c>
      <c r="J151" s="77">
        <v>4.1909999999999998</v>
      </c>
      <c r="K151" s="77">
        <v>0.55500000000000005</v>
      </c>
      <c r="L151" s="77">
        <v>0.41289999999999999</v>
      </c>
      <c r="M151" s="77">
        <v>1.1532</v>
      </c>
      <c r="N151" s="77">
        <v>2.9941</v>
      </c>
      <c r="U151" s="76">
        <v>45689</v>
      </c>
      <c r="V151" s="125">
        <f t="shared" si="21"/>
        <v>1.5323322096230463</v>
      </c>
      <c r="W151" s="123">
        <f t="shared" si="22"/>
        <v>1.6980811682798438</v>
      </c>
      <c r="X151" s="123">
        <f t="shared" si="23"/>
        <v>2.7034333603676668</v>
      </c>
      <c r="Y151" s="123">
        <f t="shared" si="24"/>
        <v>2.5348542458808616</v>
      </c>
      <c r="Z151" s="123">
        <f t="shared" si="25"/>
        <v>1.0680337498664958</v>
      </c>
      <c r="AA151" s="123">
        <f t="shared" si="26"/>
        <v>3.0534351145038165</v>
      </c>
      <c r="AB151" s="123">
        <f t="shared" si="27"/>
        <v>1.603730919611384E-2</v>
      </c>
      <c r="AC151" s="127">
        <f t="shared" si="28"/>
        <v>1.3827433628318584</v>
      </c>
      <c r="AD151" s="123">
        <f t="shared" si="29"/>
        <v>0.22472415110451918</v>
      </c>
      <c r="AE151" s="123">
        <f t="shared" si="30"/>
        <v>1.7911517105498835</v>
      </c>
      <c r="AF151" s="129">
        <f t="shared" si="31"/>
        <v>2.4271844660194177</v>
      </c>
      <c r="AG151" s="123">
        <f t="shared" si="32"/>
        <v>0.86730268863833471</v>
      </c>
      <c r="AH151" s="123">
        <f t="shared" si="33"/>
        <v>0.33375609104866166</v>
      </c>
      <c r="AN151" s="122">
        <v>43891</v>
      </c>
      <c r="AO151" s="131">
        <v>94.85</v>
      </c>
      <c r="AP151" s="60">
        <v>110.86</v>
      </c>
      <c r="AS151" s="122">
        <v>43891</v>
      </c>
      <c r="AT151" s="54">
        <v>596.4</v>
      </c>
    </row>
    <row r="152" spans="1:46" ht="15.6" x14ac:dyDescent="0.3">
      <c r="A152" s="76">
        <v>45748</v>
      </c>
      <c r="B152" s="77">
        <v>0.65790000000000004</v>
      </c>
      <c r="C152" s="77">
        <v>0.57979999999999998</v>
      </c>
      <c r="D152" s="77">
        <v>0.34489999999999998</v>
      </c>
      <c r="E152" s="77">
        <v>0.3695</v>
      </c>
      <c r="F152" s="77">
        <v>0.93679999999999997</v>
      </c>
      <c r="G152" s="77">
        <v>0.31459999999999999</v>
      </c>
      <c r="H152" s="77">
        <v>59.813899999999997</v>
      </c>
      <c r="I152" s="77">
        <v>0.71109999999999995</v>
      </c>
      <c r="J152" s="77">
        <v>4.0552000000000001</v>
      </c>
      <c r="K152" s="77">
        <v>0.55249999999999999</v>
      </c>
      <c r="L152" s="77">
        <v>0.41370000000000001</v>
      </c>
      <c r="M152" s="77">
        <v>1.1505000000000001</v>
      </c>
      <c r="N152" s="77">
        <v>3.0186000000000002</v>
      </c>
      <c r="U152" s="76">
        <v>45717</v>
      </c>
      <c r="V152" s="125">
        <f t="shared" si="21"/>
        <v>1.5299877600979193</v>
      </c>
      <c r="W152" s="123">
        <f t="shared" si="22"/>
        <v>1.6877637130801686</v>
      </c>
      <c r="X152" s="123">
        <f t="shared" si="23"/>
        <v>2.7570995312930795</v>
      </c>
      <c r="Y152" s="123">
        <f t="shared" si="24"/>
        <v>2.6205450733752622</v>
      </c>
      <c r="Z152" s="123">
        <f t="shared" si="25"/>
        <v>1.0675776662752217</v>
      </c>
      <c r="AA152" s="123">
        <f t="shared" si="26"/>
        <v>3.1377470975839348</v>
      </c>
      <c r="AB152" s="123">
        <f t="shared" si="27"/>
        <v>1.6284231490121169E-2</v>
      </c>
      <c r="AC152" s="127">
        <f t="shared" si="28"/>
        <v>1.3902405116085081</v>
      </c>
      <c r="AD152" s="123">
        <f t="shared" si="29"/>
        <v>0.23860653781913627</v>
      </c>
      <c r="AE152" s="123">
        <f t="shared" si="30"/>
        <v>1.8018018018018016</v>
      </c>
      <c r="AF152" s="129">
        <f t="shared" si="31"/>
        <v>2.4218939210462582</v>
      </c>
      <c r="AG152" s="123">
        <f t="shared" si="32"/>
        <v>0.8671522719389525</v>
      </c>
      <c r="AH152" s="123">
        <f t="shared" si="33"/>
        <v>0.33399018068868774</v>
      </c>
      <c r="AN152" s="122">
        <v>43922</v>
      </c>
      <c r="AO152" s="131">
        <v>94.67</v>
      </c>
      <c r="AP152" s="60">
        <v>110.48</v>
      </c>
      <c r="AS152" s="122">
        <v>43922</v>
      </c>
      <c r="AT152" s="54">
        <v>581.6</v>
      </c>
    </row>
    <row r="153" spans="1:46" ht="15.6" x14ac:dyDescent="0.3">
      <c r="A153" s="76">
        <v>45778</v>
      </c>
      <c r="B153" s="77">
        <v>0.64690000000000003</v>
      </c>
      <c r="C153" s="77">
        <v>0.57809999999999995</v>
      </c>
      <c r="D153" s="77">
        <v>0.34379999999999999</v>
      </c>
      <c r="E153" s="77">
        <v>0.36909999999999998</v>
      </c>
      <c r="F153" s="77">
        <v>0.93259999999999998</v>
      </c>
      <c r="G153" s="77">
        <v>0.31119999999999998</v>
      </c>
      <c r="H153" s="77">
        <v>60.244100000000003</v>
      </c>
      <c r="I153" s="77">
        <v>0.70150000000000001</v>
      </c>
      <c r="J153" s="77">
        <v>4.0251999999999999</v>
      </c>
      <c r="K153" s="77">
        <v>0.54400000000000004</v>
      </c>
      <c r="L153" s="77">
        <v>0.4173</v>
      </c>
      <c r="M153" s="77">
        <v>1.1475</v>
      </c>
      <c r="N153" s="77">
        <v>3.0127000000000002</v>
      </c>
      <c r="U153" s="76">
        <v>45748</v>
      </c>
      <c r="V153" s="125">
        <f t="shared" si="21"/>
        <v>1.5199878400972791</v>
      </c>
      <c r="W153" s="123">
        <f t="shared" si="22"/>
        <v>1.7247326664367024</v>
      </c>
      <c r="X153" s="123">
        <f t="shared" si="23"/>
        <v>2.899391127863149</v>
      </c>
      <c r="Y153" s="123">
        <f t="shared" si="24"/>
        <v>2.7063599458728009</v>
      </c>
      <c r="Z153" s="123">
        <f t="shared" si="25"/>
        <v>1.067463706233988</v>
      </c>
      <c r="AA153" s="123">
        <f t="shared" si="26"/>
        <v>3.1786395422759059</v>
      </c>
      <c r="AB153" s="123">
        <f t="shared" si="27"/>
        <v>1.6718521948911543E-2</v>
      </c>
      <c r="AC153" s="127">
        <f t="shared" si="28"/>
        <v>1.4062719729995783</v>
      </c>
      <c r="AD153" s="123">
        <f t="shared" si="29"/>
        <v>0.24659696192542907</v>
      </c>
      <c r="AE153" s="123">
        <f t="shared" si="30"/>
        <v>1.8099547511312217</v>
      </c>
      <c r="AF153" s="129">
        <f t="shared" si="31"/>
        <v>2.4172105390379501</v>
      </c>
      <c r="AG153" s="123">
        <f t="shared" si="32"/>
        <v>0.86918730986527593</v>
      </c>
      <c r="AH153" s="123">
        <f t="shared" si="33"/>
        <v>0.33127940104684289</v>
      </c>
      <c r="AN153" s="122">
        <v>43952</v>
      </c>
      <c r="AO153" s="131">
        <v>94.82</v>
      </c>
      <c r="AP153" s="60">
        <v>110.33</v>
      </c>
      <c r="AS153" s="122">
        <v>43952</v>
      </c>
      <c r="AT153" s="54">
        <v>592.20000000000005</v>
      </c>
    </row>
    <row r="154" spans="1:46" ht="15.6" x14ac:dyDescent="0.3">
      <c r="A154" s="76">
        <v>45809</v>
      </c>
      <c r="B154" s="77">
        <v>0.64380000000000004</v>
      </c>
      <c r="C154" s="77">
        <v>0.57320000000000004</v>
      </c>
      <c r="D154" s="77">
        <v>0.33929999999999999</v>
      </c>
      <c r="E154" s="77">
        <v>0.36320000000000002</v>
      </c>
      <c r="F154" s="77">
        <v>0.93310000000000004</v>
      </c>
      <c r="G154" s="77">
        <v>0.30830000000000002</v>
      </c>
      <c r="H154" s="77">
        <v>60.474299999999999</v>
      </c>
      <c r="I154" s="77">
        <v>0.69450000000000001</v>
      </c>
      <c r="J154" s="77">
        <v>4.0046999999999997</v>
      </c>
      <c r="K154" s="77">
        <v>0.51800000000000002</v>
      </c>
      <c r="L154" s="77">
        <v>0.41949999999999998</v>
      </c>
      <c r="M154" s="77">
        <v>1.1447000000000001</v>
      </c>
      <c r="N154" s="77">
        <v>3.0127000000000002</v>
      </c>
      <c r="U154" s="76">
        <v>45778</v>
      </c>
      <c r="V154" s="125">
        <f t="shared" si="21"/>
        <v>1.5458339774308238</v>
      </c>
      <c r="W154" s="123">
        <f t="shared" si="22"/>
        <v>1.7298045320878743</v>
      </c>
      <c r="X154" s="123">
        <f t="shared" si="23"/>
        <v>2.9086678301337989</v>
      </c>
      <c r="Y154" s="123">
        <f t="shared" si="24"/>
        <v>2.7092928745597402</v>
      </c>
      <c r="Z154" s="123">
        <f t="shared" si="25"/>
        <v>1.0722710701265281</v>
      </c>
      <c r="AA154" s="123">
        <f t="shared" si="26"/>
        <v>3.2133676092544992</v>
      </c>
      <c r="AB154" s="123">
        <f t="shared" si="27"/>
        <v>1.6599135848987701E-2</v>
      </c>
      <c r="AC154" s="127">
        <f t="shared" si="28"/>
        <v>1.4255167498218104</v>
      </c>
      <c r="AD154" s="123">
        <f t="shared" si="29"/>
        <v>0.24843486037960846</v>
      </c>
      <c r="AE154" s="123">
        <f t="shared" si="30"/>
        <v>1.838235294117647</v>
      </c>
      <c r="AF154" s="129">
        <f t="shared" si="31"/>
        <v>2.3963575365444525</v>
      </c>
      <c r="AG154" s="123">
        <f t="shared" si="32"/>
        <v>0.8714596949891068</v>
      </c>
      <c r="AH154" s="123">
        <f t="shared" si="33"/>
        <v>0.331928170743851</v>
      </c>
      <c r="AN154" s="122">
        <v>43983</v>
      </c>
      <c r="AO154" s="131">
        <v>92.88</v>
      </c>
      <c r="AP154" s="60">
        <v>106.74</v>
      </c>
      <c r="AS154" s="122">
        <v>43983</v>
      </c>
      <c r="AT154" s="54">
        <v>607.1</v>
      </c>
    </row>
    <row r="155" spans="1:46" ht="15.6" x14ac:dyDescent="0.3">
      <c r="A155" s="76">
        <v>45839</v>
      </c>
      <c r="B155" s="77">
        <v>0.6391</v>
      </c>
      <c r="C155" s="77">
        <v>0.57289999999999996</v>
      </c>
      <c r="D155" s="77">
        <v>0.33200000000000002</v>
      </c>
      <c r="E155" s="77">
        <v>0.35749999999999998</v>
      </c>
      <c r="F155" s="77">
        <v>0.93230000000000002</v>
      </c>
      <c r="G155" s="77">
        <v>0.309</v>
      </c>
      <c r="H155" s="77">
        <v>61.383600000000001</v>
      </c>
      <c r="I155" s="77">
        <v>0.69669999999999999</v>
      </c>
      <c r="J155" s="77">
        <v>4.0095000000000001</v>
      </c>
      <c r="K155" s="77">
        <v>0.54020000000000001</v>
      </c>
      <c r="L155" s="77">
        <v>0.41909999999999997</v>
      </c>
      <c r="M155" s="77">
        <v>1.1433</v>
      </c>
      <c r="N155" s="77">
        <v>3.0059999999999998</v>
      </c>
      <c r="U155" s="76">
        <v>45809</v>
      </c>
      <c r="V155" s="125">
        <f t="shared" si="21"/>
        <v>1.5532774153463809</v>
      </c>
      <c r="W155" s="123">
        <f t="shared" si="22"/>
        <v>1.7445917655268666</v>
      </c>
      <c r="X155" s="123">
        <f t="shared" si="23"/>
        <v>2.9472443265546713</v>
      </c>
      <c r="Y155" s="123">
        <f t="shared" si="24"/>
        <v>2.7533039647577091</v>
      </c>
      <c r="Z155" s="123">
        <f t="shared" si="25"/>
        <v>1.0716964955524595</v>
      </c>
      <c r="AA155" s="123">
        <f t="shared" si="26"/>
        <v>3.2435939020434641</v>
      </c>
      <c r="AB155" s="123">
        <f t="shared" si="27"/>
        <v>1.6535949982058495E-2</v>
      </c>
      <c r="AC155" s="127">
        <f t="shared" si="28"/>
        <v>1.4398848092152627</v>
      </c>
      <c r="AD155" s="123">
        <f t="shared" si="29"/>
        <v>0.24970659475116741</v>
      </c>
      <c r="AE155" s="123">
        <f t="shared" si="30"/>
        <v>1.9305019305019304</v>
      </c>
      <c r="AF155" s="129">
        <f t="shared" si="31"/>
        <v>2.3837902264600714</v>
      </c>
      <c r="AG155" s="123">
        <f t="shared" si="32"/>
        <v>0.87359133397396693</v>
      </c>
      <c r="AH155" s="123">
        <f t="shared" si="33"/>
        <v>0.331928170743851</v>
      </c>
      <c r="AN155" s="122">
        <v>44013</v>
      </c>
      <c r="AO155" s="131">
        <v>91.21</v>
      </c>
      <c r="AP155" s="60">
        <v>104.8</v>
      </c>
      <c r="AS155" s="122">
        <v>44013</v>
      </c>
      <c r="AT155" s="54">
        <v>616.9</v>
      </c>
    </row>
    <row r="156" spans="1:46" ht="15.6" x14ac:dyDescent="0.3">
      <c r="A156" s="76">
        <v>45870</v>
      </c>
      <c r="B156" s="77">
        <v>0.64019999999999999</v>
      </c>
      <c r="C156" s="77">
        <v>0.57440000000000002</v>
      </c>
      <c r="D156" s="77">
        <v>0.33339999999999997</v>
      </c>
      <c r="E156" s="77">
        <v>0.3569</v>
      </c>
      <c r="F156" s="77">
        <v>0.93169999999999997</v>
      </c>
      <c r="G156" s="77">
        <v>0.30859999999999999</v>
      </c>
      <c r="H156" s="77">
        <v>61.323599999999999</v>
      </c>
      <c r="I156" s="77">
        <v>0.70399999999999996</v>
      </c>
      <c r="J156" s="77">
        <v>3.9889000000000001</v>
      </c>
      <c r="K156" s="77">
        <v>0.53879999999999995</v>
      </c>
      <c r="L156" s="77">
        <v>0.41649999999999998</v>
      </c>
      <c r="M156" s="77">
        <v>1.1391</v>
      </c>
      <c r="N156" s="77">
        <v>2.9887000000000001</v>
      </c>
      <c r="U156" s="76">
        <v>45839</v>
      </c>
      <c r="V156" s="125">
        <f t="shared" si="21"/>
        <v>1.5647003598810827</v>
      </c>
      <c r="W156" s="123">
        <f t="shared" si="22"/>
        <v>1.7455053237912377</v>
      </c>
      <c r="X156" s="123">
        <f t="shared" si="23"/>
        <v>3.012048192771084</v>
      </c>
      <c r="Y156" s="123">
        <f t="shared" si="24"/>
        <v>2.7972027972027975</v>
      </c>
      <c r="Z156" s="123">
        <f t="shared" si="25"/>
        <v>1.0726161106939827</v>
      </c>
      <c r="AA156" s="123">
        <f t="shared" si="26"/>
        <v>3.2362459546925568</v>
      </c>
      <c r="AB156" s="123">
        <f t="shared" si="27"/>
        <v>1.6290996292169242E-2</v>
      </c>
      <c r="AC156" s="127">
        <f t="shared" si="28"/>
        <v>1.4353380221042056</v>
      </c>
      <c r="AD156" s="123">
        <f t="shared" si="29"/>
        <v>0.24940765681506422</v>
      </c>
      <c r="AE156" s="123">
        <f t="shared" si="30"/>
        <v>1.8511662347278786</v>
      </c>
      <c r="AF156" s="129">
        <f t="shared" si="31"/>
        <v>2.3860653781913626</v>
      </c>
      <c r="AG156" s="123">
        <f t="shared" si="32"/>
        <v>0.87466106883582617</v>
      </c>
      <c r="AH156" s="123">
        <f t="shared" si="33"/>
        <v>0.33266799733865604</v>
      </c>
      <c r="AN156" s="122">
        <v>44044</v>
      </c>
      <c r="AO156" s="131">
        <v>90.77</v>
      </c>
      <c r="AP156" s="60">
        <v>104.23</v>
      </c>
      <c r="AS156" s="122">
        <v>44044</v>
      </c>
      <c r="AT156" s="54">
        <v>624.70000000000005</v>
      </c>
    </row>
    <row r="157" spans="1:46" ht="15.6" x14ac:dyDescent="0.3">
      <c r="A157" s="76">
        <v>45901</v>
      </c>
      <c r="B157" s="77">
        <v>0.63200000000000001</v>
      </c>
      <c r="C157" s="77">
        <v>0.57640000000000002</v>
      </c>
      <c r="D157" s="77">
        <v>0.3301</v>
      </c>
      <c r="E157" s="77">
        <v>0.3548</v>
      </c>
      <c r="F157" s="77">
        <v>0.92959999999999998</v>
      </c>
      <c r="G157" s="77">
        <v>0.30790000000000001</v>
      </c>
      <c r="H157" s="77">
        <v>61.564100000000003</v>
      </c>
      <c r="I157" s="77">
        <v>0.70740000000000003</v>
      </c>
      <c r="J157" s="77">
        <v>3.9083999999999999</v>
      </c>
      <c r="K157" s="77">
        <v>0.53959999999999997</v>
      </c>
      <c r="L157" s="77">
        <v>0.4173</v>
      </c>
      <c r="M157" s="77">
        <v>1.1464000000000001</v>
      </c>
      <c r="N157" s="77">
        <v>2.9737</v>
      </c>
      <c r="U157" s="76">
        <v>45870</v>
      </c>
      <c r="V157" s="125">
        <f t="shared" si="21"/>
        <v>1.5620118712902218</v>
      </c>
      <c r="W157" s="123">
        <f t="shared" si="22"/>
        <v>1.7409470752089136</v>
      </c>
      <c r="X157" s="123">
        <f t="shared" si="23"/>
        <v>2.9994001199760052</v>
      </c>
      <c r="Y157" s="123">
        <f t="shared" si="24"/>
        <v>2.8019052956010086</v>
      </c>
      <c r="Z157" s="123">
        <f t="shared" si="25"/>
        <v>1.0733068584308254</v>
      </c>
      <c r="AA157" s="123">
        <f t="shared" si="26"/>
        <v>3.2404406999351911</v>
      </c>
      <c r="AB157" s="123">
        <f t="shared" si="27"/>
        <v>1.630693566587741E-2</v>
      </c>
      <c r="AC157" s="127">
        <f t="shared" si="28"/>
        <v>1.4204545454545456</v>
      </c>
      <c r="AD157" s="123">
        <f t="shared" si="29"/>
        <v>0.25069568051342472</v>
      </c>
      <c r="AE157" s="123">
        <f t="shared" si="30"/>
        <v>1.8559762435040834</v>
      </c>
      <c r="AF157" s="129">
        <f t="shared" si="31"/>
        <v>2.4009603841536618</v>
      </c>
      <c r="AG157" s="123">
        <f t="shared" si="32"/>
        <v>0.87788605039065926</v>
      </c>
      <c r="AH157" s="123">
        <f t="shared" si="33"/>
        <v>0.33459363602904274</v>
      </c>
      <c r="AN157" s="122">
        <v>44075</v>
      </c>
      <c r="AO157" s="131">
        <v>90.14</v>
      </c>
      <c r="AP157" s="60">
        <v>103.91</v>
      </c>
      <c r="AS157" s="122">
        <v>44075</v>
      </c>
      <c r="AT157" s="54">
        <v>640.79999999999995</v>
      </c>
    </row>
    <row r="158" spans="1:46" ht="15.6" x14ac:dyDescent="0.3">
      <c r="A158" s="76">
        <v>45931</v>
      </c>
      <c r="B158" s="77">
        <v>0.63180000000000003</v>
      </c>
      <c r="C158" s="77">
        <v>0.57930000000000004</v>
      </c>
      <c r="D158" s="77">
        <v>0.32840000000000003</v>
      </c>
      <c r="E158" s="77">
        <v>0.35489999999999999</v>
      </c>
      <c r="F158" s="77">
        <v>0.92720000000000002</v>
      </c>
      <c r="G158" s="77">
        <v>0.30890000000000001</v>
      </c>
      <c r="H158" s="77">
        <v>62.502499999999998</v>
      </c>
      <c r="I158" s="77">
        <v>0.71740000000000004</v>
      </c>
      <c r="J158" s="77">
        <v>3.9041000000000001</v>
      </c>
      <c r="K158" s="77">
        <v>0.54039999999999999</v>
      </c>
      <c r="L158" s="77">
        <v>0.41449999999999998</v>
      </c>
      <c r="M158" s="77">
        <v>1.1489</v>
      </c>
      <c r="N158" s="77">
        <v>2.9517000000000002</v>
      </c>
      <c r="U158" s="76">
        <v>45901</v>
      </c>
      <c r="V158" s="125">
        <f t="shared" si="21"/>
        <v>1.5822784810126582</v>
      </c>
      <c r="W158" s="123">
        <f t="shared" si="22"/>
        <v>1.7349063150589867</v>
      </c>
      <c r="X158" s="123">
        <f t="shared" si="23"/>
        <v>3.0293850348379276</v>
      </c>
      <c r="Y158" s="123">
        <f t="shared" si="24"/>
        <v>2.818489289740699</v>
      </c>
      <c r="Z158" s="123">
        <f t="shared" si="25"/>
        <v>1.0757314974182444</v>
      </c>
      <c r="AA158" s="123">
        <f t="shared" si="26"/>
        <v>3.2478077297823966</v>
      </c>
      <c r="AB158" s="123">
        <f t="shared" si="27"/>
        <v>1.6243232663191696E-2</v>
      </c>
      <c r="AC158" s="127">
        <f t="shared" si="28"/>
        <v>1.4136273678258411</v>
      </c>
      <c r="AD158" s="123">
        <f t="shared" si="29"/>
        <v>0.25585917511001943</v>
      </c>
      <c r="AE158" s="123">
        <f t="shared" si="30"/>
        <v>1.8532246108228319</v>
      </c>
      <c r="AF158" s="129">
        <f t="shared" si="31"/>
        <v>2.3963575365444525</v>
      </c>
      <c r="AG158" s="123">
        <f t="shared" si="32"/>
        <v>0.87229588276343328</v>
      </c>
      <c r="AH158" s="123">
        <f t="shared" si="33"/>
        <v>0.33628140027575076</v>
      </c>
      <c r="AN158" s="122">
        <v>44105</v>
      </c>
      <c r="AO158" s="131">
        <v>89.06</v>
      </c>
      <c r="AP158" s="60">
        <v>102.54</v>
      </c>
      <c r="AS158" s="122">
        <v>44105</v>
      </c>
      <c r="AT158" s="54">
        <v>655.20000000000005</v>
      </c>
    </row>
    <row r="159" spans="1:46" ht="15.6" x14ac:dyDescent="0.3">
      <c r="A159" s="76">
        <v>45962</v>
      </c>
      <c r="B159" s="77">
        <v>0.63229999999999997</v>
      </c>
      <c r="C159" s="77">
        <v>0.57869999999999999</v>
      </c>
      <c r="D159" s="77">
        <v>0.32869999999999999</v>
      </c>
      <c r="E159" s="77">
        <v>0.35539999999999999</v>
      </c>
      <c r="F159" s="77">
        <v>0.92900000000000005</v>
      </c>
      <c r="G159" s="77">
        <v>0.31240000000000001</v>
      </c>
      <c r="H159" s="77">
        <v>63.7896</v>
      </c>
      <c r="I159" s="77">
        <v>0.72760000000000002</v>
      </c>
      <c r="J159" s="77">
        <v>3.9129999999999998</v>
      </c>
      <c r="K159" s="77">
        <v>0.54039999999999999</v>
      </c>
      <c r="L159" s="77">
        <v>0.41210000000000002</v>
      </c>
      <c r="M159" s="77">
        <v>1.151</v>
      </c>
      <c r="N159" s="77">
        <v>2.9291999999999998</v>
      </c>
      <c r="U159" s="76">
        <v>45931</v>
      </c>
      <c r="V159" s="125">
        <f t="shared" si="21"/>
        <v>1.5827793605571383</v>
      </c>
      <c r="W159" s="123">
        <f t="shared" si="22"/>
        <v>1.7262213015708612</v>
      </c>
      <c r="X159" s="123">
        <f t="shared" si="23"/>
        <v>3.0450669914738122</v>
      </c>
      <c r="Y159" s="123">
        <f t="shared" si="24"/>
        <v>2.8176951253874329</v>
      </c>
      <c r="Z159" s="123">
        <f t="shared" si="25"/>
        <v>1.0785159620362381</v>
      </c>
      <c r="AA159" s="123">
        <f t="shared" si="26"/>
        <v>3.2372936225315634</v>
      </c>
      <c r="AB159" s="123">
        <f t="shared" si="27"/>
        <v>1.5999360025598975E-2</v>
      </c>
      <c r="AC159" s="127">
        <f t="shared" si="28"/>
        <v>1.3939224979091163</v>
      </c>
      <c r="AD159" s="123">
        <f t="shared" si="29"/>
        <v>0.25614097999538943</v>
      </c>
      <c r="AE159" s="123">
        <f t="shared" si="30"/>
        <v>1.8504811250925242</v>
      </c>
      <c r="AF159" s="129">
        <f t="shared" si="31"/>
        <v>2.4125452352231607</v>
      </c>
      <c r="AG159" s="123">
        <f t="shared" si="32"/>
        <v>0.87039777178170419</v>
      </c>
      <c r="AH159" s="123">
        <f t="shared" si="33"/>
        <v>0.33878781719009382</v>
      </c>
      <c r="AN159" s="122">
        <v>44136</v>
      </c>
      <c r="AO159" s="131">
        <v>87.59</v>
      </c>
      <c r="AP159" s="134">
        <v>101.21</v>
      </c>
      <c r="AS159" s="122">
        <v>44136</v>
      </c>
      <c r="AT159" s="54">
        <v>681.4</v>
      </c>
    </row>
    <row r="160" spans="1:46" ht="15.6" x14ac:dyDescent="0.3">
      <c r="A160" s="76">
        <v>45992</v>
      </c>
      <c r="B160" s="77">
        <v>0.62490000000000001</v>
      </c>
      <c r="C160" s="77">
        <v>0.5736</v>
      </c>
      <c r="D160" s="77">
        <v>0.32900000000000001</v>
      </c>
      <c r="E160" s="77">
        <v>0.35399999999999998</v>
      </c>
      <c r="F160" s="77">
        <v>0.92979999999999996</v>
      </c>
      <c r="G160" s="77">
        <v>0.3095</v>
      </c>
      <c r="H160" s="77">
        <v>64.647199999999998</v>
      </c>
      <c r="I160" s="77">
        <v>0.71679999999999999</v>
      </c>
      <c r="J160" s="77">
        <v>3.8614000000000002</v>
      </c>
      <c r="K160" s="77">
        <v>0.54010000000000002</v>
      </c>
      <c r="L160" s="77">
        <v>0.41560000000000002</v>
      </c>
      <c r="M160" s="77">
        <v>1.1475</v>
      </c>
      <c r="N160" s="77">
        <v>2.9291</v>
      </c>
      <c r="U160" s="76">
        <v>45962</v>
      </c>
      <c r="V160" s="125">
        <f t="shared" ref="V160:V222" si="34">1/B159</f>
        <v>1.5815277558121146</v>
      </c>
      <c r="W160" s="123">
        <f t="shared" si="22"/>
        <v>1.7280110592707794</v>
      </c>
      <c r="X160" s="123">
        <f t="shared" si="23"/>
        <v>3.0422878004259202</v>
      </c>
      <c r="Y160" s="123">
        <f t="shared" si="24"/>
        <v>2.8137310073157007</v>
      </c>
      <c r="Z160" s="123">
        <f t="shared" si="25"/>
        <v>1.0764262648008611</v>
      </c>
      <c r="AA160" s="123">
        <f t="shared" si="26"/>
        <v>3.2010243277848911</v>
      </c>
      <c r="AB160" s="123">
        <f t="shared" si="27"/>
        <v>1.5676536614118917E-2</v>
      </c>
      <c r="AC160" s="127">
        <f t="shared" si="28"/>
        <v>1.3743815283122593</v>
      </c>
      <c r="AD160" s="123">
        <f t="shared" si="29"/>
        <v>0.25555839509327882</v>
      </c>
      <c r="AE160" s="123">
        <f t="shared" si="30"/>
        <v>1.8504811250925242</v>
      </c>
      <c r="AF160" s="129">
        <f t="shared" si="31"/>
        <v>2.4265954865323951</v>
      </c>
      <c r="AG160" s="123">
        <f t="shared" si="32"/>
        <v>0.86880973066898348</v>
      </c>
      <c r="AH160" s="123">
        <f t="shared" si="33"/>
        <v>0.34139014065273798</v>
      </c>
      <c r="AN160" s="122">
        <v>44166</v>
      </c>
      <c r="AO160" s="131">
        <v>86.55</v>
      </c>
      <c r="AP160" s="60">
        <v>99.65</v>
      </c>
      <c r="AS160" s="122">
        <v>44166</v>
      </c>
      <c r="AT160" s="54">
        <v>707.5</v>
      </c>
    </row>
    <row r="161" spans="1:46" ht="15.6" x14ac:dyDescent="0.3">
      <c r="A161" s="76">
        <v>44136</v>
      </c>
      <c r="B161" s="123">
        <v>0.59589999999999999</v>
      </c>
      <c r="C161" s="123">
        <v>0.56840000000000002</v>
      </c>
      <c r="D161" s="123">
        <v>0.39400000000000002</v>
      </c>
      <c r="E161" s="123">
        <v>0.3669</v>
      </c>
      <c r="F161" s="123">
        <v>0.88570000000000004</v>
      </c>
      <c r="G161" s="123">
        <v>0.32840000000000003</v>
      </c>
      <c r="H161" s="123">
        <v>45.356499999999997</v>
      </c>
      <c r="I161" s="123">
        <v>0.63260000000000005</v>
      </c>
      <c r="J161" s="123">
        <v>3.7574999999999998</v>
      </c>
      <c r="K161" s="123">
        <v>0.58830000000000005</v>
      </c>
      <c r="L161" s="123">
        <v>0.43509999999999999</v>
      </c>
      <c r="M161" s="123">
        <v>1.0481</v>
      </c>
      <c r="N161" s="123">
        <v>2.8306</v>
      </c>
      <c r="U161" s="76">
        <v>45992</v>
      </c>
      <c r="V161" s="125">
        <f t="shared" si="34"/>
        <v>1.6002560409665547</v>
      </c>
      <c r="W161" s="123">
        <f t="shared" si="22"/>
        <v>1.7433751743375174</v>
      </c>
      <c r="X161" s="123">
        <f t="shared" si="23"/>
        <v>3.0395136778115499</v>
      </c>
      <c r="Y161" s="123">
        <f t="shared" si="24"/>
        <v>2.8248587570621471</v>
      </c>
      <c r="Z161" s="123">
        <f t="shared" si="25"/>
        <v>1.0755001075500108</v>
      </c>
      <c r="AA161" s="123">
        <f t="shared" si="26"/>
        <v>3.2310177705977385</v>
      </c>
      <c r="AB161" s="123">
        <f t="shared" si="27"/>
        <v>1.5468574044970238E-2</v>
      </c>
      <c r="AC161" s="127">
        <f t="shared" si="28"/>
        <v>1.3950892857142858</v>
      </c>
      <c r="AD161" s="123">
        <f t="shared" si="29"/>
        <v>0.25897342932615114</v>
      </c>
      <c r="AE161" s="123">
        <f t="shared" si="30"/>
        <v>1.851508979818552</v>
      </c>
      <c r="AF161" s="129">
        <f t="shared" si="31"/>
        <v>2.4061597690086622</v>
      </c>
      <c r="AG161" s="123">
        <f t="shared" si="32"/>
        <v>0.8714596949891068</v>
      </c>
      <c r="AH161" s="123">
        <f t="shared" si="33"/>
        <v>0.34140179577344576</v>
      </c>
      <c r="AN161" s="122">
        <v>44197</v>
      </c>
      <c r="AO161" s="131">
        <v>85.68</v>
      </c>
      <c r="AP161" s="132">
        <v>99.87</v>
      </c>
      <c r="AS161" s="122">
        <v>44197</v>
      </c>
      <c r="AT161" s="54">
        <v>706.9</v>
      </c>
    </row>
    <row r="162" spans="1:46" ht="15.6" x14ac:dyDescent="0.3">
      <c r="A162" s="76">
        <v>44166</v>
      </c>
      <c r="B162" s="123">
        <v>0.58130000000000004</v>
      </c>
      <c r="C162" s="123">
        <v>0.56169999999999998</v>
      </c>
      <c r="D162" s="123">
        <v>0.38750000000000001</v>
      </c>
      <c r="E162" s="123">
        <v>0.35980000000000001</v>
      </c>
      <c r="F162" s="123">
        <v>0.87729999999999997</v>
      </c>
      <c r="G162" s="123">
        <v>0.32550000000000001</v>
      </c>
      <c r="H162" s="123">
        <v>45.429600000000001</v>
      </c>
      <c r="I162" s="123">
        <v>0.61739999999999995</v>
      </c>
      <c r="J162" s="123">
        <v>3.6669</v>
      </c>
      <c r="K162" s="123">
        <v>0.58660000000000001</v>
      </c>
      <c r="L162" s="123">
        <v>0.43819999999999998</v>
      </c>
      <c r="M162" s="123">
        <v>1.036</v>
      </c>
      <c r="N162" s="123">
        <v>2.8506999999999998</v>
      </c>
      <c r="U162" s="76">
        <v>44136</v>
      </c>
      <c r="V162" s="125">
        <f t="shared" si="34"/>
        <v>1.6781339150864238</v>
      </c>
      <c r="W162" s="123">
        <f t="shared" si="22"/>
        <v>1.7593244194229416</v>
      </c>
      <c r="X162" s="123">
        <f t="shared" si="23"/>
        <v>2.5380710659898478</v>
      </c>
      <c r="Y162" s="123">
        <f t="shared" si="24"/>
        <v>2.7255382938130279</v>
      </c>
      <c r="Z162" s="123">
        <f t="shared" si="25"/>
        <v>1.1290504685559444</v>
      </c>
      <c r="AA162" s="123">
        <f t="shared" si="26"/>
        <v>3.0450669914738122</v>
      </c>
      <c r="AB162" s="123">
        <f t="shared" si="27"/>
        <v>2.2047556579542073E-2</v>
      </c>
      <c r="AC162" s="127">
        <f t="shared" si="28"/>
        <v>1.5807777426493834</v>
      </c>
      <c r="AD162" s="123">
        <f t="shared" si="29"/>
        <v>0.26613439787092485</v>
      </c>
      <c r="AE162" s="123">
        <f t="shared" si="30"/>
        <v>1.6998130205677373</v>
      </c>
      <c r="AF162" s="129">
        <f t="shared" si="31"/>
        <v>2.2983222247759136</v>
      </c>
      <c r="AG162" s="123">
        <f t="shared" si="32"/>
        <v>0.95410743249689911</v>
      </c>
      <c r="AH162" s="123">
        <f t="shared" si="33"/>
        <v>0.35328198968416591</v>
      </c>
      <c r="AN162" s="122">
        <v>44228</v>
      </c>
      <c r="AO162" s="131">
        <v>85.55</v>
      </c>
      <c r="AP162" s="60">
        <v>100.85</v>
      </c>
      <c r="AS162" s="122">
        <v>44228</v>
      </c>
      <c r="AT162" s="54">
        <v>703.4</v>
      </c>
    </row>
    <row r="163" spans="1:46" ht="15.6" x14ac:dyDescent="0.3">
      <c r="A163" s="76">
        <v>44228</v>
      </c>
      <c r="B163" s="77">
        <v>0.5605</v>
      </c>
      <c r="C163" s="77">
        <v>0.55310000000000004</v>
      </c>
      <c r="D163" s="77">
        <v>0.3886</v>
      </c>
      <c r="E163" s="77">
        <v>0.3594</v>
      </c>
      <c r="F163" s="77">
        <v>0.85970000000000002</v>
      </c>
      <c r="G163" s="77">
        <v>0.31359999999999999</v>
      </c>
      <c r="H163" s="77">
        <v>45.780099999999997</v>
      </c>
      <c r="I163" s="77">
        <v>0.60089999999999999</v>
      </c>
      <c r="J163" s="77">
        <v>3.6278999999999999</v>
      </c>
      <c r="K163" s="77">
        <v>0.58079999999999998</v>
      </c>
      <c r="L163" s="77">
        <v>0.43580000000000002</v>
      </c>
      <c r="M163" s="77">
        <v>1.0181</v>
      </c>
      <c r="N163" s="77">
        <v>2.8351999999999999</v>
      </c>
      <c r="U163" s="76">
        <v>44166</v>
      </c>
      <c r="V163" s="125">
        <f t="shared" si="34"/>
        <v>1.720282126268708</v>
      </c>
      <c r="W163" s="123">
        <f t="shared" si="22"/>
        <v>1.7803097739006588</v>
      </c>
      <c r="X163" s="123">
        <f t="shared" si="23"/>
        <v>2.5806451612903225</v>
      </c>
      <c r="Y163" s="123">
        <f t="shared" si="24"/>
        <v>2.7793218454697053</v>
      </c>
      <c r="Z163" s="123">
        <f t="shared" si="25"/>
        <v>1.1398609369656902</v>
      </c>
      <c r="AA163" s="123">
        <f t="shared" si="26"/>
        <v>3.0721966205837172</v>
      </c>
      <c r="AB163" s="123">
        <f t="shared" si="27"/>
        <v>2.201208022963002E-2</v>
      </c>
      <c r="AC163" s="127">
        <f t="shared" si="28"/>
        <v>1.6196954972465178</v>
      </c>
      <c r="AD163" s="123">
        <f t="shared" si="29"/>
        <v>0.27270991845973436</v>
      </c>
      <c r="AE163" s="123">
        <f t="shared" si="30"/>
        <v>1.7047391749062393</v>
      </c>
      <c r="AF163" s="129">
        <f t="shared" si="31"/>
        <v>2.2820629849383844</v>
      </c>
      <c r="AG163" s="123">
        <f t="shared" si="32"/>
        <v>0.96525096525096521</v>
      </c>
      <c r="AH163" s="123">
        <f t="shared" si="33"/>
        <v>0.3507910337811766</v>
      </c>
      <c r="AN163" s="122">
        <v>44256</v>
      </c>
      <c r="AO163" s="131">
        <v>87.94</v>
      </c>
      <c r="AP163" s="60">
        <v>105.15</v>
      </c>
      <c r="AS163" s="122">
        <v>44256</v>
      </c>
      <c r="AT163" s="54">
        <v>707.6</v>
      </c>
    </row>
    <row r="164" spans="1:46" ht="15.6" x14ac:dyDescent="0.3">
      <c r="A164" s="76">
        <v>44256</v>
      </c>
      <c r="B164" s="77">
        <v>0.56769999999999998</v>
      </c>
      <c r="C164" s="77">
        <v>0.55179999999999996</v>
      </c>
      <c r="D164" s="77">
        <v>0.40500000000000003</v>
      </c>
      <c r="E164" s="77">
        <v>0.36770000000000003</v>
      </c>
      <c r="F164" s="77">
        <v>0.86799999999999999</v>
      </c>
      <c r="G164" s="77">
        <v>0.31569999999999998</v>
      </c>
      <c r="H164" s="77">
        <v>47.558100000000003</v>
      </c>
      <c r="I164" s="77">
        <v>0.61339999999999995</v>
      </c>
      <c r="J164" s="77">
        <v>3.7410000000000001</v>
      </c>
      <c r="K164" s="77">
        <v>0.59179999999999999</v>
      </c>
      <c r="L164" s="77">
        <v>0.439</v>
      </c>
      <c r="M164" s="77">
        <v>1.03</v>
      </c>
      <c r="N164" s="77">
        <v>2.8561999999999999</v>
      </c>
      <c r="U164" s="76">
        <v>44228</v>
      </c>
      <c r="V164" s="125">
        <f t="shared" si="34"/>
        <v>1.784121320249777</v>
      </c>
      <c r="W164" s="123">
        <f t="shared" si="22"/>
        <v>1.8079913216416561</v>
      </c>
      <c r="X164" s="123">
        <f t="shared" si="23"/>
        <v>2.5733401955738548</v>
      </c>
      <c r="Y164" s="123">
        <f t="shared" si="24"/>
        <v>2.7824151363383418</v>
      </c>
      <c r="Z164" s="123">
        <f t="shared" si="25"/>
        <v>1.1631964638827497</v>
      </c>
      <c r="AA164" s="123">
        <f t="shared" si="26"/>
        <v>3.1887755102040818</v>
      </c>
      <c r="AB164" s="123">
        <f t="shared" si="27"/>
        <v>2.1843552111070096E-2</v>
      </c>
      <c r="AC164" s="127">
        <f t="shared" si="28"/>
        <v>1.6641704110500914</v>
      </c>
      <c r="AD164" s="123">
        <f t="shared" si="29"/>
        <v>0.27564155572094051</v>
      </c>
      <c r="AE164" s="123">
        <f t="shared" si="30"/>
        <v>1.721763085399449</v>
      </c>
      <c r="AF164" s="129">
        <f t="shared" si="31"/>
        <v>2.2946305644791187</v>
      </c>
      <c r="AG164" s="123">
        <f t="shared" si="32"/>
        <v>0.98222178567920637</v>
      </c>
      <c r="AH164" s="123">
        <f t="shared" si="33"/>
        <v>0.35270880361173818</v>
      </c>
      <c r="AN164" s="122">
        <v>44287</v>
      </c>
      <c r="AO164" s="131">
        <v>87.2</v>
      </c>
      <c r="AP164" s="60">
        <v>104.55</v>
      </c>
      <c r="AS164" s="122">
        <v>44287</v>
      </c>
      <c r="AT164" s="54">
        <v>712.3</v>
      </c>
    </row>
    <row r="165" spans="1:46" ht="15.6" x14ac:dyDescent="0.3">
      <c r="A165" s="76">
        <v>44287</v>
      </c>
      <c r="B165" s="77">
        <v>0.56969999999999998</v>
      </c>
      <c r="C165" s="77">
        <v>0.55000000000000004</v>
      </c>
      <c r="D165" s="77">
        <v>0.40339999999999998</v>
      </c>
      <c r="E165" s="77">
        <v>0.36670000000000003</v>
      </c>
      <c r="F165" s="77">
        <v>0.87060000000000004</v>
      </c>
      <c r="G165" s="77">
        <v>0.317</v>
      </c>
      <c r="H165" s="77">
        <v>47.837899999999998</v>
      </c>
      <c r="I165" s="77">
        <v>0.61599999999999999</v>
      </c>
      <c r="J165" s="77">
        <v>3.7332000000000001</v>
      </c>
      <c r="K165" s="77">
        <v>0.58919999999999995</v>
      </c>
      <c r="L165" s="77">
        <v>0.44009999999999999</v>
      </c>
      <c r="M165" s="77">
        <v>1.0351999999999999</v>
      </c>
      <c r="N165" s="77">
        <v>2.8632</v>
      </c>
      <c r="U165" s="76">
        <v>44256</v>
      </c>
      <c r="V165" s="125">
        <f t="shared" si="34"/>
        <v>1.7614937466971994</v>
      </c>
      <c r="W165" s="123">
        <f t="shared" si="22"/>
        <v>1.8122508155128672</v>
      </c>
      <c r="X165" s="123">
        <f t="shared" si="23"/>
        <v>2.4691358024691357</v>
      </c>
      <c r="Y165" s="123">
        <f t="shared" si="24"/>
        <v>2.7196083763937993</v>
      </c>
      <c r="Z165" s="123">
        <f t="shared" si="25"/>
        <v>1.1520737327188941</v>
      </c>
      <c r="AA165" s="123">
        <f t="shared" si="26"/>
        <v>3.1675641431738994</v>
      </c>
      <c r="AB165" s="123">
        <f t="shared" si="27"/>
        <v>2.1026912345110504E-2</v>
      </c>
      <c r="AC165" s="127">
        <f t="shared" si="28"/>
        <v>1.6302575806977504</v>
      </c>
      <c r="AD165" s="123">
        <f t="shared" si="29"/>
        <v>0.26730820636193531</v>
      </c>
      <c r="AE165" s="123">
        <f t="shared" si="30"/>
        <v>1.6897600540723217</v>
      </c>
      <c r="AF165" s="129">
        <f t="shared" si="31"/>
        <v>2.2779043280182232</v>
      </c>
      <c r="AG165" s="123">
        <f t="shared" si="32"/>
        <v>0.970873786407767</v>
      </c>
      <c r="AH165" s="123">
        <f t="shared" si="33"/>
        <v>0.35011553812758212</v>
      </c>
      <c r="AN165" s="122">
        <v>44317</v>
      </c>
      <c r="AO165" s="131">
        <v>88.28</v>
      </c>
      <c r="AP165" s="60">
        <v>105.46</v>
      </c>
      <c r="AS165" s="122">
        <v>44317</v>
      </c>
      <c r="AT165" s="54">
        <v>724.7</v>
      </c>
    </row>
    <row r="166" spans="1:46" ht="15.6" x14ac:dyDescent="0.3">
      <c r="A166" s="76">
        <v>44317</v>
      </c>
      <c r="B166" s="77">
        <v>0.57120000000000004</v>
      </c>
      <c r="C166" s="77">
        <v>0.53879999999999995</v>
      </c>
      <c r="D166" s="77">
        <v>0.39900000000000002</v>
      </c>
      <c r="E166" s="77">
        <v>0.36530000000000001</v>
      </c>
      <c r="F166" s="77">
        <v>0.87450000000000006</v>
      </c>
      <c r="G166" s="77">
        <v>0.315</v>
      </c>
      <c r="H166" s="77">
        <v>48.3874</v>
      </c>
      <c r="I166" s="77">
        <v>0.61419999999999997</v>
      </c>
      <c r="J166" s="77">
        <v>3.7109999999999999</v>
      </c>
      <c r="K166" s="77">
        <v>0.59319999999999995</v>
      </c>
      <c r="L166" s="77">
        <v>0.44450000000000001</v>
      </c>
      <c r="M166" s="77">
        <v>1.0425</v>
      </c>
      <c r="N166" s="77">
        <v>2.8915000000000002</v>
      </c>
      <c r="U166" s="76">
        <v>44287</v>
      </c>
      <c r="V166" s="125">
        <f t="shared" si="34"/>
        <v>1.7553098121818502</v>
      </c>
      <c r="W166" s="123">
        <f t="shared" si="22"/>
        <v>1.8181818181818181</v>
      </c>
      <c r="X166" s="123">
        <f t="shared" si="23"/>
        <v>2.478929102627665</v>
      </c>
      <c r="Y166" s="123">
        <f t="shared" si="24"/>
        <v>2.7270248159258248</v>
      </c>
      <c r="Z166" s="123">
        <f t="shared" si="25"/>
        <v>1.1486331265793706</v>
      </c>
      <c r="AA166" s="123">
        <f t="shared" si="26"/>
        <v>3.1545741324921135</v>
      </c>
      <c r="AB166" s="123">
        <f t="shared" si="27"/>
        <v>2.0903927638964086E-2</v>
      </c>
      <c r="AC166" s="127">
        <f t="shared" si="28"/>
        <v>1.6233766233766234</v>
      </c>
      <c r="AD166" s="123">
        <f t="shared" si="29"/>
        <v>0.2678667095253402</v>
      </c>
      <c r="AE166" s="123">
        <f t="shared" si="30"/>
        <v>1.697216564833673</v>
      </c>
      <c r="AF166" s="129">
        <f t="shared" si="31"/>
        <v>2.2722108611679164</v>
      </c>
      <c r="AG166" s="123">
        <f t="shared" si="32"/>
        <v>0.96599690880989186</v>
      </c>
      <c r="AH166" s="123">
        <f t="shared" si="33"/>
        <v>0.34925956971221012</v>
      </c>
      <c r="AN166" s="122">
        <v>44348</v>
      </c>
      <c r="AO166" s="131">
        <v>89.44</v>
      </c>
      <c r="AP166" s="60">
        <v>107.06</v>
      </c>
      <c r="AS166" s="122">
        <v>44348</v>
      </c>
      <c r="AT166" s="54">
        <v>765.2</v>
      </c>
    </row>
    <row r="167" spans="1:46" ht="15.6" x14ac:dyDescent="0.3">
      <c r="A167" s="76">
        <v>44348</v>
      </c>
      <c r="B167" s="77">
        <v>0.58399999999999996</v>
      </c>
      <c r="C167" s="77">
        <v>0.54649999999999999</v>
      </c>
      <c r="D167" s="77">
        <v>0.40389999999999998</v>
      </c>
      <c r="E167" s="77">
        <v>0.37059999999999998</v>
      </c>
      <c r="F167" s="77">
        <v>0.88670000000000004</v>
      </c>
      <c r="G167" s="77">
        <v>0.31809999999999999</v>
      </c>
      <c r="H167" s="77">
        <v>49.127899999999997</v>
      </c>
      <c r="I167" s="77">
        <v>0.62819999999999998</v>
      </c>
      <c r="J167" s="77">
        <v>3.7538999999999998</v>
      </c>
      <c r="K167" s="77">
        <v>0.59889999999999999</v>
      </c>
      <c r="L167" s="77">
        <v>0.4476</v>
      </c>
      <c r="M167" s="77">
        <v>1.0566</v>
      </c>
      <c r="N167" s="77">
        <v>2.9121999999999999</v>
      </c>
      <c r="U167" s="76">
        <v>44317</v>
      </c>
      <c r="V167" s="125">
        <f t="shared" si="34"/>
        <v>1.7507002801120446</v>
      </c>
      <c r="W167" s="123">
        <f t="shared" si="22"/>
        <v>1.8559762435040834</v>
      </c>
      <c r="X167" s="123">
        <f t="shared" si="23"/>
        <v>2.5062656641604009</v>
      </c>
      <c r="Y167" s="123">
        <f t="shared" si="24"/>
        <v>2.7374760470845878</v>
      </c>
      <c r="Z167" s="123">
        <f t="shared" si="25"/>
        <v>1.1435105774728416</v>
      </c>
      <c r="AA167" s="123">
        <f t="shared" si="26"/>
        <v>3.1746031746031744</v>
      </c>
      <c r="AB167" s="123">
        <f t="shared" si="27"/>
        <v>2.0666537156367154E-2</v>
      </c>
      <c r="AC167" s="127">
        <f t="shared" si="28"/>
        <v>1.6281341582546403</v>
      </c>
      <c r="AD167" s="123">
        <f t="shared" si="29"/>
        <v>0.2694691457828079</v>
      </c>
      <c r="AE167" s="123">
        <f t="shared" si="30"/>
        <v>1.6857720836142955</v>
      </c>
      <c r="AF167" s="129">
        <f t="shared" si="31"/>
        <v>2.2497187851518561</v>
      </c>
      <c r="AG167" s="123">
        <f t="shared" si="32"/>
        <v>0.95923261390887293</v>
      </c>
      <c r="AH167" s="123">
        <f t="shared" si="33"/>
        <v>0.34584125886218225</v>
      </c>
      <c r="AN167" s="122">
        <v>44378</v>
      </c>
      <c r="AO167">
        <v>89.23</v>
      </c>
      <c r="AP167" s="135">
        <v>107.22</v>
      </c>
      <c r="AS167" s="122">
        <v>44378</v>
      </c>
      <c r="AT167" s="54">
        <v>769.7</v>
      </c>
    </row>
    <row r="168" spans="1:46" ht="15.6" x14ac:dyDescent="0.3">
      <c r="A168" s="76">
        <v>44378</v>
      </c>
      <c r="B168" s="77">
        <v>0.59550000000000003</v>
      </c>
      <c r="C168" s="77">
        <v>0.55479999999999996</v>
      </c>
      <c r="D168" s="77">
        <v>0.4047</v>
      </c>
      <c r="E168" s="77">
        <v>0.374</v>
      </c>
      <c r="F168" s="77">
        <v>0.88900000000000001</v>
      </c>
      <c r="G168" s="77">
        <v>0.31990000000000002</v>
      </c>
      <c r="H168" s="77">
        <v>48.738900000000001</v>
      </c>
      <c r="I168" s="77">
        <v>0.63349999999999995</v>
      </c>
      <c r="J168" s="77">
        <v>3.8197999999999999</v>
      </c>
      <c r="K168" s="77">
        <v>0.60289999999999999</v>
      </c>
      <c r="L168" s="77">
        <v>0.44319999999999998</v>
      </c>
      <c r="M168" s="77">
        <v>1.0593999999999999</v>
      </c>
      <c r="N168" s="77">
        <v>2.8834</v>
      </c>
      <c r="U168" s="76">
        <v>44348</v>
      </c>
      <c r="V168" s="125">
        <f t="shared" si="34"/>
        <v>1.7123287671232879</v>
      </c>
      <c r="W168" s="123">
        <f t="shared" si="22"/>
        <v>1.8298261665141813</v>
      </c>
      <c r="X168" s="123">
        <f t="shared" si="23"/>
        <v>2.4758603614756129</v>
      </c>
      <c r="Y168" s="123">
        <f t="shared" si="24"/>
        <v>2.698327037236913</v>
      </c>
      <c r="Z168" s="123">
        <f t="shared" si="25"/>
        <v>1.127777151234916</v>
      </c>
      <c r="AA168" s="123">
        <f t="shared" si="26"/>
        <v>3.1436655139893115</v>
      </c>
      <c r="AB168" s="123">
        <f t="shared" si="27"/>
        <v>2.0355032476454319E-2</v>
      </c>
      <c r="AC168" s="127">
        <f t="shared" si="28"/>
        <v>1.591849729385546</v>
      </c>
      <c r="AD168" s="123">
        <f t="shared" si="29"/>
        <v>0.26638962146034795</v>
      </c>
      <c r="AE168" s="123">
        <f t="shared" si="30"/>
        <v>1.6697278343629989</v>
      </c>
      <c r="AF168" s="129">
        <f t="shared" si="31"/>
        <v>2.2341376228775691</v>
      </c>
      <c r="AG168" s="123">
        <f t="shared" si="32"/>
        <v>0.94643195154268411</v>
      </c>
      <c r="AH168" s="123">
        <f t="shared" si="33"/>
        <v>0.34338300940869448</v>
      </c>
      <c r="AN168" s="122">
        <v>44409</v>
      </c>
      <c r="AO168" s="131">
        <v>89.36</v>
      </c>
      <c r="AP168" s="60">
        <v>106.34</v>
      </c>
      <c r="AS168" s="122">
        <v>44409</v>
      </c>
      <c r="AT168" s="54">
        <v>779.2</v>
      </c>
    </row>
    <row r="169" spans="1:46" ht="15.6" x14ac:dyDescent="0.3">
      <c r="A169" s="76">
        <v>44409</v>
      </c>
      <c r="B169" s="77">
        <v>0.60350000000000004</v>
      </c>
      <c r="C169" s="77">
        <v>0.55600000000000005</v>
      </c>
      <c r="D169" s="77">
        <v>0.40150000000000002</v>
      </c>
      <c r="E169" s="77">
        <v>0.3745</v>
      </c>
      <c r="F169" s="77">
        <v>0.89129999999999998</v>
      </c>
      <c r="G169" s="77">
        <v>0.31900000000000001</v>
      </c>
      <c r="H169" s="77">
        <v>48.394799999999996</v>
      </c>
      <c r="I169" s="77">
        <v>0.63239999999999996</v>
      </c>
      <c r="J169" s="77">
        <v>3.8311000000000002</v>
      </c>
      <c r="K169" s="77">
        <v>0.60229999999999995</v>
      </c>
      <c r="L169" s="77">
        <v>0.44190000000000002</v>
      </c>
      <c r="M169" s="77">
        <v>1.0592999999999999</v>
      </c>
      <c r="N169" s="77">
        <v>2.875</v>
      </c>
      <c r="U169" s="76">
        <v>44378</v>
      </c>
      <c r="V169" s="125">
        <f t="shared" si="34"/>
        <v>1.6792611251049538</v>
      </c>
      <c r="W169" s="123">
        <f t="shared" si="22"/>
        <v>1.8024513338139871</v>
      </c>
      <c r="X169" s="123">
        <f t="shared" si="23"/>
        <v>2.4709661477637757</v>
      </c>
      <c r="Y169" s="123">
        <f t="shared" si="24"/>
        <v>2.6737967914438503</v>
      </c>
      <c r="Z169" s="123">
        <f t="shared" si="25"/>
        <v>1.124859392575928</v>
      </c>
      <c r="AA169" s="123">
        <f t="shared" si="26"/>
        <v>3.1259768677711781</v>
      </c>
      <c r="AB169" s="123">
        <f t="shared" si="27"/>
        <v>2.051749218796485E-2</v>
      </c>
      <c r="AC169" s="127">
        <f t="shared" si="28"/>
        <v>1.5785319652722969</v>
      </c>
      <c r="AD169" s="123">
        <f t="shared" si="29"/>
        <v>0.26179381119430339</v>
      </c>
      <c r="AE169" s="123">
        <f t="shared" si="30"/>
        <v>1.658649859014762</v>
      </c>
      <c r="AF169" s="129">
        <f t="shared" si="31"/>
        <v>2.256317689530686</v>
      </c>
      <c r="AG169" s="123">
        <f t="shared" si="32"/>
        <v>0.94393052671323396</v>
      </c>
      <c r="AH169" s="123">
        <f t="shared" si="33"/>
        <v>0.34681279045571201</v>
      </c>
      <c r="AN169" s="122">
        <v>44440</v>
      </c>
      <c r="AO169" s="131">
        <v>89.82</v>
      </c>
      <c r="AP169" s="60">
        <v>107.03</v>
      </c>
      <c r="AS169" s="122">
        <v>44440</v>
      </c>
      <c r="AT169" s="54">
        <v>783.8</v>
      </c>
    </row>
    <row r="170" spans="1:46" ht="15.6" x14ac:dyDescent="0.3">
      <c r="A170" s="76">
        <v>44440</v>
      </c>
      <c r="B170" s="77">
        <v>0.6048</v>
      </c>
      <c r="C170" s="77">
        <v>0.56200000000000006</v>
      </c>
      <c r="D170" s="77">
        <v>0.40699999999999997</v>
      </c>
      <c r="E170" s="77">
        <v>0.37609999999999999</v>
      </c>
      <c r="F170" s="77">
        <v>0.89319999999999999</v>
      </c>
      <c r="G170" s="77">
        <v>0.32190000000000002</v>
      </c>
      <c r="H170" s="77">
        <v>48.744199999999999</v>
      </c>
      <c r="I170" s="77">
        <v>0.62760000000000005</v>
      </c>
      <c r="J170" s="77">
        <v>3.8332000000000002</v>
      </c>
      <c r="K170" s="77">
        <v>0.6018</v>
      </c>
      <c r="L170" s="77">
        <v>0.44400000000000001</v>
      </c>
      <c r="M170" s="77">
        <v>1.0612999999999999</v>
      </c>
      <c r="N170" s="77">
        <v>2.8885999999999998</v>
      </c>
      <c r="U170" s="76">
        <v>44409</v>
      </c>
      <c r="V170" s="125">
        <f t="shared" si="34"/>
        <v>1.6570008285004141</v>
      </c>
      <c r="W170" s="123">
        <f t="shared" si="22"/>
        <v>1.7985611510791366</v>
      </c>
      <c r="X170" s="123">
        <f t="shared" si="23"/>
        <v>2.4906600249066</v>
      </c>
      <c r="Y170" s="123">
        <f t="shared" si="24"/>
        <v>2.6702269692923899</v>
      </c>
      <c r="Z170" s="123">
        <f t="shared" si="25"/>
        <v>1.1219566924716706</v>
      </c>
      <c r="AA170" s="123">
        <f t="shared" si="26"/>
        <v>3.134796238244514</v>
      </c>
      <c r="AB170" s="123">
        <f t="shared" si="27"/>
        <v>2.0663377057039186E-2</v>
      </c>
      <c r="AC170" s="127">
        <f t="shared" si="28"/>
        <v>1.5812776723592663</v>
      </c>
      <c r="AD170" s="123">
        <f t="shared" si="29"/>
        <v>0.2610216386938477</v>
      </c>
      <c r="AE170" s="123">
        <f t="shared" si="30"/>
        <v>1.6603021749958493</v>
      </c>
      <c r="AF170" s="129">
        <f t="shared" si="31"/>
        <v>2.2629554197782302</v>
      </c>
      <c r="AG170" s="123">
        <f t="shared" si="32"/>
        <v>0.94401963560842073</v>
      </c>
      <c r="AH170" s="123">
        <f t="shared" si="33"/>
        <v>0.34782608695652173</v>
      </c>
      <c r="AN170" s="122">
        <v>44470</v>
      </c>
      <c r="AO170" s="131">
        <v>89.29</v>
      </c>
      <c r="AP170" s="134">
        <v>107.29</v>
      </c>
      <c r="AS170" s="122">
        <v>44470</v>
      </c>
      <c r="AT170" s="54">
        <v>789.7</v>
      </c>
    </row>
    <row r="171" spans="1:46" ht="15.6" x14ac:dyDescent="0.3">
      <c r="A171" s="76">
        <v>44470</v>
      </c>
      <c r="B171" s="77">
        <v>0.59919999999999995</v>
      </c>
      <c r="C171" s="77">
        <v>0.55269999999999997</v>
      </c>
      <c r="D171" s="77">
        <v>0.40789999999999998</v>
      </c>
      <c r="E171" s="77">
        <v>0.38200000000000001</v>
      </c>
      <c r="F171" s="77">
        <v>0.89749999999999996</v>
      </c>
      <c r="G171" s="77">
        <v>0.32350000000000001</v>
      </c>
      <c r="H171" s="77">
        <v>50.0625</v>
      </c>
      <c r="I171" s="77">
        <v>0.62919999999999998</v>
      </c>
      <c r="J171" s="77">
        <v>3.85</v>
      </c>
      <c r="K171" s="77">
        <v>0.60370000000000001</v>
      </c>
      <c r="L171" s="77">
        <v>0.44419999999999998</v>
      </c>
      <c r="M171" s="77">
        <v>1.1322000000000001</v>
      </c>
      <c r="N171" s="77">
        <v>2.8900999999999999</v>
      </c>
      <c r="U171" s="76">
        <v>44440</v>
      </c>
      <c r="V171" s="125">
        <f t="shared" si="34"/>
        <v>1.6534391534391535</v>
      </c>
      <c r="W171" s="123">
        <f t="shared" si="22"/>
        <v>1.779359430604982</v>
      </c>
      <c r="X171" s="123">
        <f t="shared" si="23"/>
        <v>2.4570024570024573</v>
      </c>
      <c r="Y171" s="123">
        <f t="shared" si="24"/>
        <v>2.6588673225206061</v>
      </c>
      <c r="Z171" s="123">
        <f t="shared" si="25"/>
        <v>1.1195700850873265</v>
      </c>
      <c r="AA171" s="123">
        <f t="shared" si="26"/>
        <v>3.1065548306927617</v>
      </c>
      <c r="AB171" s="123">
        <f t="shared" si="27"/>
        <v>2.0515261302883215E-2</v>
      </c>
      <c r="AC171" s="127">
        <f t="shared" si="28"/>
        <v>1.5933715742511152</v>
      </c>
      <c r="AD171" s="123">
        <f t="shared" si="29"/>
        <v>0.2608786392570176</v>
      </c>
      <c r="AE171" s="123">
        <f t="shared" si="30"/>
        <v>1.6616816218012629</v>
      </c>
      <c r="AF171" s="129">
        <f t="shared" si="31"/>
        <v>2.2522522522522523</v>
      </c>
      <c r="AG171" s="123">
        <f t="shared" si="32"/>
        <v>0.94224064826156606</v>
      </c>
      <c r="AH171" s="123">
        <f t="shared" si="33"/>
        <v>0.34618846500034622</v>
      </c>
      <c r="AN171" s="122">
        <v>44501</v>
      </c>
      <c r="AO171" s="131">
        <v>89.95</v>
      </c>
      <c r="AP171" s="132">
        <v>107.95</v>
      </c>
      <c r="AS171" s="122">
        <v>44501</v>
      </c>
      <c r="AT171" s="54">
        <v>807.2</v>
      </c>
    </row>
    <row r="172" spans="1:46" ht="15.6" x14ac:dyDescent="0.3">
      <c r="A172" s="76">
        <v>44501</v>
      </c>
      <c r="B172" s="77">
        <v>0.60389999999999999</v>
      </c>
      <c r="C172" s="77">
        <v>0.55589999999999995</v>
      </c>
      <c r="D172" s="77">
        <v>0.40610000000000002</v>
      </c>
      <c r="E172" s="77">
        <v>0.38729999999999998</v>
      </c>
      <c r="F172" s="77">
        <v>0.9032</v>
      </c>
      <c r="G172" s="77">
        <v>0.32779999999999998</v>
      </c>
      <c r="H172" s="77">
        <v>50.413600000000002</v>
      </c>
      <c r="I172" s="77">
        <v>0.62960000000000005</v>
      </c>
      <c r="J172" s="77">
        <v>3.8976999999999999</v>
      </c>
      <c r="K172" s="77">
        <v>0.60450000000000004</v>
      </c>
      <c r="L172" s="77">
        <v>0.44309999999999999</v>
      </c>
      <c r="M172" s="77">
        <v>1.1776</v>
      </c>
      <c r="N172" s="77">
        <v>2.8826000000000001</v>
      </c>
      <c r="U172" s="76">
        <v>44470</v>
      </c>
      <c r="V172" s="125">
        <f t="shared" si="34"/>
        <v>1.6688918558077437</v>
      </c>
      <c r="W172" s="123">
        <f t="shared" si="22"/>
        <v>1.809299800977022</v>
      </c>
      <c r="X172" s="123">
        <f t="shared" si="23"/>
        <v>2.4515812699190977</v>
      </c>
      <c r="Y172" s="123">
        <f t="shared" si="24"/>
        <v>2.6178010471204187</v>
      </c>
      <c r="Z172" s="123">
        <f t="shared" si="25"/>
        <v>1.1142061281337048</v>
      </c>
      <c r="AA172" s="123">
        <f t="shared" si="26"/>
        <v>3.0911901081916535</v>
      </c>
      <c r="AB172" s="123">
        <f t="shared" si="27"/>
        <v>1.9975031210986267E-2</v>
      </c>
      <c r="AC172" s="127">
        <f t="shared" si="28"/>
        <v>1.589319771137953</v>
      </c>
      <c r="AD172" s="123">
        <f t="shared" si="29"/>
        <v>0.25974025974025972</v>
      </c>
      <c r="AE172" s="123">
        <f t="shared" si="30"/>
        <v>1.6564518800728838</v>
      </c>
      <c r="AF172" s="129">
        <f t="shared" si="31"/>
        <v>2.2512381809995499</v>
      </c>
      <c r="AG172" s="123">
        <f t="shared" si="32"/>
        <v>0.88323617735382431</v>
      </c>
      <c r="AH172" s="123">
        <f t="shared" si="33"/>
        <v>0.34600878862323103</v>
      </c>
      <c r="AN172" s="122">
        <v>44531</v>
      </c>
      <c r="AO172" s="131">
        <v>90.16</v>
      </c>
      <c r="AP172" s="132">
        <v>108.49</v>
      </c>
      <c r="AS172" s="122">
        <v>44531</v>
      </c>
      <c r="AT172" s="54">
        <v>821.5</v>
      </c>
    </row>
    <row r="173" spans="1:46" ht="15.6" x14ac:dyDescent="0.3">
      <c r="A173" s="76">
        <v>44531</v>
      </c>
      <c r="B173" s="77">
        <v>0.61029999999999995</v>
      </c>
      <c r="C173" s="77">
        <v>0.56020000000000003</v>
      </c>
      <c r="D173" s="77">
        <v>0.4012</v>
      </c>
      <c r="E173" s="77">
        <v>0.3866</v>
      </c>
      <c r="F173" s="77">
        <v>0.90649999999999997</v>
      </c>
      <c r="G173" s="77">
        <v>0.3281</v>
      </c>
      <c r="H173" s="77">
        <v>49.706800000000001</v>
      </c>
      <c r="I173" s="77">
        <v>0.64410000000000001</v>
      </c>
      <c r="J173" s="77">
        <v>3.9739</v>
      </c>
      <c r="K173" s="77">
        <v>0.60050000000000003</v>
      </c>
      <c r="L173" s="77">
        <v>0.43790000000000001</v>
      </c>
      <c r="M173" s="77">
        <v>1.1821999999999999</v>
      </c>
      <c r="N173" s="77">
        <v>2.8492000000000002</v>
      </c>
      <c r="U173" s="76">
        <v>44501</v>
      </c>
      <c r="V173" s="125">
        <f t="shared" si="34"/>
        <v>1.6559032952475576</v>
      </c>
      <c r="W173" s="123">
        <f t="shared" si="22"/>
        <v>1.7988846914912755</v>
      </c>
      <c r="X173" s="123">
        <f t="shared" si="23"/>
        <v>2.4624476729869489</v>
      </c>
      <c r="Y173" s="123">
        <f t="shared" si="24"/>
        <v>2.581977794990963</v>
      </c>
      <c r="Z173" s="123">
        <f t="shared" si="25"/>
        <v>1.1071744906997343</v>
      </c>
      <c r="AA173" s="123">
        <f t="shared" si="26"/>
        <v>3.0506406345332522</v>
      </c>
      <c r="AB173" s="123">
        <f t="shared" si="27"/>
        <v>1.9835917292159257E-2</v>
      </c>
      <c r="AC173" s="127">
        <f t="shared" si="28"/>
        <v>1.5883100381194408</v>
      </c>
      <c r="AD173" s="123">
        <f t="shared" si="29"/>
        <v>0.25656156194678914</v>
      </c>
      <c r="AE173" s="123">
        <f t="shared" si="30"/>
        <v>1.6542597187758477</v>
      </c>
      <c r="AF173" s="129">
        <f t="shared" si="31"/>
        <v>2.2568269013766646</v>
      </c>
      <c r="AG173" s="123">
        <f t="shared" si="32"/>
        <v>0.84918478260869568</v>
      </c>
      <c r="AH173" s="123">
        <f t="shared" si="33"/>
        <v>0.34690904044959409</v>
      </c>
      <c r="AN173" s="122">
        <v>44562</v>
      </c>
      <c r="AO173" s="131">
        <v>90.7</v>
      </c>
      <c r="AP173" s="61">
        <v>109.21</v>
      </c>
      <c r="AS173" s="122">
        <v>44562</v>
      </c>
      <c r="AT173" s="54">
        <v>832.8</v>
      </c>
    </row>
    <row r="174" spans="1:46" ht="15" x14ac:dyDescent="0.3">
      <c r="A174" s="76">
        <v>44562</v>
      </c>
      <c r="B174" s="77">
        <v>0.60680000000000001</v>
      </c>
      <c r="C174" s="77">
        <v>0.55310000000000004</v>
      </c>
      <c r="D174" s="77">
        <v>0.40010000000000001</v>
      </c>
      <c r="E174" s="77">
        <v>0.38550000000000001</v>
      </c>
      <c r="F174" s="77">
        <v>0.90910000000000002</v>
      </c>
      <c r="G174" s="77">
        <v>0.3216</v>
      </c>
      <c r="H174" s="77">
        <v>50.255299999999998</v>
      </c>
      <c r="I174" s="77">
        <v>0.64570000000000005</v>
      </c>
      <c r="J174" s="77">
        <v>3.9733000000000001</v>
      </c>
      <c r="K174" s="77">
        <v>0.59650000000000003</v>
      </c>
      <c r="L174" s="77">
        <v>0.43919999999999998</v>
      </c>
      <c r="M174" s="77">
        <v>1.1786000000000001</v>
      </c>
      <c r="N174" s="77">
        <v>2.8574000000000002</v>
      </c>
      <c r="U174" s="76">
        <v>44531</v>
      </c>
      <c r="V174" s="125">
        <f t="shared" si="34"/>
        <v>1.6385384237260365</v>
      </c>
      <c r="W174" s="123">
        <f t="shared" si="22"/>
        <v>1.7850767583006069</v>
      </c>
      <c r="X174" s="123">
        <f t="shared" si="23"/>
        <v>2.4925224327018944</v>
      </c>
      <c r="Y174" s="123">
        <f t="shared" si="24"/>
        <v>2.586652871184687</v>
      </c>
      <c r="Z174" s="123">
        <f t="shared" si="25"/>
        <v>1.1031439602868174</v>
      </c>
      <c r="AA174" s="123">
        <f t="shared" si="26"/>
        <v>3.047851264858275</v>
      </c>
      <c r="AB174" s="123">
        <f t="shared" si="27"/>
        <v>2.0117971786556367E-2</v>
      </c>
      <c r="AC174" s="127">
        <f t="shared" si="28"/>
        <v>1.5525539512498059</v>
      </c>
      <c r="AD174" s="123">
        <f t="shared" si="29"/>
        <v>0.25164196381388559</v>
      </c>
      <c r="AE174" s="123">
        <f t="shared" si="30"/>
        <v>1.665278934221482</v>
      </c>
      <c r="AF174" s="129">
        <f t="shared" si="31"/>
        <v>2.2836263987211693</v>
      </c>
      <c r="AG174" s="123">
        <f t="shared" si="32"/>
        <v>0.84588056166469305</v>
      </c>
      <c r="AH174" s="123">
        <f t="shared" si="33"/>
        <v>0.35097571248069631</v>
      </c>
      <c r="AN174" s="122">
        <v>44593</v>
      </c>
      <c r="AO174" s="131">
        <v>90.37</v>
      </c>
      <c r="AP174">
        <v>110.87</v>
      </c>
      <c r="AS174" s="122">
        <v>44593</v>
      </c>
      <c r="AT174" s="54">
        <v>851.2</v>
      </c>
    </row>
    <row r="175" spans="1:46" ht="15" x14ac:dyDescent="0.3">
      <c r="A175" s="76">
        <v>44593</v>
      </c>
      <c r="B175" s="77">
        <v>0.60870000000000002</v>
      </c>
      <c r="C175" s="77">
        <v>0.55489999999999995</v>
      </c>
      <c r="D175" s="77">
        <v>0.4007</v>
      </c>
      <c r="E175" s="77">
        <v>0.38159999999999999</v>
      </c>
      <c r="F175" s="77">
        <v>0.91169999999999995</v>
      </c>
      <c r="G175" s="77">
        <v>0.32150000000000001</v>
      </c>
      <c r="H175" s="77">
        <v>50.09</v>
      </c>
      <c r="I175" s="77">
        <v>0.65410000000000001</v>
      </c>
      <c r="J175" s="77">
        <v>4.0663999999999998</v>
      </c>
      <c r="K175" s="77">
        <v>0.59130000000000005</v>
      </c>
      <c r="L175" s="77">
        <v>0.43619999999999998</v>
      </c>
      <c r="M175" s="77">
        <v>1.1815</v>
      </c>
      <c r="N175" s="77">
        <v>2.8380999999999998</v>
      </c>
      <c r="U175" s="76">
        <v>44562</v>
      </c>
      <c r="V175" s="125">
        <f t="shared" si="34"/>
        <v>1.6479894528675016</v>
      </c>
      <c r="W175" s="123">
        <f t="shared" ref="W175:W222" si="35">1/C174</f>
        <v>1.8079913216416561</v>
      </c>
      <c r="X175" s="123">
        <f t="shared" ref="X175:X222" si="36">1/D174</f>
        <v>2.4993751562109474</v>
      </c>
      <c r="Y175" s="123">
        <f t="shared" ref="Y175:Y222" si="37">1/E174</f>
        <v>2.5940337224383918</v>
      </c>
      <c r="Z175" s="123">
        <f t="shared" ref="Z175:Z222" si="38">1/F174</f>
        <v>1.0999890001099988</v>
      </c>
      <c r="AA175" s="123">
        <f t="shared" ref="AA175:AA222" si="39">1/G174</f>
        <v>3.1094527363184081</v>
      </c>
      <c r="AB175" s="123">
        <f t="shared" ref="AB175:AB222" si="40">1/H174</f>
        <v>1.9898398775850507E-2</v>
      </c>
      <c r="AC175" s="127">
        <f t="shared" ref="AC175:AC222" si="41">1/I174</f>
        <v>1.5487068297971194</v>
      </c>
      <c r="AD175" s="123">
        <f t="shared" ref="AD175:AD222" si="42">1/J174</f>
        <v>0.25167996375808521</v>
      </c>
      <c r="AE175" s="123">
        <f t="shared" ref="AE175:AE222" si="43">1/K174</f>
        <v>1.6764459346186085</v>
      </c>
      <c r="AF175" s="129">
        <f t="shared" ref="AF175:AF222" si="44">1/L174</f>
        <v>2.2768670309653918</v>
      </c>
      <c r="AG175" s="123">
        <f t="shared" ref="AG175:AG222" si="45">1/M174</f>
        <v>0.84846427965382654</v>
      </c>
      <c r="AH175" s="123">
        <f t="shared" ref="AH175:AH222" si="46">1/N174</f>
        <v>0.34996850283474484</v>
      </c>
      <c r="AN175" s="122">
        <v>44621</v>
      </c>
      <c r="AO175" s="131">
        <v>90.63</v>
      </c>
      <c r="AP175">
        <v>110.96</v>
      </c>
      <c r="AS175" s="122">
        <v>44621</v>
      </c>
      <c r="AT175" s="54">
        <v>844.9</v>
      </c>
    </row>
    <row r="176" spans="1:46" ht="15" x14ac:dyDescent="0.3">
      <c r="A176" s="76">
        <v>44621</v>
      </c>
      <c r="B176" s="77">
        <v>0.59889999999999999</v>
      </c>
      <c r="C176" s="77">
        <v>0.55910000000000004</v>
      </c>
      <c r="D176" s="77">
        <v>0.4083</v>
      </c>
      <c r="E176" s="77">
        <v>0.39960000000000001</v>
      </c>
      <c r="F176" s="77">
        <v>0.90900000000000003</v>
      </c>
      <c r="G176" s="77">
        <v>0.33410000000000001</v>
      </c>
      <c r="H176" s="77">
        <v>52.1145</v>
      </c>
      <c r="I176" s="77">
        <v>0.64349999999999996</v>
      </c>
      <c r="J176" s="77">
        <v>4.2233999999999998</v>
      </c>
      <c r="K176" s="77">
        <v>0.6038</v>
      </c>
      <c r="L176" s="77">
        <v>0.44180000000000003</v>
      </c>
      <c r="M176" s="77">
        <v>1.181</v>
      </c>
      <c r="N176" s="77">
        <v>2.8026</v>
      </c>
      <c r="U176" s="76">
        <v>44593</v>
      </c>
      <c r="V176" s="125">
        <f t="shared" si="34"/>
        <v>1.6428454082470838</v>
      </c>
      <c r="W176" s="123">
        <f t="shared" si="35"/>
        <v>1.8021265092809517</v>
      </c>
      <c r="X176" s="123">
        <f t="shared" si="36"/>
        <v>2.4956326428749689</v>
      </c>
      <c r="Y176" s="123">
        <f t="shared" si="37"/>
        <v>2.6205450733752622</v>
      </c>
      <c r="Z176" s="123">
        <f t="shared" si="38"/>
        <v>1.0968520346605244</v>
      </c>
      <c r="AA176" s="123">
        <f t="shared" si="39"/>
        <v>3.1104199066874028</v>
      </c>
      <c r="AB176" s="123">
        <f t="shared" si="40"/>
        <v>1.9964064683569573E-2</v>
      </c>
      <c r="AC176" s="127">
        <f t="shared" si="41"/>
        <v>1.5288182235132242</v>
      </c>
      <c r="AD176" s="123">
        <f t="shared" si="42"/>
        <v>0.24591776509935079</v>
      </c>
      <c r="AE176" s="123">
        <f t="shared" si="43"/>
        <v>1.6911889058007779</v>
      </c>
      <c r="AF176" s="129">
        <f t="shared" si="44"/>
        <v>2.2925263640531868</v>
      </c>
      <c r="AG176" s="123">
        <f t="shared" si="45"/>
        <v>0.84638171815488783</v>
      </c>
      <c r="AH176" s="123">
        <f t="shared" si="46"/>
        <v>0.35234840209999652</v>
      </c>
      <c r="AN176" s="122">
        <v>44652</v>
      </c>
      <c r="AO176" s="131">
        <v>92.83</v>
      </c>
      <c r="AP176">
        <v>114.84</v>
      </c>
      <c r="AS176" s="122">
        <v>44652</v>
      </c>
      <c r="AT176" s="54">
        <v>844.3</v>
      </c>
    </row>
    <row r="177" spans="1:46" ht="15" x14ac:dyDescent="0.3">
      <c r="A177" s="76">
        <v>44652</v>
      </c>
      <c r="B177" s="77">
        <v>0.59530000000000005</v>
      </c>
      <c r="C177" s="77">
        <v>0.55530000000000002</v>
      </c>
      <c r="D177" s="77">
        <v>0.4128</v>
      </c>
      <c r="E177" s="77">
        <v>0.40579999999999999</v>
      </c>
      <c r="F177" s="77">
        <v>0.90959999999999996</v>
      </c>
      <c r="G177" s="77">
        <v>0.33889999999999998</v>
      </c>
      <c r="H177" s="77">
        <v>55.299399999999999</v>
      </c>
      <c r="I177" s="77">
        <v>0.64880000000000004</v>
      </c>
      <c r="J177" s="77">
        <v>4.2011000000000003</v>
      </c>
      <c r="K177" s="77">
        <v>0.60519999999999996</v>
      </c>
      <c r="L177" s="77">
        <v>0.44069999999999998</v>
      </c>
      <c r="M177" s="77">
        <v>1.1843999999999999</v>
      </c>
      <c r="N177" s="77">
        <v>2.8287</v>
      </c>
      <c r="U177" s="76">
        <v>44621</v>
      </c>
      <c r="V177" s="125">
        <f t="shared" si="34"/>
        <v>1.6697278343629989</v>
      </c>
      <c r="W177" s="123">
        <f t="shared" si="35"/>
        <v>1.7885888034340904</v>
      </c>
      <c r="X177" s="123">
        <f t="shared" si="36"/>
        <v>2.4491795248591721</v>
      </c>
      <c r="Y177" s="123">
        <f t="shared" si="37"/>
        <v>2.5025025025025025</v>
      </c>
      <c r="Z177" s="123">
        <f t="shared" si="38"/>
        <v>1.1001100110011002</v>
      </c>
      <c r="AA177" s="123">
        <f t="shared" si="39"/>
        <v>2.9931158335827597</v>
      </c>
      <c r="AB177" s="123">
        <f t="shared" si="40"/>
        <v>1.9188517591073501E-2</v>
      </c>
      <c r="AC177" s="127">
        <f t="shared" si="41"/>
        <v>1.5540015540015542</v>
      </c>
      <c r="AD177" s="123">
        <f t="shared" si="42"/>
        <v>0.23677605720509542</v>
      </c>
      <c r="AE177" s="123">
        <f t="shared" si="43"/>
        <v>1.6561775422325273</v>
      </c>
      <c r="AF177" s="129">
        <f t="shared" si="44"/>
        <v>2.2634676324128562</v>
      </c>
      <c r="AG177" s="123">
        <f t="shared" si="45"/>
        <v>0.84674005080440307</v>
      </c>
      <c r="AH177" s="123">
        <f t="shared" si="46"/>
        <v>0.35681153214871902</v>
      </c>
      <c r="AN177" s="122">
        <v>44682</v>
      </c>
      <c r="AO177" s="131">
        <v>92.5</v>
      </c>
      <c r="AP177">
        <v>115.74</v>
      </c>
      <c r="AS177" s="122">
        <v>44682</v>
      </c>
      <c r="AT177" s="54">
        <v>842.8</v>
      </c>
    </row>
    <row r="178" spans="1:46" ht="15" x14ac:dyDescent="0.3">
      <c r="A178" s="76">
        <v>44682</v>
      </c>
      <c r="B178" s="77">
        <v>0.60929999999999995</v>
      </c>
      <c r="C178" s="77">
        <v>0.55359999999999998</v>
      </c>
      <c r="D178" s="77">
        <v>0.41949999999999998</v>
      </c>
      <c r="E178" s="77">
        <v>0.40660000000000002</v>
      </c>
      <c r="F178" s="77">
        <v>0.91559999999999997</v>
      </c>
      <c r="G178" s="77">
        <v>0.3448</v>
      </c>
      <c r="H178" s="77">
        <v>55.362900000000003</v>
      </c>
      <c r="I178" s="77">
        <v>0.67149999999999999</v>
      </c>
      <c r="J178" s="77">
        <v>4.2735000000000003</v>
      </c>
      <c r="K178" s="77">
        <v>0.59919999999999995</v>
      </c>
      <c r="L178" s="77">
        <v>0.43099999999999999</v>
      </c>
      <c r="M178" s="77">
        <v>1.1808000000000001</v>
      </c>
      <c r="N178" s="77">
        <v>2.8854000000000002</v>
      </c>
      <c r="U178" s="76">
        <v>44652</v>
      </c>
      <c r="V178" s="125">
        <f t="shared" si="34"/>
        <v>1.6798252981689903</v>
      </c>
      <c r="W178" s="123">
        <f t="shared" si="35"/>
        <v>1.8008283810552854</v>
      </c>
      <c r="X178" s="123">
        <f t="shared" si="36"/>
        <v>2.4224806201550386</v>
      </c>
      <c r="Y178" s="123">
        <f t="shared" si="37"/>
        <v>2.4642681123706258</v>
      </c>
      <c r="Z178" s="123">
        <f t="shared" si="38"/>
        <v>1.0993843447669305</v>
      </c>
      <c r="AA178" s="123">
        <f t="shared" si="39"/>
        <v>2.9507229271171438</v>
      </c>
      <c r="AB178" s="123">
        <f t="shared" si="40"/>
        <v>1.808337884317009E-2</v>
      </c>
      <c r="AC178" s="127">
        <f t="shared" si="41"/>
        <v>1.5413070283600492</v>
      </c>
      <c r="AD178" s="123">
        <f t="shared" si="42"/>
        <v>0.2380328961462474</v>
      </c>
      <c r="AE178" s="123">
        <f t="shared" si="43"/>
        <v>1.6523463317911435</v>
      </c>
      <c r="AF178" s="129">
        <f t="shared" si="44"/>
        <v>2.269117313365101</v>
      </c>
      <c r="AG178" s="123">
        <f t="shared" si="45"/>
        <v>0.84430935494765291</v>
      </c>
      <c r="AH178" s="123">
        <f t="shared" si="46"/>
        <v>0.35351928447696823</v>
      </c>
      <c r="AN178" s="122">
        <v>44713</v>
      </c>
      <c r="AO178" s="131">
        <v>94.08</v>
      </c>
      <c r="AP178">
        <v>118.21</v>
      </c>
      <c r="AS178" s="122">
        <v>44713</v>
      </c>
      <c r="AT178" s="54">
        <v>846.7</v>
      </c>
    </row>
    <row r="179" spans="1:46" ht="15" x14ac:dyDescent="0.3">
      <c r="A179" s="76">
        <v>44713</v>
      </c>
      <c r="B179" s="77">
        <v>0.60960000000000003</v>
      </c>
      <c r="C179" s="77">
        <v>0.54990000000000006</v>
      </c>
      <c r="D179" s="77">
        <v>0.41460000000000002</v>
      </c>
      <c r="E179" s="77">
        <v>0.40539999999999998</v>
      </c>
      <c r="F179" s="77">
        <v>0.9133</v>
      </c>
      <c r="G179" s="77">
        <v>0.34710000000000002</v>
      </c>
      <c r="H179" s="77">
        <v>57.3795</v>
      </c>
      <c r="I179" s="77">
        <v>0.67459999999999998</v>
      </c>
      <c r="J179" s="77">
        <v>4.3022999999999998</v>
      </c>
      <c r="K179" s="77">
        <v>0.5978</v>
      </c>
      <c r="L179" s="77">
        <v>0.42959999999999998</v>
      </c>
      <c r="M179" s="77">
        <v>1.1777</v>
      </c>
      <c r="N179" s="77">
        <v>2.8767</v>
      </c>
      <c r="U179" s="76">
        <v>44682</v>
      </c>
      <c r="V179" s="125">
        <f t="shared" si="34"/>
        <v>1.6412276382734285</v>
      </c>
      <c r="W179" s="123">
        <f t="shared" si="35"/>
        <v>1.8063583815028903</v>
      </c>
      <c r="X179" s="123">
        <f t="shared" si="36"/>
        <v>2.3837902264600714</v>
      </c>
      <c r="Y179" s="123">
        <f t="shared" si="37"/>
        <v>2.4594195769798328</v>
      </c>
      <c r="Z179" s="123">
        <f t="shared" si="38"/>
        <v>1.09217999126256</v>
      </c>
      <c r="AA179" s="123">
        <f t="shared" si="39"/>
        <v>2.9002320185614852</v>
      </c>
      <c r="AB179" s="123">
        <f t="shared" si="40"/>
        <v>1.8062637614720326E-2</v>
      </c>
      <c r="AC179" s="127">
        <f t="shared" si="41"/>
        <v>1.4892032762472078</v>
      </c>
      <c r="AD179" s="123">
        <f t="shared" si="42"/>
        <v>0.23400023400023398</v>
      </c>
      <c r="AE179" s="123">
        <f t="shared" si="43"/>
        <v>1.6688918558077437</v>
      </c>
      <c r="AF179" s="129">
        <f t="shared" si="44"/>
        <v>2.3201856148491879</v>
      </c>
      <c r="AG179" s="123">
        <f t="shared" si="45"/>
        <v>0.84688346883468835</v>
      </c>
      <c r="AH179" s="123">
        <f t="shared" si="46"/>
        <v>0.34657239897414566</v>
      </c>
      <c r="AN179" s="122">
        <v>44743</v>
      </c>
      <c r="AO179" s="131">
        <v>93.8</v>
      </c>
      <c r="AP179">
        <v>119.02</v>
      </c>
      <c r="AS179" s="122">
        <v>44743</v>
      </c>
      <c r="AT179" s="54">
        <v>846.2</v>
      </c>
    </row>
    <row r="180" spans="1:46" ht="15" x14ac:dyDescent="0.3">
      <c r="A180" s="76">
        <v>44743</v>
      </c>
      <c r="B180" s="77">
        <v>0.61850000000000005</v>
      </c>
      <c r="C180" s="77">
        <v>0.55000000000000004</v>
      </c>
      <c r="D180" s="77">
        <v>0.41020000000000001</v>
      </c>
      <c r="E180" s="77">
        <v>0.41670000000000001</v>
      </c>
      <c r="F180" s="77">
        <v>0.91820000000000002</v>
      </c>
      <c r="G180" s="77">
        <v>0.35339999999999999</v>
      </c>
      <c r="H180" s="77">
        <v>58.0608</v>
      </c>
      <c r="I180" s="77">
        <v>0.68489999999999995</v>
      </c>
      <c r="J180" s="77">
        <v>4.4135</v>
      </c>
      <c r="K180" s="77">
        <v>0.59719999999999995</v>
      </c>
      <c r="L180" s="77">
        <v>0.4254</v>
      </c>
      <c r="M180" s="77">
        <v>1.1877</v>
      </c>
      <c r="N180" s="77">
        <v>2.8650000000000002</v>
      </c>
      <c r="U180" s="76">
        <v>44713</v>
      </c>
      <c r="V180" s="125">
        <f t="shared" si="34"/>
        <v>1.6404199475065615</v>
      </c>
      <c r="W180" s="123">
        <f t="shared" si="35"/>
        <v>1.818512456810329</v>
      </c>
      <c r="X180" s="123">
        <f t="shared" si="36"/>
        <v>2.4119633381572601</v>
      </c>
      <c r="Y180" s="123">
        <f t="shared" si="37"/>
        <v>2.4666995559940799</v>
      </c>
      <c r="Z180" s="123">
        <f t="shared" si="38"/>
        <v>1.0949304719150335</v>
      </c>
      <c r="AA180" s="123">
        <f t="shared" si="39"/>
        <v>2.881014116969173</v>
      </c>
      <c r="AB180" s="123">
        <f t="shared" si="40"/>
        <v>1.7427827011389084E-2</v>
      </c>
      <c r="AC180" s="127">
        <f t="shared" si="41"/>
        <v>1.4823599169878448</v>
      </c>
      <c r="AD180" s="123">
        <f t="shared" si="42"/>
        <v>0.2324338144713293</v>
      </c>
      <c r="AE180" s="123">
        <f t="shared" si="43"/>
        <v>1.6728002676480429</v>
      </c>
      <c r="AF180" s="129">
        <f t="shared" si="44"/>
        <v>2.3277467411545625</v>
      </c>
      <c r="AG180" s="123">
        <f t="shared" si="45"/>
        <v>0.84911267725227135</v>
      </c>
      <c r="AH180" s="123">
        <f t="shared" si="46"/>
        <v>0.34762053742135085</v>
      </c>
      <c r="AN180" s="122">
        <v>44774</v>
      </c>
      <c r="AO180" s="131">
        <v>94.76</v>
      </c>
      <c r="AP180">
        <v>120.98</v>
      </c>
      <c r="AS180" s="122">
        <v>44774</v>
      </c>
      <c r="AT180" s="54">
        <v>843.5</v>
      </c>
    </row>
    <row r="181" spans="1:46" ht="15" x14ac:dyDescent="0.3">
      <c r="A181" s="76">
        <v>44774</v>
      </c>
      <c r="B181" s="77">
        <v>0.61260000000000003</v>
      </c>
      <c r="C181" s="77">
        <v>0.55130000000000001</v>
      </c>
      <c r="D181" s="77">
        <v>0.40649999999999997</v>
      </c>
      <c r="E181" s="77">
        <v>0.42099999999999999</v>
      </c>
      <c r="F181" s="77">
        <v>0.91559999999999997</v>
      </c>
      <c r="G181" s="77">
        <v>0.35510000000000003</v>
      </c>
      <c r="H181" s="77">
        <v>57.622599999999998</v>
      </c>
      <c r="I181" s="77">
        <v>0.68100000000000005</v>
      </c>
      <c r="J181" s="77">
        <v>4.4252000000000002</v>
      </c>
      <c r="K181" s="77">
        <v>0.59499999999999997</v>
      </c>
      <c r="L181" s="77">
        <v>0.42759999999999998</v>
      </c>
      <c r="M181" s="77">
        <v>1.1879999999999999</v>
      </c>
      <c r="N181" s="77">
        <v>2.9053</v>
      </c>
      <c r="U181" s="76">
        <v>44743</v>
      </c>
      <c r="V181" s="125">
        <f t="shared" si="34"/>
        <v>1.6168148746968471</v>
      </c>
      <c r="W181" s="123">
        <f t="shared" si="35"/>
        <v>1.8181818181818181</v>
      </c>
      <c r="X181" s="123">
        <f t="shared" si="36"/>
        <v>2.4378352023403216</v>
      </c>
      <c r="Y181" s="123">
        <f t="shared" si="37"/>
        <v>2.3998080153587713</v>
      </c>
      <c r="Z181" s="123">
        <f t="shared" si="38"/>
        <v>1.0890873448050533</v>
      </c>
      <c r="AA181" s="123">
        <f t="shared" si="39"/>
        <v>2.8296547821165818</v>
      </c>
      <c r="AB181" s="123">
        <f t="shared" si="40"/>
        <v>1.722332451499118E-2</v>
      </c>
      <c r="AC181" s="127">
        <f t="shared" si="41"/>
        <v>1.4600671630895021</v>
      </c>
      <c r="AD181" s="123">
        <f t="shared" si="42"/>
        <v>0.22657754616517503</v>
      </c>
      <c r="AE181" s="123">
        <f t="shared" si="43"/>
        <v>1.6744809109176158</v>
      </c>
      <c r="AF181" s="129">
        <f t="shared" si="44"/>
        <v>2.3507287259050305</v>
      </c>
      <c r="AG181" s="123">
        <f t="shared" si="45"/>
        <v>0.84196345878588874</v>
      </c>
      <c r="AH181" s="123">
        <f t="shared" si="46"/>
        <v>0.34904013961605584</v>
      </c>
      <c r="AN181" s="122">
        <v>44805</v>
      </c>
      <c r="AO181" s="131">
        <v>96.53</v>
      </c>
      <c r="AP181">
        <v>123.6</v>
      </c>
      <c r="AS181" s="122">
        <v>44805</v>
      </c>
      <c r="AT181" s="54">
        <v>843.4</v>
      </c>
    </row>
    <row r="182" spans="1:46" ht="15" x14ac:dyDescent="0.3">
      <c r="A182" s="76">
        <v>44805</v>
      </c>
      <c r="B182" s="77">
        <v>0.62490000000000001</v>
      </c>
      <c r="C182" s="77">
        <v>0.55720000000000003</v>
      </c>
      <c r="D182" s="77">
        <v>0.40550000000000003</v>
      </c>
      <c r="E182" s="77">
        <v>0.42180000000000001</v>
      </c>
      <c r="F182" s="77">
        <v>0.91800000000000004</v>
      </c>
      <c r="G182" s="77">
        <v>0.36849999999999999</v>
      </c>
      <c r="H182" s="77">
        <v>59.756999999999998</v>
      </c>
      <c r="I182" s="77">
        <v>0.70409999999999995</v>
      </c>
      <c r="J182" s="77">
        <v>4.5563000000000002</v>
      </c>
      <c r="K182" s="77">
        <v>0.59540000000000004</v>
      </c>
      <c r="L182" s="77">
        <v>0.41920000000000002</v>
      </c>
      <c r="M182" s="77">
        <v>1.1897</v>
      </c>
      <c r="N182" s="77">
        <v>2.9371</v>
      </c>
      <c r="U182" s="76">
        <v>44774</v>
      </c>
      <c r="V182" s="125">
        <f t="shared" si="34"/>
        <v>1.6323865491348351</v>
      </c>
      <c r="W182" s="123">
        <f t="shared" si="35"/>
        <v>1.8138944313440957</v>
      </c>
      <c r="X182" s="123">
        <f t="shared" si="36"/>
        <v>2.4600246002460024</v>
      </c>
      <c r="Y182" s="123">
        <f t="shared" si="37"/>
        <v>2.3752969121140142</v>
      </c>
      <c r="Z182" s="123">
        <f t="shared" si="38"/>
        <v>1.09217999126256</v>
      </c>
      <c r="AA182" s="123">
        <f t="shared" si="39"/>
        <v>2.8161081385525204</v>
      </c>
      <c r="AB182" s="123">
        <f t="shared" si="40"/>
        <v>1.7354301957912346E-2</v>
      </c>
      <c r="AC182" s="127">
        <f t="shared" si="41"/>
        <v>1.4684287812041115</v>
      </c>
      <c r="AD182" s="123">
        <f t="shared" si="42"/>
        <v>0.22597848684805205</v>
      </c>
      <c r="AE182" s="123">
        <f t="shared" si="43"/>
        <v>1.680672268907563</v>
      </c>
      <c r="AF182" s="129">
        <f t="shared" si="44"/>
        <v>2.3386342376052385</v>
      </c>
      <c r="AG182" s="123">
        <f t="shared" si="45"/>
        <v>0.84175084175084181</v>
      </c>
      <c r="AH182" s="123">
        <f t="shared" si="46"/>
        <v>0.34419853371424636</v>
      </c>
      <c r="AN182" s="122">
        <v>44835</v>
      </c>
      <c r="AO182" s="131">
        <v>95.3</v>
      </c>
      <c r="AP182">
        <v>118.81</v>
      </c>
      <c r="AS182" s="122">
        <v>44835</v>
      </c>
      <c r="AT182" s="54">
        <v>843.4</v>
      </c>
    </row>
    <row r="183" spans="1:46" ht="15" x14ac:dyDescent="0.3">
      <c r="A183" s="76">
        <v>44835</v>
      </c>
      <c r="B183" s="77">
        <v>0.64370000000000005</v>
      </c>
      <c r="C183" s="77">
        <v>0.56259999999999999</v>
      </c>
      <c r="D183" s="77">
        <v>0.40629999999999999</v>
      </c>
      <c r="E183" s="77">
        <v>0.41639999999999999</v>
      </c>
      <c r="F183" s="77">
        <v>0.92469999999999997</v>
      </c>
      <c r="G183" s="77">
        <v>0.3624</v>
      </c>
      <c r="H183" s="77">
        <v>60.2</v>
      </c>
      <c r="I183" s="77">
        <v>0.72040000000000004</v>
      </c>
      <c r="J183" s="77">
        <v>4.5655999999999999</v>
      </c>
      <c r="K183" s="77">
        <v>0.58850000000000002</v>
      </c>
      <c r="L183" s="77">
        <v>0.4108</v>
      </c>
      <c r="M183" s="77">
        <v>1.2018</v>
      </c>
      <c r="N183" s="77">
        <v>2.9508000000000001</v>
      </c>
      <c r="U183" s="76">
        <v>44805</v>
      </c>
      <c r="V183" s="125">
        <f t="shared" si="34"/>
        <v>1.6002560409665547</v>
      </c>
      <c r="W183" s="123">
        <f t="shared" si="35"/>
        <v>1.7946877243359654</v>
      </c>
      <c r="X183" s="123">
        <f t="shared" si="36"/>
        <v>2.4660912453760786</v>
      </c>
      <c r="Y183" s="123">
        <f t="shared" si="37"/>
        <v>2.370791844476055</v>
      </c>
      <c r="Z183" s="123">
        <f t="shared" si="38"/>
        <v>1.0893246187363834</v>
      </c>
      <c r="AA183" s="123">
        <f t="shared" si="39"/>
        <v>2.7137042062415198</v>
      </c>
      <c r="AB183" s="123">
        <f t="shared" si="40"/>
        <v>1.6734441153337686E-2</v>
      </c>
      <c r="AC183" s="127">
        <f t="shared" si="41"/>
        <v>1.42025280499929</v>
      </c>
      <c r="AD183" s="123">
        <f t="shared" si="42"/>
        <v>0.2194763294778658</v>
      </c>
      <c r="AE183" s="123">
        <f t="shared" si="43"/>
        <v>1.6795431642593213</v>
      </c>
      <c r="AF183" s="129">
        <f t="shared" si="44"/>
        <v>2.3854961832061066</v>
      </c>
      <c r="AG183" s="123">
        <f t="shared" si="45"/>
        <v>0.8405480373203329</v>
      </c>
      <c r="AH183" s="123">
        <f t="shared" si="46"/>
        <v>0.34047189404514655</v>
      </c>
      <c r="AN183" s="122">
        <v>44866</v>
      </c>
      <c r="AO183" s="131">
        <v>93.86</v>
      </c>
      <c r="AP183">
        <v>116.69</v>
      </c>
      <c r="AS183" s="122">
        <v>44866</v>
      </c>
      <c r="AT183" s="54">
        <v>844</v>
      </c>
    </row>
    <row r="184" spans="1:46" ht="15" x14ac:dyDescent="0.3">
      <c r="A184" s="76">
        <v>44866</v>
      </c>
      <c r="B184" s="77">
        <v>0.63449999999999995</v>
      </c>
      <c r="C184" s="77">
        <v>0.56359999999999999</v>
      </c>
      <c r="D184" s="77">
        <v>0.40239999999999998</v>
      </c>
      <c r="E184" s="77">
        <v>0.41049999999999998</v>
      </c>
      <c r="F184" s="77">
        <v>0.92379999999999995</v>
      </c>
      <c r="G184" s="77">
        <v>0.35620000000000002</v>
      </c>
      <c r="H184" s="77">
        <v>59.570900000000002</v>
      </c>
      <c r="I184" s="77">
        <v>0.69089999999999996</v>
      </c>
      <c r="J184" s="77">
        <v>4.4743000000000004</v>
      </c>
      <c r="K184" s="77">
        <v>0.58550000000000002</v>
      </c>
      <c r="L184" s="77">
        <v>0.41970000000000002</v>
      </c>
      <c r="M184" s="77">
        <v>1.1973</v>
      </c>
      <c r="N184" s="77">
        <v>3.0137999999999998</v>
      </c>
      <c r="U184" s="76">
        <v>44835</v>
      </c>
      <c r="V184" s="125">
        <f t="shared" si="34"/>
        <v>1.5535187199005747</v>
      </c>
      <c r="W184" s="123">
        <f t="shared" si="35"/>
        <v>1.7774617845716318</v>
      </c>
      <c r="X184" s="123">
        <f t="shared" si="36"/>
        <v>2.4612355402412009</v>
      </c>
      <c r="Y184" s="123">
        <f t="shared" si="37"/>
        <v>2.4015369836695486</v>
      </c>
      <c r="Z184" s="123">
        <f t="shared" si="38"/>
        <v>1.0814318157240186</v>
      </c>
      <c r="AA184" s="123">
        <f t="shared" si="39"/>
        <v>2.759381898454746</v>
      </c>
      <c r="AB184" s="123">
        <f t="shared" si="40"/>
        <v>1.6611295681063121E-2</v>
      </c>
      <c r="AC184" s="127">
        <f t="shared" si="41"/>
        <v>1.3881177123820099</v>
      </c>
      <c r="AD184" s="123">
        <f t="shared" si="42"/>
        <v>0.21902926230944456</v>
      </c>
      <c r="AE184" s="123">
        <f t="shared" si="43"/>
        <v>1.6992353440951571</v>
      </c>
      <c r="AF184" s="129">
        <f t="shared" si="44"/>
        <v>2.4342745861733204</v>
      </c>
      <c r="AG184" s="123">
        <f t="shared" si="45"/>
        <v>0.83208520552504572</v>
      </c>
      <c r="AH184" s="123">
        <f t="shared" si="46"/>
        <v>0.33889114816320998</v>
      </c>
      <c r="AN184" s="122">
        <v>44896</v>
      </c>
      <c r="AO184" s="131">
        <v>93.01</v>
      </c>
      <c r="AP184">
        <v>116.21</v>
      </c>
      <c r="AS184" s="122">
        <v>44896</v>
      </c>
      <c r="AT184" s="54">
        <v>851.2</v>
      </c>
    </row>
    <row r="185" spans="1:46" ht="15" x14ac:dyDescent="0.3">
      <c r="A185" s="76">
        <v>44896</v>
      </c>
      <c r="B185" s="77">
        <v>0.63060000000000005</v>
      </c>
      <c r="C185" s="77">
        <v>0.5796</v>
      </c>
      <c r="D185" s="77">
        <v>0.3957</v>
      </c>
      <c r="E185" s="77">
        <v>0.40229999999999999</v>
      </c>
      <c r="F185" s="77">
        <v>0.92569999999999997</v>
      </c>
      <c r="G185" s="77">
        <v>0.3493</v>
      </c>
      <c r="H185" s="77">
        <v>57.598700000000001</v>
      </c>
      <c r="I185" s="77">
        <v>0.67010000000000003</v>
      </c>
      <c r="J185" s="77">
        <v>4.4280999999999997</v>
      </c>
      <c r="K185" s="77">
        <v>0.58050000000000002</v>
      </c>
      <c r="L185" s="77">
        <v>0.42649999999999999</v>
      </c>
      <c r="M185" s="77">
        <v>1.1951000000000001</v>
      </c>
      <c r="N185" s="77">
        <v>2.9767000000000001</v>
      </c>
      <c r="U185" s="76">
        <v>44866</v>
      </c>
      <c r="V185" s="125">
        <f t="shared" si="34"/>
        <v>1.5760441292356187</v>
      </c>
      <c r="W185" s="123">
        <f t="shared" si="35"/>
        <v>1.7743080198722498</v>
      </c>
      <c r="X185" s="123">
        <f t="shared" si="36"/>
        <v>2.4850894632206759</v>
      </c>
      <c r="Y185" s="123">
        <f t="shared" si="37"/>
        <v>2.4360535931790501</v>
      </c>
      <c r="Z185" s="123">
        <f t="shared" si="38"/>
        <v>1.082485386447283</v>
      </c>
      <c r="AA185" s="123">
        <f t="shared" si="39"/>
        <v>2.807411566535654</v>
      </c>
      <c r="AB185" s="123">
        <f t="shared" si="40"/>
        <v>1.6786719690318596E-2</v>
      </c>
      <c r="AC185" s="127">
        <f t="shared" si="41"/>
        <v>1.4473874656245478</v>
      </c>
      <c r="AD185" s="123">
        <f t="shared" si="42"/>
        <v>0.2234986478331806</v>
      </c>
      <c r="AE185" s="123">
        <f t="shared" si="43"/>
        <v>1.7079419299743808</v>
      </c>
      <c r="AF185" s="129">
        <f t="shared" si="44"/>
        <v>2.382654276864427</v>
      </c>
      <c r="AG185" s="123">
        <f t="shared" si="45"/>
        <v>0.83521256159692636</v>
      </c>
      <c r="AH185" s="123">
        <f t="shared" si="46"/>
        <v>0.33180702103656518</v>
      </c>
      <c r="AN185" s="122">
        <v>44927</v>
      </c>
      <c r="AO185" s="131">
        <v>92.36</v>
      </c>
      <c r="AP185">
        <v>114.27</v>
      </c>
      <c r="AS185" s="122">
        <v>44927</v>
      </c>
      <c r="AT185" s="54">
        <v>844</v>
      </c>
    </row>
    <row r="186" spans="1:46" ht="15" x14ac:dyDescent="0.3">
      <c r="A186" s="76">
        <v>44927</v>
      </c>
      <c r="B186" s="77">
        <v>0.61719999999999997</v>
      </c>
      <c r="C186" s="77">
        <v>0.57689999999999997</v>
      </c>
      <c r="D186" s="77">
        <v>0.39479999999999998</v>
      </c>
      <c r="E186" s="77">
        <v>0.39789999999999998</v>
      </c>
      <c r="F186" s="77">
        <v>0.91979999999999995</v>
      </c>
      <c r="G186" s="77">
        <v>0.35020000000000001</v>
      </c>
      <c r="H186" s="77">
        <v>55.869900000000001</v>
      </c>
      <c r="I186" s="77">
        <v>0.66979999999999995</v>
      </c>
      <c r="J186" s="77">
        <v>4.4617000000000004</v>
      </c>
      <c r="K186" s="77">
        <v>0.57340000000000002</v>
      </c>
      <c r="L186" s="77">
        <v>0.42980000000000002</v>
      </c>
      <c r="M186" s="77">
        <v>1.1931</v>
      </c>
      <c r="N186" s="77">
        <v>2.9218000000000002</v>
      </c>
      <c r="U186" s="76">
        <v>44896</v>
      </c>
      <c r="V186" s="125">
        <f t="shared" si="34"/>
        <v>1.5857913098636218</v>
      </c>
      <c r="W186" s="123">
        <f t="shared" si="35"/>
        <v>1.7253278122843341</v>
      </c>
      <c r="X186" s="123">
        <f t="shared" si="36"/>
        <v>2.5271670457417237</v>
      </c>
      <c r="Y186" s="123">
        <f t="shared" si="37"/>
        <v>2.4857071836937608</v>
      </c>
      <c r="Z186" s="123">
        <f t="shared" si="38"/>
        <v>1.0802635843145727</v>
      </c>
      <c r="AA186" s="123">
        <f t="shared" si="39"/>
        <v>2.8628685943315202</v>
      </c>
      <c r="AB186" s="123">
        <f t="shared" si="40"/>
        <v>1.7361502950587426E-2</v>
      </c>
      <c r="AC186" s="127">
        <f t="shared" si="41"/>
        <v>1.4923145799134456</v>
      </c>
      <c r="AD186" s="123">
        <f t="shared" si="42"/>
        <v>0.2258304916329803</v>
      </c>
      <c r="AE186" s="123">
        <f t="shared" si="43"/>
        <v>1.722652885443583</v>
      </c>
      <c r="AF186" s="129">
        <f t="shared" si="44"/>
        <v>2.3446658851113718</v>
      </c>
      <c r="AG186" s="123">
        <f t="shared" si="45"/>
        <v>0.83675006275625463</v>
      </c>
      <c r="AH186" s="123">
        <f t="shared" si="46"/>
        <v>0.33594248664628612</v>
      </c>
      <c r="AN186" s="122">
        <v>44958</v>
      </c>
      <c r="AO186" s="131">
        <v>93.55</v>
      </c>
      <c r="AP186">
        <v>117.06</v>
      </c>
      <c r="AS186" s="122">
        <v>44958</v>
      </c>
      <c r="AT186" s="54">
        <v>845.9</v>
      </c>
    </row>
    <row r="187" spans="1:46" ht="15" x14ac:dyDescent="0.3">
      <c r="A187" s="76">
        <v>44958</v>
      </c>
      <c r="B187" s="77">
        <v>0.61699999999999999</v>
      </c>
      <c r="C187" s="77">
        <v>0.57430000000000003</v>
      </c>
      <c r="D187" s="77">
        <v>0.39290000000000003</v>
      </c>
      <c r="E187" s="77">
        <v>0.39810000000000001</v>
      </c>
      <c r="F187" s="77">
        <v>0.9163</v>
      </c>
      <c r="G187" s="77">
        <v>0.35249999999999998</v>
      </c>
      <c r="H187" s="77">
        <v>56.677900000000001</v>
      </c>
      <c r="I187" s="77">
        <v>0.6774</v>
      </c>
      <c r="J187" s="77">
        <v>4.4617000000000004</v>
      </c>
      <c r="K187" s="77">
        <v>0.57269999999999999</v>
      </c>
      <c r="L187" s="77">
        <v>0.4279</v>
      </c>
      <c r="M187" s="77">
        <v>1.1940999999999999</v>
      </c>
      <c r="N187" s="77">
        <v>2.9228999999999998</v>
      </c>
      <c r="U187" s="76">
        <v>44927</v>
      </c>
      <c r="V187" s="125">
        <f t="shared" si="34"/>
        <v>1.6202203499675956</v>
      </c>
      <c r="W187" s="123">
        <f t="shared" si="35"/>
        <v>1.733402669440111</v>
      </c>
      <c r="X187" s="123">
        <f t="shared" si="36"/>
        <v>2.5329280648429586</v>
      </c>
      <c r="Y187" s="123">
        <f t="shared" si="37"/>
        <v>2.5131942699170646</v>
      </c>
      <c r="Z187" s="123">
        <f t="shared" si="38"/>
        <v>1.087192868014786</v>
      </c>
      <c r="AA187" s="123">
        <f t="shared" si="39"/>
        <v>2.855511136493432</v>
      </c>
      <c r="AB187" s="123">
        <f t="shared" si="40"/>
        <v>1.7898725431762005E-2</v>
      </c>
      <c r="AC187" s="127">
        <f t="shared" si="41"/>
        <v>1.4929829799940282</v>
      </c>
      <c r="AD187" s="123">
        <f t="shared" si="42"/>
        <v>0.22412981598942106</v>
      </c>
      <c r="AE187" s="123">
        <f t="shared" si="43"/>
        <v>1.7439832577607255</v>
      </c>
      <c r="AF187" s="129">
        <f t="shared" si="44"/>
        <v>2.3266635644485807</v>
      </c>
      <c r="AG187" s="123">
        <f t="shared" si="45"/>
        <v>0.83815271142402137</v>
      </c>
      <c r="AH187" s="123">
        <f t="shared" si="46"/>
        <v>0.34225477445410363</v>
      </c>
      <c r="AN187" s="122">
        <v>44986</v>
      </c>
      <c r="AO187" s="131">
        <v>93.12</v>
      </c>
      <c r="AP187">
        <v>117.18</v>
      </c>
      <c r="AS187" s="122">
        <v>44986</v>
      </c>
      <c r="AT187" s="54">
        <v>843.6</v>
      </c>
    </row>
    <row r="188" spans="1:46" ht="15" x14ac:dyDescent="0.3">
      <c r="A188" s="76">
        <v>44986</v>
      </c>
      <c r="B188" s="77">
        <v>0.63349999999999995</v>
      </c>
      <c r="C188" s="77">
        <v>0.58020000000000005</v>
      </c>
      <c r="D188" s="77">
        <v>0.39069999999999999</v>
      </c>
      <c r="E188" s="77">
        <v>0.39550000000000002</v>
      </c>
      <c r="F188" s="77">
        <v>0.9194</v>
      </c>
      <c r="G188" s="77">
        <v>0.34839999999999999</v>
      </c>
      <c r="H188" s="77">
        <v>56.548000000000002</v>
      </c>
      <c r="I188" s="77">
        <v>0.68240000000000001</v>
      </c>
      <c r="J188" s="77">
        <v>4.4428000000000001</v>
      </c>
      <c r="K188" s="77">
        <v>0.57250000000000001</v>
      </c>
      <c r="L188" s="77">
        <v>0.42430000000000001</v>
      </c>
      <c r="M188" s="77">
        <v>1.198</v>
      </c>
      <c r="N188" s="77">
        <v>2.9260999999999999</v>
      </c>
      <c r="U188" s="76">
        <v>44958</v>
      </c>
      <c r="V188" s="125">
        <f t="shared" si="34"/>
        <v>1.6207455429497568</v>
      </c>
      <c r="W188" s="123">
        <f t="shared" si="35"/>
        <v>1.7412502176562772</v>
      </c>
      <c r="X188" s="123">
        <f t="shared" si="36"/>
        <v>2.5451768897938405</v>
      </c>
      <c r="Y188" s="123">
        <f t="shared" si="37"/>
        <v>2.5119316754584275</v>
      </c>
      <c r="Z188" s="123">
        <f t="shared" si="38"/>
        <v>1.0913456291607553</v>
      </c>
      <c r="AA188" s="123">
        <f t="shared" si="39"/>
        <v>2.8368794326241136</v>
      </c>
      <c r="AB188" s="123">
        <f t="shared" si="40"/>
        <v>1.7643561246976334E-2</v>
      </c>
      <c r="AC188" s="127">
        <f t="shared" si="41"/>
        <v>1.4762326542663124</v>
      </c>
      <c r="AD188" s="123">
        <f t="shared" si="42"/>
        <v>0.22412981598942106</v>
      </c>
      <c r="AE188" s="123">
        <f t="shared" si="43"/>
        <v>1.7461148943600489</v>
      </c>
      <c r="AF188" s="129">
        <f t="shared" si="44"/>
        <v>2.3369946249123625</v>
      </c>
      <c r="AG188" s="123">
        <f t="shared" si="45"/>
        <v>0.83745079976551384</v>
      </c>
      <c r="AH188" s="123">
        <f t="shared" si="46"/>
        <v>0.34212597078244211</v>
      </c>
      <c r="AN188" s="122">
        <v>45017</v>
      </c>
      <c r="AO188" s="131">
        <v>93.58</v>
      </c>
      <c r="AP188">
        <v>117.1</v>
      </c>
      <c r="AS188" s="122">
        <v>45017</v>
      </c>
      <c r="AT188" s="54">
        <v>836.8</v>
      </c>
    </row>
    <row r="189" spans="1:46" ht="15" x14ac:dyDescent="0.3">
      <c r="A189" s="76">
        <v>45017</v>
      </c>
      <c r="B189" s="77">
        <v>0.63249999999999995</v>
      </c>
      <c r="C189" s="77">
        <v>0.57220000000000004</v>
      </c>
      <c r="D189" s="77">
        <v>0.37980000000000003</v>
      </c>
      <c r="E189" s="77">
        <v>0.38690000000000002</v>
      </c>
      <c r="F189" s="77">
        <v>0.9194</v>
      </c>
      <c r="G189" s="77">
        <v>0.34050000000000002</v>
      </c>
      <c r="H189" s="77">
        <v>56.539499999999997</v>
      </c>
      <c r="I189" s="77">
        <v>0.68259999999999998</v>
      </c>
      <c r="J189" s="77">
        <v>4.3917999999999999</v>
      </c>
      <c r="K189" s="77">
        <v>0.56920000000000004</v>
      </c>
      <c r="L189" s="77">
        <v>0.4249</v>
      </c>
      <c r="M189" s="77">
        <v>1.1982999999999999</v>
      </c>
      <c r="N189" s="77">
        <v>2.9266999999999999</v>
      </c>
      <c r="U189" s="76">
        <v>44986</v>
      </c>
      <c r="V189" s="125">
        <f t="shared" si="34"/>
        <v>1.5785319652722969</v>
      </c>
      <c r="W189" s="123">
        <f t="shared" si="35"/>
        <v>1.723543605653223</v>
      </c>
      <c r="X189" s="123">
        <f t="shared" si="36"/>
        <v>2.5595085743537243</v>
      </c>
      <c r="Y189" s="123">
        <f t="shared" si="37"/>
        <v>2.5284450063211126</v>
      </c>
      <c r="Z189" s="123">
        <f t="shared" si="38"/>
        <v>1.0876658690450294</v>
      </c>
      <c r="AA189" s="123">
        <f t="shared" si="39"/>
        <v>2.8702640642939152</v>
      </c>
      <c r="AB189" s="123">
        <f t="shared" si="40"/>
        <v>1.7684091391384309E-2</v>
      </c>
      <c r="AC189" s="127">
        <f t="shared" si="41"/>
        <v>1.4654161781946073</v>
      </c>
      <c r="AD189" s="123">
        <f t="shared" si="42"/>
        <v>0.22508328081390114</v>
      </c>
      <c r="AE189" s="123">
        <f t="shared" si="43"/>
        <v>1.7467248908296944</v>
      </c>
      <c r="AF189" s="129">
        <f t="shared" si="44"/>
        <v>2.3568230025925052</v>
      </c>
      <c r="AG189" s="123">
        <f t="shared" si="45"/>
        <v>0.8347245409015025</v>
      </c>
      <c r="AH189" s="123">
        <f t="shared" si="46"/>
        <v>0.34175181982844061</v>
      </c>
      <c r="AN189" s="122">
        <v>45047</v>
      </c>
      <c r="AO189" s="131">
        <v>94.31</v>
      </c>
      <c r="AP189">
        <v>118.94</v>
      </c>
      <c r="AS189" s="122">
        <v>45047</v>
      </c>
      <c r="AT189" s="54">
        <v>822.3</v>
      </c>
    </row>
    <row r="190" spans="1:46" ht="15" x14ac:dyDescent="0.3">
      <c r="A190" s="76">
        <v>45047</v>
      </c>
      <c r="B190" s="77">
        <v>0.63629999999999998</v>
      </c>
      <c r="C190" s="77">
        <v>0.57289999999999996</v>
      </c>
      <c r="D190" s="77">
        <v>0.378</v>
      </c>
      <c r="E190" s="77">
        <v>0.38900000000000001</v>
      </c>
      <c r="F190" s="77">
        <v>0.92010000000000003</v>
      </c>
      <c r="G190" s="77">
        <v>0.33850000000000002</v>
      </c>
      <c r="H190" s="77">
        <v>58.019199999999998</v>
      </c>
      <c r="I190" s="77">
        <v>0.68110000000000004</v>
      </c>
      <c r="J190" s="77">
        <v>4.4276999999999997</v>
      </c>
      <c r="K190" s="77">
        <v>0.5716</v>
      </c>
      <c r="L190" s="77">
        <v>0.42420000000000002</v>
      </c>
      <c r="M190" s="77">
        <v>1.1940999999999999</v>
      </c>
      <c r="N190" s="77">
        <v>2.9613999999999998</v>
      </c>
      <c r="U190" s="76">
        <v>45017</v>
      </c>
      <c r="V190" s="125">
        <f t="shared" si="34"/>
        <v>1.5810276679841899</v>
      </c>
      <c r="W190" s="123">
        <f t="shared" si="35"/>
        <v>1.7476406850751485</v>
      </c>
      <c r="X190" s="123">
        <f t="shared" si="36"/>
        <v>2.6329647182727749</v>
      </c>
      <c r="Y190" s="123">
        <f t="shared" si="37"/>
        <v>2.5846471956577926</v>
      </c>
      <c r="Z190" s="123">
        <f t="shared" si="38"/>
        <v>1.0876658690450294</v>
      </c>
      <c r="AA190" s="123">
        <f t="shared" si="39"/>
        <v>2.9368575624082229</v>
      </c>
      <c r="AB190" s="123">
        <f t="shared" si="40"/>
        <v>1.7686749971259033E-2</v>
      </c>
      <c r="AC190" s="127">
        <f t="shared" si="41"/>
        <v>1.464986815118664</v>
      </c>
      <c r="AD190" s="123">
        <f t="shared" si="42"/>
        <v>0.22769707181565646</v>
      </c>
      <c r="AE190" s="123">
        <f t="shared" si="43"/>
        <v>1.7568517217146871</v>
      </c>
      <c r="AF190" s="129">
        <f t="shared" si="44"/>
        <v>2.3534949399858789</v>
      </c>
      <c r="AG190" s="123">
        <f t="shared" si="45"/>
        <v>0.83451556371526336</v>
      </c>
      <c r="AH190" s="123">
        <f t="shared" si="46"/>
        <v>0.34168175761096115</v>
      </c>
      <c r="AN190" s="122">
        <v>45078</v>
      </c>
      <c r="AO190" s="131">
        <v>94.77</v>
      </c>
      <c r="AP190">
        <v>120.84</v>
      </c>
      <c r="AS190" s="122">
        <v>45078</v>
      </c>
      <c r="AT190" s="54">
        <v>841.8</v>
      </c>
    </row>
    <row r="191" spans="1:46" ht="15" x14ac:dyDescent="0.3">
      <c r="A191" s="76">
        <v>45078</v>
      </c>
      <c r="B191" s="77">
        <v>0.62919999999999998</v>
      </c>
      <c r="C191" s="77">
        <v>0.56240000000000001</v>
      </c>
      <c r="D191" s="77">
        <v>0.379</v>
      </c>
      <c r="E191" s="77">
        <v>0.3896</v>
      </c>
      <c r="F191" s="77">
        <v>0.9214</v>
      </c>
      <c r="G191" s="77">
        <v>0.33400000000000002</v>
      </c>
      <c r="H191" s="77">
        <v>59.669600000000003</v>
      </c>
      <c r="I191" s="77">
        <v>0.68889999999999996</v>
      </c>
      <c r="J191" s="77">
        <v>4.5552000000000001</v>
      </c>
      <c r="K191" s="77">
        <v>0.57350000000000001</v>
      </c>
      <c r="L191" s="77">
        <v>0.42320000000000002</v>
      </c>
      <c r="M191" s="77">
        <v>1.1541999999999999</v>
      </c>
      <c r="N191" s="77">
        <v>3.0299</v>
      </c>
      <c r="U191" s="76">
        <v>45047</v>
      </c>
      <c r="V191" s="125">
        <f t="shared" si="34"/>
        <v>1.5715857300015716</v>
      </c>
      <c r="W191" s="123">
        <f t="shared" si="35"/>
        <v>1.7455053237912377</v>
      </c>
      <c r="X191" s="123">
        <f t="shared" si="36"/>
        <v>2.6455026455026456</v>
      </c>
      <c r="Y191" s="123">
        <f t="shared" si="37"/>
        <v>2.5706940874035991</v>
      </c>
      <c r="Z191" s="123">
        <f t="shared" si="38"/>
        <v>1.0868383871318334</v>
      </c>
      <c r="AA191" s="123">
        <f t="shared" si="39"/>
        <v>2.954209748892171</v>
      </c>
      <c r="AB191" s="123">
        <f t="shared" si="40"/>
        <v>1.7235673708013901E-2</v>
      </c>
      <c r="AC191" s="127">
        <f t="shared" si="41"/>
        <v>1.4682131845543973</v>
      </c>
      <c r="AD191" s="123">
        <f t="shared" si="42"/>
        <v>0.22585089324028279</v>
      </c>
      <c r="AE191" s="123">
        <f t="shared" si="43"/>
        <v>1.7494751574527643</v>
      </c>
      <c r="AF191" s="129">
        <f t="shared" si="44"/>
        <v>2.3573785950023574</v>
      </c>
      <c r="AG191" s="123">
        <f t="shared" si="45"/>
        <v>0.83745079976551384</v>
      </c>
      <c r="AH191" s="123">
        <f t="shared" si="46"/>
        <v>0.33767812521104884</v>
      </c>
      <c r="AN191" s="122">
        <v>45108</v>
      </c>
      <c r="AO191" s="131">
        <v>94.35</v>
      </c>
      <c r="AP191">
        <v>119.12</v>
      </c>
      <c r="AS191" s="122">
        <v>45108</v>
      </c>
      <c r="AT191" s="54">
        <v>856.8</v>
      </c>
    </row>
    <row r="192" spans="1:46" ht="15" x14ac:dyDescent="0.3">
      <c r="A192" s="76">
        <v>45108</v>
      </c>
      <c r="B192" s="77">
        <v>0.63019999999999998</v>
      </c>
      <c r="C192" s="77">
        <v>0.56230000000000002</v>
      </c>
      <c r="D192" s="77">
        <v>0.3695</v>
      </c>
      <c r="E192" s="77">
        <v>0.38379999999999997</v>
      </c>
      <c r="F192" s="77">
        <v>0.92549999999999999</v>
      </c>
      <c r="G192" s="77">
        <v>0.3291</v>
      </c>
      <c r="H192" s="77">
        <v>59.843899999999998</v>
      </c>
      <c r="I192" s="77">
        <v>0.68220000000000003</v>
      </c>
      <c r="J192" s="77">
        <v>4.4694000000000003</v>
      </c>
      <c r="K192" s="77">
        <v>0.57150000000000001</v>
      </c>
      <c r="L192" s="77">
        <v>0.42530000000000001</v>
      </c>
      <c r="M192" s="77">
        <v>1.1541999999999999</v>
      </c>
      <c r="N192" s="77">
        <v>3.0586000000000002</v>
      </c>
      <c r="U192" s="76">
        <v>45078</v>
      </c>
      <c r="V192" s="125">
        <f t="shared" si="34"/>
        <v>1.589319771137953</v>
      </c>
      <c r="W192" s="123">
        <f t="shared" si="35"/>
        <v>1.7780938833570412</v>
      </c>
      <c r="X192" s="123">
        <f t="shared" si="36"/>
        <v>2.6385224274406331</v>
      </c>
      <c r="Y192" s="123">
        <f t="shared" si="37"/>
        <v>2.5667351129363452</v>
      </c>
      <c r="Z192" s="123">
        <f t="shared" si="38"/>
        <v>1.0853049706967659</v>
      </c>
      <c r="AA192" s="123">
        <f t="shared" si="39"/>
        <v>2.9940119760479038</v>
      </c>
      <c r="AB192" s="123">
        <f t="shared" si="40"/>
        <v>1.6758952632496278E-2</v>
      </c>
      <c r="AC192" s="127">
        <f t="shared" si="41"/>
        <v>1.451589490492089</v>
      </c>
      <c r="AD192" s="123">
        <f t="shared" si="42"/>
        <v>0.2195293291183702</v>
      </c>
      <c r="AE192" s="123">
        <f t="shared" si="43"/>
        <v>1.7436791630340016</v>
      </c>
      <c r="AF192" s="129">
        <f t="shared" si="44"/>
        <v>2.3629489603024574</v>
      </c>
      <c r="AG192" s="123">
        <f t="shared" si="45"/>
        <v>0.86640097036908692</v>
      </c>
      <c r="AH192" s="123">
        <f t="shared" si="46"/>
        <v>0.33004389583814647</v>
      </c>
      <c r="AN192" s="122">
        <v>45139</v>
      </c>
      <c r="AO192" s="131">
        <v>95.31</v>
      </c>
      <c r="AP192">
        <v>118.83</v>
      </c>
      <c r="AS192" s="122">
        <v>45139</v>
      </c>
      <c r="AT192" s="54">
        <v>854.7</v>
      </c>
    </row>
    <row r="193" spans="1:46" ht="15" x14ac:dyDescent="0.3">
      <c r="A193" s="76">
        <v>45139</v>
      </c>
      <c r="B193" s="77">
        <v>0.64529999999999998</v>
      </c>
      <c r="C193" s="77">
        <v>0.56520000000000004</v>
      </c>
      <c r="D193" s="77">
        <v>0.36649999999999999</v>
      </c>
      <c r="E193" s="77">
        <v>0.38390000000000002</v>
      </c>
      <c r="F193" s="77">
        <v>0.93089999999999995</v>
      </c>
      <c r="G193" s="77">
        <v>0.32919999999999999</v>
      </c>
      <c r="H193" s="77">
        <v>60.651000000000003</v>
      </c>
      <c r="I193" s="77">
        <v>0.69820000000000004</v>
      </c>
      <c r="J193" s="77">
        <v>4.5335999999999999</v>
      </c>
      <c r="K193" s="77">
        <v>0.57050000000000001</v>
      </c>
      <c r="L193" s="77">
        <v>0.41980000000000001</v>
      </c>
      <c r="M193" s="77">
        <v>1.1575</v>
      </c>
      <c r="N193" s="77">
        <v>3.0411000000000001</v>
      </c>
      <c r="U193" s="76">
        <v>45108</v>
      </c>
      <c r="V193" s="125">
        <f t="shared" si="34"/>
        <v>1.5867978419549349</v>
      </c>
      <c r="W193" s="123">
        <f t="shared" si="35"/>
        <v>1.7784101013693756</v>
      </c>
      <c r="X193" s="123">
        <f t="shared" si="36"/>
        <v>2.7063599458728009</v>
      </c>
      <c r="Y193" s="123">
        <f t="shared" si="37"/>
        <v>2.6055237102657638</v>
      </c>
      <c r="Z193" s="123">
        <f t="shared" si="38"/>
        <v>1.0804970286331712</v>
      </c>
      <c r="AA193" s="123">
        <f t="shared" si="39"/>
        <v>3.0385900941962927</v>
      </c>
      <c r="AB193" s="123">
        <f t="shared" si="40"/>
        <v>1.6710140883197788E-2</v>
      </c>
      <c r="AC193" s="127">
        <f t="shared" si="41"/>
        <v>1.4658457930225739</v>
      </c>
      <c r="AD193" s="123">
        <f t="shared" si="42"/>
        <v>0.22374367924106142</v>
      </c>
      <c r="AE193" s="123">
        <f t="shared" si="43"/>
        <v>1.7497812773403325</v>
      </c>
      <c r="AF193" s="129">
        <f t="shared" si="44"/>
        <v>2.351281448389372</v>
      </c>
      <c r="AG193" s="123">
        <f t="shared" si="45"/>
        <v>0.86640097036908692</v>
      </c>
      <c r="AH193" s="123">
        <f t="shared" si="46"/>
        <v>0.32694696920159549</v>
      </c>
      <c r="AN193" s="122">
        <v>45170</v>
      </c>
      <c r="AO193" s="131">
        <v>95.5</v>
      </c>
      <c r="AP193">
        <v>119.49</v>
      </c>
      <c r="AS193" s="122">
        <v>45170</v>
      </c>
      <c r="AT193" s="54">
        <v>847.8</v>
      </c>
    </row>
    <row r="194" spans="1:46" ht="15" x14ac:dyDescent="0.3">
      <c r="A194" s="76">
        <v>45170</v>
      </c>
      <c r="B194" s="77">
        <v>0.64870000000000005</v>
      </c>
      <c r="C194" s="77">
        <v>0.56530000000000002</v>
      </c>
      <c r="D194" s="77">
        <v>0.37290000000000001</v>
      </c>
      <c r="E194" s="77">
        <v>0.38990000000000002</v>
      </c>
      <c r="F194" s="77">
        <v>0.93149999999999999</v>
      </c>
      <c r="G194" s="77">
        <v>0.33539999999999998</v>
      </c>
      <c r="H194" s="77">
        <v>61.508899999999997</v>
      </c>
      <c r="I194" s="77">
        <v>0.70320000000000005</v>
      </c>
      <c r="J194" s="77">
        <v>4.6265000000000001</v>
      </c>
      <c r="K194" s="77">
        <v>0.57279999999999998</v>
      </c>
      <c r="L194" s="77">
        <v>0.41739999999999999</v>
      </c>
      <c r="M194" s="77">
        <v>1.1568000000000001</v>
      </c>
      <c r="N194" s="77">
        <v>3.0455999999999999</v>
      </c>
      <c r="U194" s="76">
        <v>45139</v>
      </c>
      <c r="V194" s="125">
        <f t="shared" si="34"/>
        <v>1.5496668216333489</v>
      </c>
      <c r="W194" s="123">
        <f t="shared" si="35"/>
        <v>1.7692852087756545</v>
      </c>
      <c r="X194" s="123">
        <f t="shared" si="36"/>
        <v>2.7285129604365621</v>
      </c>
      <c r="Y194" s="123">
        <f t="shared" si="37"/>
        <v>2.6048450117218023</v>
      </c>
      <c r="Z194" s="123">
        <f t="shared" si="38"/>
        <v>1.074229240519927</v>
      </c>
      <c r="AA194" s="123">
        <f t="shared" si="39"/>
        <v>3.0376670716889431</v>
      </c>
      <c r="AB194" s="123">
        <f t="shared" si="40"/>
        <v>1.648777431534517E-2</v>
      </c>
      <c r="AC194" s="127">
        <f t="shared" si="41"/>
        <v>1.4322543683758235</v>
      </c>
      <c r="AD194" s="123">
        <f t="shared" si="42"/>
        <v>0.22057526027880714</v>
      </c>
      <c r="AE194" s="123">
        <f t="shared" si="43"/>
        <v>1.7528483786152498</v>
      </c>
      <c r="AF194" s="129">
        <f t="shared" si="44"/>
        <v>2.3820867079561694</v>
      </c>
      <c r="AG194" s="123">
        <f t="shared" si="45"/>
        <v>0.86393088552915764</v>
      </c>
      <c r="AH194" s="123">
        <f t="shared" si="46"/>
        <v>0.32882838446614709</v>
      </c>
      <c r="AN194" s="122">
        <v>45200</v>
      </c>
      <c r="AO194" s="131">
        <v>95.81</v>
      </c>
      <c r="AP194">
        <v>122.45</v>
      </c>
      <c r="AS194" s="122">
        <v>45200</v>
      </c>
      <c r="AT194" s="54">
        <v>844.9</v>
      </c>
    </row>
    <row r="195" spans="1:46" ht="15" x14ac:dyDescent="0.3">
      <c r="A195" s="76">
        <v>45200</v>
      </c>
      <c r="B195" s="77">
        <v>0.6542</v>
      </c>
      <c r="C195" s="77">
        <v>0.57020000000000004</v>
      </c>
      <c r="D195" s="77">
        <v>0.37419999999999998</v>
      </c>
      <c r="E195" s="77">
        <v>0.39329999999999998</v>
      </c>
      <c r="F195" s="77">
        <v>0.93579999999999997</v>
      </c>
      <c r="G195" s="77">
        <v>0.34089999999999998</v>
      </c>
      <c r="H195" s="77">
        <v>62.112400000000001</v>
      </c>
      <c r="I195" s="77">
        <v>0.70340000000000003</v>
      </c>
      <c r="J195" s="77">
        <v>4.5846999999999998</v>
      </c>
      <c r="K195" s="77">
        <v>0.5736</v>
      </c>
      <c r="L195" s="77">
        <v>0.4163</v>
      </c>
      <c r="M195" s="77">
        <v>1.1574</v>
      </c>
      <c r="N195" s="77">
        <v>3.0421999999999998</v>
      </c>
      <c r="U195" s="76">
        <v>45170</v>
      </c>
      <c r="V195" s="125">
        <f t="shared" si="34"/>
        <v>1.5415446277169722</v>
      </c>
      <c r="W195" s="123">
        <f t="shared" si="35"/>
        <v>1.768972227136034</v>
      </c>
      <c r="X195" s="123">
        <f t="shared" si="36"/>
        <v>2.6816840976133012</v>
      </c>
      <c r="Y195" s="123">
        <f t="shared" si="37"/>
        <v>2.5647601949217749</v>
      </c>
      <c r="Z195" s="123">
        <f t="shared" si="38"/>
        <v>1.0735373054213635</v>
      </c>
      <c r="AA195" s="123">
        <f t="shared" si="39"/>
        <v>2.9815146094215863</v>
      </c>
      <c r="AB195" s="123">
        <f t="shared" si="40"/>
        <v>1.6257809845404488E-2</v>
      </c>
      <c r="AC195" s="127">
        <f t="shared" si="41"/>
        <v>1.422070534698521</v>
      </c>
      <c r="AD195" s="123">
        <f t="shared" si="42"/>
        <v>0.21614611477358694</v>
      </c>
      <c r="AE195" s="123">
        <f t="shared" si="43"/>
        <v>1.7458100558659218</v>
      </c>
      <c r="AF195" s="129">
        <f t="shared" si="44"/>
        <v>2.3957834211787254</v>
      </c>
      <c r="AG195" s="123">
        <f t="shared" si="45"/>
        <v>0.86445366528354073</v>
      </c>
      <c r="AH195" s="123">
        <f t="shared" si="46"/>
        <v>0.32834252692408722</v>
      </c>
      <c r="AN195" s="122">
        <v>45231</v>
      </c>
      <c r="AO195" s="131">
        <v>94.75</v>
      </c>
      <c r="AP195">
        <v>117.49</v>
      </c>
      <c r="AS195" s="122">
        <v>45231</v>
      </c>
      <c r="AT195" s="54">
        <v>855.7</v>
      </c>
    </row>
    <row r="196" spans="1:46" ht="15" x14ac:dyDescent="0.3">
      <c r="A196" s="76">
        <v>45231</v>
      </c>
      <c r="B196" s="77">
        <v>0.64470000000000005</v>
      </c>
      <c r="C196" s="77">
        <v>0.57530000000000003</v>
      </c>
      <c r="D196" s="77">
        <v>0.37180000000000002</v>
      </c>
      <c r="E196" s="77">
        <v>0.3871</v>
      </c>
      <c r="F196" s="77">
        <v>0.93540000000000001</v>
      </c>
      <c r="G196" s="77">
        <v>0.3367</v>
      </c>
      <c r="H196" s="77">
        <v>62.744100000000003</v>
      </c>
      <c r="I196" s="77">
        <v>0.69910000000000005</v>
      </c>
      <c r="J196" s="77">
        <v>4.4789000000000003</v>
      </c>
      <c r="K196" s="77">
        <v>0.56940000000000002</v>
      </c>
      <c r="L196" s="77">
        <v>0.41909999999999997</v>
      </c>
      <c r="M196" s="77">
        <v>1.1558999999999999</v>
      </c>
      <c r="N196" s="77">
        <v>3.0291999999999999</v>
      </c>
      <c r="U196" s="76">
        <v>45200</v>
      </c>
      <c r="V196" s="125">
        <f t="shared" si="34"/>
        <v>1.5285845307245491</v>
      </c>
      <c r="W196" s="123">
        <f t="shared" si="35"/>
        <v>1.7537706068046299</v>
      </c>
      <c r="X196" s="123">
        <f t="shared" si="36"/>
        <v>2.672367717797969</v>
      </c>
      <c r="Y196" s="123">
        <f t="shared" si="37"/>
        <v>2.5425883549453343</v>
      </c>
      <c r="Z196" s="123">
        <f t="shared" si="38"/>
        <v>1.0686044026501389</v>
      </c>
      <c r="AA196" s="123">
        <f t="shared" si="39"/>
        <v>2.9334115576415374</v>
      </c>
      <c r="AB196" s="123">
        <f t="shared" si="40"/>
        <v>1.6099844797496151E-2</v>
      </c>
      <c r="AC196" s="127">
        <f t="shared" si="41"/>
        <v>1.4216661927779357</v>
      </c>
      <c r="AD196" s="123">
        <f t="shared" si="42"/>
        <v>0.21811677972386417</v>
      </c>
      <c r="AE196" s="123">
        <f t="shared" si="43"/>
        <v>1.7433751743375174</v>
      </c>
      <c r="AF196" s="129">
        <f t="shared" si="44"/>
        <v>2.4021138601969731</v>
      </c>
      <c r="AG196" s="123">
        <f t="shared" si="45"/>
        <v>0.86400552963538968</v>
      </c>
      <c r="AH196" s="123">
        <f t="shared" si="46"/>
        <v>0.32870948655578203</v>
      </c>
      <c r="AN196" s="122">
        <v>45261</v>
      </c>
      <c r="AO196" s="131">
        <v>94.03</v>
      </c>
      <c r="AP196">
        <v>120.44</v>
      </c>
      <c r="AS196" s="122">
        <v>45261</v>
      </c>
      <c r="AT196" s="54">
        <v>868.1</v>
      </c>
    </row>
    <row r="197" spans="1:46" ht="15" x14ac:dyDescent="0.3">
      <c r="A197" s="76">
        <v>45261</v>
      </c>
      <c r="B197" s="77">
        <v>0.63480000000000003</v>
      </c>
      <c r="C197" s="77">
        <v>0.57089999999999996</v>
      </c>
      <c r="D197" s="77">
        <v>0.36609999999999998</v>
      </c>
      <c r="E197" s="77">
        <v>0.38869999999999999</v>
      </c>
      <c r="F197" s="77">
        <v>0.9335</v>
      </c>
      <c r="G197" s="77">
        <v>0.3347</v>
      </c>
      <c r="H197" s="77">
        <v>61.13</v>
      </c>
      <c r="I197" s="77">
        <v>0.68269999999999997</v>
      </c>
      <c r="J197" s="77">
        <v>4.3658999999999999</v>
      </c>
      <c r="K197" s="77">
        <v>0.56999999999999995</v>
      </c>
      <c r="L197" s="77">
        <v>0.42459999999999998</v>
      </c>
      <c r="M197" s="77">
        <v>1.1526000000000001</v>
      </c>
      <c r="N197" s="77">
        <v>3.0335000000000001</v>
      </c>
      <c r="U197" s="76">
        <v>45231</v>
      </c>
      <c r="V197" s="125">
        <f t="shared" si="34"/>
        <v>1.5511090429657204</v>
      </c>
      <c r="W197" s="123">
        <f t="shared" si="35"/>
        <v>1.7382235355466713</v>
      </c>
      <c r="X197" s="123">
        <f t="shared" si="36"/>
        <v>2.6896180742334588</v>
      </c>
      <c r="Y197" s="123">
        <f t="shared" si="37"/>
        <v>2.5833118057349522</v>
      </c>
      <c r="Z197" s="123">
        <f t="shared" si="38"/>
        <v>1.0690613641223006</v>
      </c>
      <c r="AA197" s="123">
        <f t="shared" si="39"/>
        <v>2.97000297000297</v>
      </c>
      <c r="AB197" s="123">
        <f t="shared" si="40"/>
        <v>1.5937753509891767E-2</v>
      </c>
      <c r="AC197" s="127">
        <f t="shared" si="41"/>
        <v>1.4304105278214847</v>
      </c>
      <c r="AD197" s="123">
        <f t="shared" si="42"/>
        <v>0.22326910625376764</v>
      </c>
      <c r="AE197" s="123">
        <f t="shared" si="43"/>
        <v>1.7562346329469616</v>
      </c>
      <c r="AF197" s="129">
        <f t="shared" si="44"/>
        <v>2.3860653781913626</v>
      </c>
      <c r="AG197" s="123">
        <f t="shared" si="45"/>
        <v>0.86512674106756648</v>
      </c>
      <c r="AH197" s="123">
        <f t="shared" si="46"/>
        <v>0.33012016373960124</v>
      </c>
      <c r="AN197" s="122">
        <v>45292</v>
      </c>
      <c r="AO197" s="131">
        <v>94.85</v>
      </c>
      <c r="AP197">
        <v>120.68</v>
      </c>
      <c r="AS197" s="122">
        <v>45292</v>
      </c>
      <c r="AT197" s="54">
        <v>846.2</v>
      </c>
    </row>
    <row r="198" spans="1:46" ht="15" x14ac:dyDescent="0.3">
      <c r="A198" s="76">
        <v>45292</v>
      </c>
      <c r="B198" s="77">
        <v>0.63649999999999995</v>
      </c>
      <c r="C198" s="77">
        <v>0.56859999999999999</v>
      </c>
      <c r="D198" s="77">
        <v>0.36159999999999998</v>
      </c>
      <c r="E198" s="77">
        <v>0.3876</v>
      </c>
      <c r="F198" s="77">
        <v>0.93489999999999995</v>
      </c>
      <c r="G198" s="77">
        <v>0.33260000000000001</v>
      </c>
      <c r="H198" s="77">
        <v>61.772799999999997</v>
      </c>
      <c r="I198" s="77">
        <v>0.68489999999999995</v>
      </c>
      <c r="J198" s="77">
        <v>4.3821000000000003</v>
      </c>
      <c r="K198" s="77">
        <v>0.56979999999999997</v>
      </c>
      <c r="L198" s="77">
        <v>0.42380000000000001</v>
      </c>
      <c r="M198" s="77">
        <v>1.1532</v>
      </c>
      <c r="N198" s="77">
        <v>3.0377000000000001</v>
      </c>
      <c r="U198" s="76">
        <v>45261</v>
      </c>
      <c r="V198" s="125">
        <f t="shared" si="34"/>
        <v>1.575299306868305</v>
      </c>
      <c r="W198" s="123">
        <f t="shared" si="35"/>
        <v>1.7516202487300754</v>
      </c>
      <c r="X198" s="123">
        <f t="shared" si="36"/>
        <v>2.7314941272876263</v>
      </c>
      <c r="Y198" s="123">
        <f t="shared" si="37"/>
        <v>2.5726781579624389</v>
      </c>
      <c r="Z198" s="123">
        <f t="shared" si="38"/>
        <v>1.0712372790573113</v>
      </c>
      <c r="AA198" s="123">
        <f t="shared" si="39"/>
        <v>2.987750224081267</v>
      </c>
      <c r="AB198" s="123">
        <f t="shared" si="40"/>
        <v>1.6358580075249467E-2</v>
      </c>
      <c r="AC198" s="127">
        <f t="shared" si="41"/>
        <v>1.4647722279185587</v>
      </c>
      <c r="AD198" s="123">
        <f t="shared" si="42"/>
        <v>0.22904784809546716</v>
      </c>
      <c r="AE198" s="123">
        <f t="shared" si="43"/>
        <v>1.7543859649122808</v>
      </c>
      <c r="AF198" s="129">
        <f t="shared" si="44"/>
        <v>2.3551577955723033</v>
      </c>
      <c r="AG198" s="123">
        <f t="shared" si="45"/>
        <v>0.86760367863959742</v>
      </c>
      <c r="AH198" s="123">
        <f t="shared" si="46"/>
        <v>0.3296522169111587</v>
      </c>
      <c r="AN198" s="122">
        <v>45323</v>
      </c>
      <c r="AO198" s="131">
        <v>95.09</v>
      </c>
      <c r="AP198">
        <v>119.33</v>
      </c>
      <c r="AS198" s="122">
        <v>45323</v>
      </c>
      <c r="AT198" s="54">
        <v>849.5</v>
      </c>
    </row>
    <row r="199" spans="1:46" ht="15" x14ac:dyDescent="0.3">
      <c r="A199" s="76">
        <v>45323</v>
      </c>
      <c r="B199" s="77">
        <v>0.64500000000000002</v>
      </c>
      <c r="C199" s="77">
        <v>0.56889999999999996</v>
      </c>
      <c r="D199" s="77">
        <v>0.36720000000000003</v>
      </c>
      <c r="E199" s="77">
        <v>0.38990000000000002</v>
      </c>
      <c r="F199" s="77">
        <v>0.93479999999999996</v>
      </c>
      <c r="G199" s="77">
        <v>0.33289999999999997</v>
      </c>
      <c r="H199" s="77">
        <v>62.929099999999998</v>
      </c>
      <c r="I199" s="77">
        <v>0.68720000000000003</v>
      </c>
      <c r="J199" s="77">
        <v>4.3929</v>
      </c>
      <c r="K199" s="77">
        <v>0.57099999999999995</v>
      </c>
      <c r="L199" s="77">
        <v>0.42170000000000002</v>
      </c>
      <c r="M199" s="77">
        <v>1.1544000000000001</v>
      </c>
      <c r="N199" s="77">
        <v>3.0331000000000001</v>
      </c>
      <c r="U199" s="76">
        <v>45292</v>
      </c>
      <c r="V199" s="125">
        <f t="shared" si="34"/>
        <v>1.5710919088766695</v>
      </c>
      <c r="W199" s="123">
        <f t="shared" si="35"/>
        <v>1.7587055926837847</v>
      </c>
      <c r="X199" s="123">
        <f t="shared" si="36"/>
        <v>2.7654867256637168</v>
      </c>
      <c r="Y199" s="123">
        <f t="shared" si="37"/>
        <v>2.5799793601651189</v>
      </c>
      <c r="Z199" s="123">
        <f t="shared" si="38"/>
        <v>1.0696331158412664</v>
      </c>
      <c r="AA199" s="123">
        <f t="shared" si="39"/>
        <v>3.0066145520144318</v>
      </c>
      <c r="AB199" s="123">
        <f t="shared" si="40"/>
        <v>1.6188354745130543E-2</v>
      </c>
      <c r="AC199" s="127">
        <f t="shared" si="41"/>
        <v>1.4600671630895021</v>
      </c>
      <c r="AD199" s="123">
        <f t="shared" si="42"/>
        <v>0.22820109080121401</v>
      </c>
      <c r="AE199" s="123">
        <f t="shared" si="43"/>
        <v>1.7550017550017551</v>
      </c>
      <c r="AF199" s="129">
        <f t="shared" si="44"/>
        <v>2.3596035865974514</v>
      </c>
      <c r="AG199" s="123">
        <f t="shared" si="45"/>
        <v>0.8671522719389525</v>
      </c>
      <c r="AH199" s="123">
        <f t="shared" si="46"/>
        <v>0.3291964315106824</v>
      </c>
      <c r="AN199" s="122">
        <v>45352</v>
      </c>
      <c r="AO199" s="131">
        <v>95.44</v>
      </c>
      <c r="AP199" s="10">
        <v>120</v>
      </c>
      <c r="AS199" s="122">
        <v>45352</v>
      </c>
      <c r="AT199" s="54">
        <v>853</v>
      </c>
    </row>
    <row r="200" spans="1:46" ht="15" x14ac:dyDescent="0.3">
      <c r="A200" s="76">
        <v>45352</v>
      </c>
      <c r="B200" s="77">
        <v>0.64139999999999997</v>
      </c>
      <c r="C200" s="77">
        <v>0.57050000000000001</v>
      </c>
      <c r="D200" s="77">
        <v>0.37180000000000002</v>
      </c>
      <c r="E200" s="77">
        <v>0.38669999999999999</v>
      </c>
      <c r="F200" s="77">
        <v>0.93540000000000001</v>
      </c>
      <c r="G200" s="77">
        <v>0.33040000000000003</v>
      </c>
      <c r="H200" s="77">
        <v>62.9666</v>
      </c>
      <c r="I200" s="77">
        <v>0.69059999999999999</v>
      </c>
      <c r="J200" s="77">
        <v>4.3745000000000003</v>
      </c>
      <c r="K200" s="77">
        <v>0.56869999999999998</v>
      </c>
      <c r="L200" s="77">
        <v>0.42149999999999999</v>
      </c>
      <c r="M200" s="77">
        <v>1.1541999999999999</v>
      </c>
      <c r="N200" s="77">
        <v>3.0341</v>
      </c>
      <c r="U200" s="76">
        <v>45323</v>
      </c>
      <c r="V200" s="125">
        <f t="shared" si="34"/>
        <v>1.5503875968992247</v>
      </c>
      <c r="W200" s="123">
        <f t="shared" si="35"/>
        <v>1.7577781683951486</v>
      </c>
      <c r="X200" s="123">
        <f t="shared" si="36"/>
        <v>2.7233115468409586</v>
      </c>
      <c r="Y200" s="123">
        <f t="shared" si="37"/>
        <v>2.5647601949217749</v>
      </c>
      <c r="Z200" s="123">
        <f t="shared" si="38"/>
        <v>1.069747539580659</v>
      </c>
      <c r="AA200" s="123">
        <f t="shared" si="39"/>
        <v>3.0039050765995796</v>
      </c>
      <c r="AB200" s="123">
        <f t="shared" si="40"/>
        <v>1.5890899440799248E-2</v>
      </c>
      <c r="AC200" s="127">
        <f t="shared" si="41"/>
        <v>1.4551804423748544</v>
      </c>
      <c r="AD200" s="123">
        <f t="shared" si="42"/>
        <v>0.22764005554417355</v>
      </c>
      <c r="AE200" s="123">
        <f t="shared" si="43"/>
        <v>1.7513134851138354</v>
      </c>
      <c r="AF200" s="129">
        <f t="shared" si="44"/>
        <v>2.3713540431586435</v>
      </c>
      <c r="AG200" s="123">
        <f t="shared" si="45"/>
        <v>0.86625086625086622</v>
      </c>
      <c r="AH200" s="123">
        <f t="shared" si="46"/>
        <v>0.3296956908773202</v>
      </c>
      <c r="AN200" s="122">
        <v>45383</v>
      </c>
      <c r="AO200" s="131">
        <v>95.73</v>
      </c>
      <c r="AP200">
        <v>120.6</v>
      </c>
      <c r="AS200" s="122">
        <v>45383</v>
      </c>
      <c r="AT200" s="54">
        <v>849.5</v>
      </c>
    </row>
    <row r="201" spans="1:46" ht="15" x14ac:dyDescent="0.3">
      <c r="A201" s="76">
        <v>45383</v>
      </c>
      <c r="B201" s="77">
        <v>0.64259999999999995</v>
      </c>
      <c r="C201" s="77">
        <v>0.57250000000000001</v>
      </c>
      <c r="D201" s="77">
        <v>0.37869999999999998</v>
      </c>
      <c r="E201" s="77">
        <v>0.3896</v>
      </c>
      <c r="F201" s="77">
        <v>0.93759999999999999</v>
      </c>
      <c r="G201" s="77">
        <v>0.33339999999999997</v>
      </c>
      <c r="H201" s="77">
        <v>64.237499999999997</v>
      </c>
      <c r="I201" s="77">
        <v>0.7016</v>
      </c>
      <c r="J201" s="77">
        <v>4.5191999999999997</v>
      </c>
      <c r="K201" s="77">
        <v>0.57189999999999996</v>
      </c>
      <c r="L201" s="77">
        <v>0.41880000000000001</v>
      </c>
      <c r="M201" s="77">
        <v>1.1557999999999999</v>
      </c>
      <c r="N201" s="77">
        <v>3.0308000000000002</v>
      </c>
      <c r="U201" s="76">
        <v>45352</v>
      </c>
      <c r="V201" s="125">
        <f t="shared" si="34"/>
        <v>1.5590894917368259</v>
      </c>
      <c r="W201" s="123">
        <f t="shared" si="35"/>
        <v>1.7528483786152498</v>
      </c>
      <c r="X201" s="123">
        <f t="shared" si="36"/>
        <v>2.6896180742334588</v>
      </c>
      <c r="Y201" s="123">
        <f t="shared" si="37"/>
        <v>2.5859839668994051</v>
      </c>
      <c r="Z201" s="123">
        <f t="shared" si="38"/>
        <v>1.0690613641223006</v>
      </c>
      <c r="AA201" s="123">
        <f t="shared" si="39"/>
        <v>3.0266343825665856</v>
      </c>
      <c r="AB201" s="123">
        <f t="shared" si="40"/>
        <v>1.5881435554722663E-2</v>
      </c>
      <c r="AC201" s="127">
        <f t="shared" si="41"/>
        <v>1.4480162177816391</v>
      </c>
      <c r="AD201" s="123">
        <f t="shared" si="42"/>
        <v>0.22859755400617213</v>
      </c>
      <c r="AE201" s="123">
        <f t="shared" si="43"/>
        <v>1.7583963425356075</v>
      </c>
      <c r="AF201" s="129">
        <f t="shared" si="44"/>
        <v>2.3724792408066429</v>
      </c>
      <c r="AG201" s="123">
        <f t="shared" si="45"/>
        <v>0.86640097036908692</v>
      </c>
      <c r="AH201" s="123">
        <f t="shared" si="46"/>
        <v>0.32958702745459939</v>
      </c>
      <c r="AN201" s="122">
        <v>45413</v>
      </c>
      <c r="AO201" s="131">
        <v>95.42</v>
      </c>
      <c r="AP201">
        <v>121.28</v>
      </c>
      <c r="AS201" s="122">
        <v>45413</v>
      </c>
      <c r="AT201" s="54">
        <v>889.2</v>
      </c>
    </row>
    <row r="202" spans="1:46" ht="15" x14ac:dyDescent="0.3">
      <c r="A202" s="76">
        <v>45413</v>
      </c>
      <c r="B202" s="77">
        <v>0.63580000000000003</v>
      </c>
      <c r="C202" s="77">
        <v>0.57620000000000005</v>
      </c>
      <c r="D202" s="77">
        <v>0.38140000000000002</v>
      </c>
      <c r="E202" s="77">
        <v>0.38919999999999999</v>
      </c>
      <c r="F202" s="77">
        <v>0.94010000000000005</v>
      </c>
      <c r="G202" s="77">
        <v>0.3327</v>
      </c>
      <c r="H202" s="77">
        <v>65.617699999999999</v>
      </c>
      <c r="I202" s="77">
        <v>0.6946</v>
      </c>
      <c r="J202" s="77">
        <v>4.5343999999999998</v>
      </c>
      <c r="K202" s="77">
        <v>0.57340000000000002</v>
      </c>
      <c r="L202" s="77">
        <v>0.42170000000000002</v>
      </c>
      <c r="M202" s="77">
        <v>1.1535</v>
      </c>
      <c r="N202" s="77">
        <v>3.0503999999999998</v>
      </c>
      <c r="U202" s="76">
        <v>45383</v>
      </c>
      <c r="V202" s="125">
        <f t="shared" si="34"/>
        <v>1.5561780267662622</v>
      </c>
      <c r="W202" s="123">
        <f t="shared" si="35"/>
        <v>1.7467248908296944</v>
      </c>
      <c r="X202" s="123">
        <f t="shared" si="36"/>
        <v>2.6406126221283337</v>
      </c>
      <c r="Y202" s="123">
        <f t="shared" si="37"/>
        <v>2.5667351129363452</v>
      </c>
      <c r="Z202" s="123">
        <f t="shared" si="38"/>
        <v>1.0665529010238908</v>
      </c>
      <c r="AA202" s="123">
        <f t="shared" si="39"/>
        <v>2.9994001199760052</v>
      </c>
      <c r="AB202" s="123">
        <f t="shared" si="40"/>
        <v>1.5567230978789648E-2</v>
      </c>
      <c r="AC202" s="127">
        <f t="shared" si="41"/>
        <v>1.4253135689851768</v>
      </c>
      <c r="AD202" s="123">
        <f t="shared" si="42"/>
        <v>0.22127810231899453</v>
      </c>
      <c r="AE202" s="123">
        <f t="shared" si="43"/>
        <v>1.7485574401119077</v>
      </c>
      <c r="AF202" s="129">
        <f t="shared" si="44"/>
        <v>2.3877745940783188</v>
      </c>
      <c r="AG202" s="123">
        <f t="shared" si="45"/>
        <v>0.86520159197092927</v>
      </c>
      <c r="AH202" s="123">
        <f t="shared" si="46"/>
        <v>0.3299458888742246</v>
      </c>
      <c r="AN202" s="122">
        <v>45444</v>
      </c>
      <c r="AO202" s="131">
        <v>95.76</v>
      </c>
      <c r="AP202">
        <v>123.73</v>
      </c>
      <c r="AS202" s="122">
        <v>45444</v>
      </c>
      <c r="AT202" s="54">
        <v>906.1</v>
      </c>
    </row>
    <row r="203" spans="1:46" ht="15" x14ac:dyDescent="0.3">
      <c r="A203" s="76">
        <v>45444</v>
      </c>
      <c r="B203" s="77">
        <v>0.63580000000000003</v>
      </c>
      <c r="C203" s="77">
        <v>0.5796</v>
      </c>
      <c r="D203" s="77">
        <v>0.37559999999999999</v>
      </c>
      <c r="E203" s="77">
        <v>0.39200000000000002</v>
      </c>
      <c r="F203" s="77">
        <v>0.93830000000000002</v>
      </c>
      <c r="G203" s="77">
        <v>0.33139999999999997</v>
      </c>
      <c r="H203" s="77">
        <v>66.536100000000005</v>
      </c>
      <c r="I203" s="77">
        <v>0.68759999999999999</v>
      </c>
      <c r="J203" s="77">
        <v>4.4280999999999997</v>
      </c>
      <c r="K203" s="77">
        <v>0.57550000000000001</v>
      </c>
      <c r="L203" s="77">
        <v>0.42330000000000001</v>
      </c>
      <c r="M203" s="77">
        <v>1.1525000000000001</v>
      </c>
      <c r="N203" s="77">
        <v>3.0701000000000001</v>
      </c>
      <c r="U203" s="76">
        <v>45413</v>
      </c>
      <c r="V203" s="125">
        <f t="shared" si="34"/>
        <v>1.5728216420257941</v>
      </c>
      <c r="W203" s="123">
        <f t="shared" si="35"/>
        <v>1.7355085039916693</v>
      </c>
      <c r="X203" s="123">
        <f t="shared" si="36"/>
        <v>2.6219192448872572</v>
      </c>
      <c r="Y203" s="123">
        <f t="shared" si="37"/>
        <v>2.5693730729701953</v>
      </c>
      <c r="Z203" s="123">
        <f t="shared" si="38"/>
        <v>1.0637166258908626</v>
      </c>
      <c r="AA203" s="123">
        <f t="shared" si="39"/>
        <v>3.0057108506161709</v>
      </c>
      <c r="AB203" s="123">
        <f t="shared" si="40"/>
        <v>1.5239790483360435E-2</v>
      </c>
      <c r="AC203" s="127">
        <f t="shared" si="41"/>
        <v>1.4396775122372589</v>
      </c>
      <c r="AD203" s="123">
        <f t="shared" si="42"/>
        <v>0.22053634438955541</v>
      </c>
      <c r="AE203" s="123">
        <f t="shared" si="43"/>
        <v>1.7439832577607255</v>
      </c>
      <c r="AF203" s="129">
        <f t="shared" si="44"/>
        <v>2.3713540431586435</v>
      </c>
      <c r="AG203" s="123">
        <f t="shared" si="45"/>
        <v>0.86692674469007369</v>
      </c>
      <c r="AH203" s="123">
        <f t="shared" si="46"/>
        <v>0.32782585890375038</v>
      </c>
      <c r="AN203" s="122">
        <v>45474</v>
      </c>
      <c r="AO203" s="131">
        <v>95.83</v>
      </c>
      <c r="AP203">
        <v>124.47</v>
      </c>
      <c r="AS203" s="122">
        <v>45474</v>
      </c>
      <c r="AT203" s="54">
        <v>885.6</v>
      </c>
    </row>
    <row r="204" spans="1:46" ht="15" x14ac:dyDescent="0.3">
      <c r="A204" s="76">
        <v>45474</v>
      </c>
      <c r="B204" s="77">
        <v>0.63080000000000003</v>
      </c>
      <c r="C204" s="77">
        <v>0.57809999999999995</v>
      </c>
      <c r="D204" s="77">
        <v>0.37419999999999998</v>
      </c>
      <c r="E204" s="77">
        <v>0.38800000000000001</v>
      </c>
      <c r="F204" s="77">
        <v>0.93569999999999998</v>
      </c>
      <c r="G204" s="77">
        <v>0.32700000000000001</v>
      </c>
      <c r="H204" s="77">
        <v>66.498500000000007</v>
      </c>
      <c r="I204" s="77">
        <v>0.69789999999999996</v>
      </c>
      <c r="J204" s="77">
        <v>4.4817</v>
      </c>
      <c r="K204" s="77">
        <v>0.5716</v>
      </c>
      <c r="L204" s="77">
        <v>0.42199999999999999</v>
      </c>
      <c r="M204" s="77">
        <v>1.1534</v>
      </c>
      <c r="N204" s="77">
        <v>3.0648</v>
      </c>
      <c r="U204" s="76">
        <v>45444</v>
      </c>
      <c r="V204" s="125">
        <f t="shared" si="34"/>
        <v>1.5728216420257941</v>
      </c>
      <c r="W204" s="123">
        <f t="shared" si="35"/>
        <v>1.7253278122843341</v>
      </c>
      <c r="X204" s="123">
        <f t="shared" si="36"/>
        <v>2.6624068157614484</v>
      </c>
      <c r="Y204" s="123">
        <f t="shared" si="37"/>
        <v>2.5510204081632653</v>
      </c>
      <c r="Z204" s="123">
        <f t="shared" si="38"/>
        <v>1.0657572205051689</v>
      </c>
      <c r="AA204" s="123">
        <f t="shared" si="39"/>
        <v>3.0175015087507546</v>
      </c>
      <c r="AB204" s="123">
        <f t="shared" si="40"/>
        <v>1.5029435148738803E-2</v>
      </c>
      <c r="AC204" s="127">
        <f t="shared" si="41"/>
        <v>1.4543339150668995</v>
      </c>
      <c r="AD204" s="123">
        <f t="shared" si="42"/>
        <v>0.2258304916329803</v>
      </c>
      <c r="AE204" s="123">
        <f t="shared" si="43"/>
        <v>1.737619461337967</v>
      </c>
      <c r="AF204" s="129">
        <f t="shared" si="44"/>
        <v>2.3623907394283012</v>
      </c>
      <c r="AG204" s="123">
        <f t="shared" si="45"/>
        <v>0.86767895878524937</v>
      </c>
      <c r="AH204" s="123">
        <f t="shared" si="46"/>
        <v>0.32572228917624835</v>
      </c>
      <c r="AN204" s="122">
        <v>45505</v>
      </c>
      <c r="AO204" s="131">
        <v>94.33</v>
      </c>
      <c r="AP204">
        <v>118.69</v>
      </c>
      <c r="AS204" s="122">
        <v>45505</v>
      </c>
      <c r="AT204" s="54">
        <v>893.2</v>
      </c>
    </row>
    <row r="205" spans="1:46" ht="15" x14ac:dyDescent="0.3">
      <c r="A205" s="76">
        <v>45505</v>
      </c>
      <c r="B205" s="77">
        <v>0.63439999999999996</v>
      </c>
      <c r="C205" s="77">
        <v>0.57720000000000005</v>
      </c>
      <c r="D205" s="77">
        <v>0.36030000000000001</v>
      </c>
      <c r="E205" s="77">
        <v>0.3826</v>
      </c>
      <c r="F205" s="77">
        <v>0.93479999999999996</v>
      </c>
      <c r="G205" s="77">
        <v>0.32550000000000001</v>
      </c>
      <c r="H205" s="77">
        <v>61.688899999999997</v>
      </c>
      <c r="I205" s="77">
        <v>0.69430000000000003</v>
      </c>
      <c r="J205" s="77">
        <v>4.3899999999999997</v>
      </c>
      <c r="K205" s="77">
        <v>0.55969999999999998</v>
      </c>
      <c r="L205" s="77">
        <v>0.42259999999999998</v>
      </c>
      <c r="M205" s="77">
        <v>1.1537999999999999</v>
      </c>
      <c r="N205" s="77">
        <v>3.0232000000000001</v>
      </c>
      <c r="U205" s="76">
        <v>45474</v>
      </c>
      <c r="V205" s="125">
        <f t="shared" si="34"/>
        <v>1.5852885225110969</v>
      </c>
      <c r="W205" s="123">
        <f t="shared" si="35"/>
        <v>1.7298045320878743</v>
      </c>
      <c r="X205" s="123">
        <f t="shared" si="36"/>
        <v>2.672367717797969</v>
      </c>
      <c r="Y205" s="123">
        <f t="shared" si="37"/>
        <v>2.5773195876288657</v>
      </c>
      <c r="Z205" s="123">
        <f t="shared" si="38"/>
        <v>1.0687186063909373</v>
      </c>
      <c r="AA205" s="123">
        <f t="shared" si="39"/>
        <v>3.0581039755351682</v>
      </c>
      <c r="AB205" s="123">
        <f t="shared" si="40"/>
        <v>1.503793318646285E-2</v>
      </c>
      <c r="AC205" s="127">
        <f t="shared" si="41"/>
        <v>1.4328700386874911</v>
      </c>
      <c r="AD205" s="123">
        <f t="shared" si="42"/>
        <v>0.22312961599393089</v>
      </c>
      <c r="AE205" s="123">
        <f t="shared" si="43"/>
        <v>1.7494751574527643</v>
      </c>
      <c r="AF205" s="129">
        <f t="shared" si="44"/>
        <v>2.3696682464454977</v>
      </c>
      <c r="AG205" s="123">
        <f t="shared" si="45"/>
        <v>0.86700190740419636</v>
      </c>
      <c r="AH205" s="123">
        <f t="shared" si="46"/>
        <v>0.32628556512659879</v>
      </c>
      <c r="AN205" s="122">
        <v>45536</v>
      </c>
      <c r="AO205" s="131">
        <v>93.95</v>
      </c>
      <c r="AP205">
        <v>117.25</v>
      </c>
      <c r="AS205" s="122">
        <v>45536</v>
      </c>
      <c r="AT205" s="54">
        <v>901.6</v>
      </c>
    </row>
    <row r="206" spans="1:46" ht="15" x14ac:dyDescent="0.3">
      <c r="A206" s="76">
        <v>45536</v>
      </c>
      <c r="B206" s="77">
        <v>0.62880000000000003</v>
      </c>
      <c r="C206" s="77">
        <v>0.5766</v>
      </c>
      <c r="D206" s="77">
        <v>0.35880000000000001</v>
      </c>
      <c r="E206" s="77">
        <v>0.38290000000000002</v>
      </c>
      <c r="F206" s="77">
        <v>0.93189999999999995</v>
      </c>
      <c r="G206" s="77">
        <v>0.3216</v>
      </c>
      <c r="H206" s="77">
        <v>60.96</v>
      </c>
      <c r="I206" s="77">
        <v>0.68369999999999997</v>
      </c>
      <c r="J206" s="77">
        <v>4.3570000000000002</v>
      </c>
      <c r="K206" s="77">
        <v>0.55630000000000002</v>
      </c>
      <c r="L206" s="77" t="s">
        <v>164</v>
      </c>
      <c r="M206" s="77">
        <v>1.1517999999999999</v>
      </c>
      <c r="N206" s="77">
        <v>3.0185</v>
      </c>
      <c r="U206" s="76">
        <v>45505</v>
      </c>
      <c r="V206" s="125">
        <f t="shared" si="34"/>
        <v>1.5762925598991173</v>
      </c>
      <c r="W206" s="123">
        <f t="shared" si="35"/>
        <v>1.7325017325017324</v>
      </c>
      <c r="X206" s="123">
        <f t="shared" si="36"/>
        <v>2.7754648903691366</v>
      </c>
      <c r="Y206" s="123">
        <f t="shared" si="37"/>
        <v>2.6136957658128592</v>
      </c>
      <c r="Z206" s="123">
        <f t="shared" si="38"/>
        <v>1.069747539580659</v>
      </c>
      <c r="AA206" s="123">
        <f t="shared" si="39"/>
        <v>3.0721966205837172</v>
      </c>
      <c r="AB206" s="123">
        <f t="shared" si="40"/>
        <v>1.6210371720033912E-2</v>
      </c>
      <c r="AC206" s="127">
        <f t="shared" si="41"/>
        <v>1.4402995823131211</v>
      </c>
      <c r="AD206" s="123">
        <f t="shared" si="42"/>
        <v>0.22779043280182235</v>
      </c>
      <c r="AE206" s="123">
        <f t="shared" si="43"/>
        <v>1.7866714311238163</v>
      </c>
      <c r="AF206" s="129">
        <f t="shared" si="44"/>
        <v>2.3663038334122102</v>
      </c>
      <c r="AG206" s="123">
        <f t="shared" si="45"/>
        <v>0.86670133472005551</v>
      </c>
      <c r="AH206" s="123">
        <f t="shared" si="46"/>
        <v>0.33077533739084414</v>
      </c>
      <c r="AN206" s="122">
        <v>45566</v>
      </c>
      <c r="AO206" s="131">
        <v>95.45</v>
      </c>
      <c r="AP206">
        <v>119.88</v>
      </c>
      <c r="AS206" s="122">
        <v>45566</v>
      </c>
      <c r="AT206" s="54">
        <v>906.3</v>
      </c>
    </row>
    <row r="207" spans="1:46" ht="15" x14ac:dyDescent="0.3">
      <c r="A207" s="76">
        <v>45566</v>
      </c>
      <c r="B207" s="77">
        <v>0.62949999999999995</v>
      </c>
      <c r="C207" s="77">
        <v>0.58150000000000002</v>
      </c>
      <c r="D207" s="77">
        <v>0.36209999999999998</v>
      </c>
      <c r="E207" s="77">
        <v>0.38719999999999999</v>
      </c>
      <c r="F207" s="77">
        <v>0.93169999999999997</v>
      </c>
      <c r="G207" s="77">
        <v>0.32300000000000001</v>
      </c>
      <c r="H207" s="77">
        <v>63.1907</v>
      </c>
      <c r="I207" s="77">
        <v>0.69350000000000001</v>
      </c>
      <c r="J207" s="77">
        <v>4.4233000000000002</v>
      </c>
      <c r="K207" s="77">
        <v>0.55779999999999996</v>
      </c>
      <c r="L207" s="77">
        <v>0.42359999999999998</v>
      </c>
      <c r="M207" s="77">
        <v>1.157</v>
      </c>
      <c r="N207" s="77">
        <v>3.0007999999999999</v>
      </c>
      <c r="U207" s="76">
        <v>45536</v>
      </c>
      <c r="V207" s="125">
        <f t="shared" si="34"/>
        <v>1.5903307888040712</v>
      </c>
      <c r="W207" s="123">
        <f t="shared" si="35"/>
        <v>1.734304543877905</v>
      </c>
      <c r="X207" s="123">
        <f t="shared" si="36"/>
        <v>2.7870680044593086</v>
      </c>
      <c r="Y207" s="123">
        <f t="shared" si="37"/>
        <v>2.6116479498563594</v>
      </c>
      <c r="Z207" s="123">
        <f t="shared" si="38"/>
        <v>1.0730765103551885</v>
      </c>
      <c r="AA207" s="123">
        <f t="shared" si="39"/>
        <v>3.1094527363184081</v>
      </c>
      <c r="AB207" s="123">
        <f t="shared" si="40"/>
        <v>1.6404199475065617E-2</v>
      </c>
      <c r="AC207" s="127">
        <f t="shared" si="41"/>
        <v>1.4626298083954952</v>
      </c>
      <c r="AD207" s="123">
        <f t="shared" si="42"/>
        <v>0.22951572182694513</v>
      </c>
      <c r="AE207" s="123">
        <f t="shared" si="43"/>
        <v>1.7975912277548085</v>
      </c>
      <c r="AF207" s="129" t="e">
        <f t="shared" si="44"/>
        <v>#VALUE!</v>
      </c>
      <c r="AG207" s="123">
        <f t="shared" si="45"/>
        <v>0.86820628581350934</v>
      </c>
      <c r="AH207" s="123">
        <f t="shared" si="46"/>
        <v>0.33129037601457678</v>
      </c>
      <c r="AN207" s="122">
        <v>45597</v>
      </c>
      <c r="AO207" s="131">
        <v>95.74</v>
      </c>
      <c r="AP207">
        <v>119.2</v>
      </c>
      <c r="AS207" s="122">
        <v>45597</v>
      </c>
      <c r="AT207" s="54">
        <v>910.7</v>
      </c>
    </row>
    <row r="208" spans="1:46" ht="15" x14ac:dyDescent="0.3">
      <c r="A208" s="76">
        <v>45597</v>
      </c>
      <c r="B208" s="77">
        <v>0.63929999999999998</v>
      </c>
      <c r="C208" s="77">
        <v>0.58399999999999996</v>
      </c>
      <c r="D208" s="77">
        <v>0.36620000000000003</v>
      </c>
      <c r="E208" s="77">
        <v>0.39269999999999999</v>
      </c>
      <c r="F208" s="77">
        <v>0.9335</v>
      </c>
      <c r="G208" s="77">
        <v>0.3271</v>
      </c>
      <c r="H208" s="77">
        <v>64.178200000000004</v>
      </c>
      <c r="I208" s="77">
        <v>0.70640000000000003</v>
      </c>
      <c r="J208" s="77">
        <v>4.5561999999999996</v>
      </c>
      <c r="K208" s="77">
        <v>0.56279999999999997</v>
      </c>
      <c r="L208" s="77">
        <v>0.41860000000000003</v>
      </c>
      <c r="M208" s="77">
        <v>1.1577999999999999</v>
      </c>
      <c r="N208" s="77">
        <v>3.0171999999999999</v>
      </c>
      <c r="U208" s="76">
        <v>45566</v>
      </c>
      <c r="V208" s="125">
        <f t="shared" si="34"/>
        <v>1.5885623510722797</v>
      </c>
      <c r="W208" s="123">
        <f t="shared" si="35"/>
        <v>1.7196904557179706</v>
      </c>
      <c r="X208" s="123">
        <f t="shared" si="36"/>
        <v>2.7616680475006907</v>
      </c>
      <c r="Y208" s="123">
        <f t="shared" si="37"/>
        <v>2.5826446280991737</v>
      </c>
      <c r="Z208" s="123">
        <f t="shared" si="38"/>
        <v>1.0733068584308254</v>
      </c>
      <c r="AA208" s="123">
        <f t="shared" si="39"/>
        <v>3.0959752321981422</v>
      </c>
      <c r="AB208" s="123">
        <f t="shared" si="40"/>
        <v>1.5825113505626619E-2</v>
      </c>
      <c r="AC208" s="127">
        <f t="shared" si="41"/>
        <v>1.4419610670511895</v>
      </c>
      <c r="AD208" s="123">
        <f t="shared" si="42"/>
        <v>0.22607555445029728</v>
      </c>
      <c r="AE208" s="123">
        <f t="shared" si="43"/>
        <v>1.7927572606669058</v>
      </c>
      <c r="AF208" s="129">
        <f t="shared" si="44"/>
        <v>2.3607176581680833</v>
      </c>
      <c r="AG208" s="123">
        <f t="shared" si="45"/>
        <v>0.86430423509075194</v>
      </c>
      <c r="AH208" s="123">
        <f t="shared" si="46"/>
        <v>0.33324446814182884</v>
      </c>
      <c r="AN208" s="122">
        <v>45627</v>
      </c>
      <c r="AO208" s="131">
        <v>96.61</v>
      </c>
      <c r="AP208">
        <v>122.89</v>
      </c>
      <c r="AS208" s="122">
        <v>45627</v>
      </c>
      <c r="AT208" s="54">
        <v>937.5</v>
      </c>
    </row>
    <row r="209" spans="1:48" ht="15" x14ac:dyDescent="0.3">
      <c r="A209" s="76">
        <v>45627</v>
      </c>
      <c r="B209" s="77">
        <v>0.65129999999999999</v>
      </c>
      <c r="C209" s="77">
        <v>0.5887</v>
      </c>
      <c r="D209" s="77">
        <v>0.36609999999999998</v>
      </c>
      <c r="E209" s="77">
        <v>0.39389999999999997</v>
      </c>
      <c r="F209" s="77">
        <v>0.93630000000000002</v>
      </c>
      <c r="G209" s="77">
        <v>0.32590000000000002</v>
      </c>
      <c r="H209" s="77">
        <v>63.378700000000002</v>
      </c>
      <c r="I209" s="77">
        <v>0.71719999999999995</v>
      </c>
      <c r="J209" s="77">
        <v>4.5391000000000004</v>
      </c>
      <c r="K209" s="77">
        <v>0.56220000000000003</v>
      </c>
      <c r="L209" s="77">
        <v>0.41389999999999999</v>
      </c>
      <c r="M209" s="77">
        <v>1.1545000000000001</v>
      </c>
      <c r="N209" s="77">
        <v>3.0133999999999999</v>
      </c>
      <c r="U209" s="76">
        <v>45597</v>
      </c>
      <c r="V209" s="125">
        <f t="shared" si="34"/>
        <v>1.5642108556233381</v>
      </c>
      <c r="W209" s="123">
        <f t="shared" si="35"/>
        <v>1.7123287671232879</v>
      </c>
      <c r="X209" s="123">
        <f t="shared" si="36"/>
        <v>2.7307482250136537</v>
      </c>
      <c r="Y209" s="123">
        <f t="shared" si="37"/>
        <v>2.5464731347084291</v>
      </c>
      <c r="Z209" s="123">
        <f t="shared" si="38"/>
        <v>1.0712372790573113</v>
      </c>
      <c r="AA209" s="123">
        <f t="shared" si="39"/>
        <v>3.0571690614490983</v>
      </c>
      <c r="AB209" s="123">
        <f t="shared" si="40"/>
        <v>1.5581614940898934E-2</v>
      </c>
      <c r="AC209" s="127">
        <f t="shared" si="41"/>
        <v>1.4156285390713477</v>
      </c>
      <c r="AD209" s="123">
        <f t="shared" si="42"/>
        <v>0.21948114656950971</v>
      </c>
      <c r="AE209" s="123">
        <f t="shared" si="43"/>
        <v>1.7768301350390903</v>
      </c>
      <c r="AF209" s="129">
        <f t="shared" si="44"/>
        <v>2.3889154323936932</v>
      </c>
      <c r="AG209" s="123">
        <f t="shared" si="45"/>
        <v>0.86370703057522891</v>
      </c>
      <c r="AH209" s="123">
        <f t="shared" si="46"/>
        <v>0.33143311679703036</v>
      </c>
      <c r="AN209" s="122">
        <v>45658</v>
      </c>
      <c r="AO209" s="131">
        <v>96.38</v>
      </c>
      <c r="AP209">
        <v>128.34</v>
      </c>
      <c r="AS209" s="122">
        <v>45658</v>
      </c>
      <c r="AT209" s="54">
        <v>922.5</v>
      </c>
    </row>
    <row r="210" spans="1:48" ht="15" x14ac:dyDescent="0.3">
      <c r="A210" s="76">
        <v>45658</v>
      </c>
      <c r="B210" s="77">
        <v>0.65720000000000001</v>
      </c>
      <c r="C210" s="77">
        <v>0.58960000000000001</v>
      </c>
      <c r="D210" s="77">
        <v>0.3705</v>
      </c>
      <c r="E210" s="77">
        <v>0.39500000000000002</v>
      </c>
      <c r="F210" s="77">
        <v>0.93779999999999997</v>
      </c>
      <c r="G210" s="77">
        <v>0.33079999999999998</v>
      </c>
      <c r="H210" s="77">
        <v>64.072500000000005</v>
      </c>
      <c r="I210" s="77">
        <v>0.72650000000000003</v>
      </c>
      <c r="J210" s="77">
        <v>4.5373000000000001</v>
      </c>
      <c r="K210" s="77">
        <v>0.56179999999999997</v>
      </c>
      <c r="L210" s="77">
        <v>0.4103</v>
      </c>
      <c r="M210" s="77">
        <v>1.1554</v>
      </c>
      <c r="N210" s="77">
        <v>2.9954000000000001</v>
      </c>
      <c r="U210" s="76">
        <v>45627</v>
      </c>
      <c r="V210" s="125">
        <f t="shared" si="34"/>
        <v>1.5353907569476433</v>
      </c>
      <c r="W210" s="123">
        <f t="shared" si="35"/>
        <v>1.6986580601324954</v>
      </c>
      <c r="X210" s="123">
        <f t="shared" si="36"/>
        <v>2.7314941272876263</v>
      </c>
      <c r="Y210" s="123">
        <f t="shared" si="37"/>
        <v>2.5387154100025389</v>
      </c>
      <c r="Z210" s="123">
        <f t="shared" si="38"/>
        <v>1.0680337498664958</v>
      </c>
      <c r="AA210" s="123">
        <f t="shared" si="39"/>
        <v>3.0684258975145746</v>
      </c>
      <c r="AB210" s="123">
        <f t="shared" si="40"/>
        <v>1.577817153081398E-2</v>
      </c>
      <c r="AC210" s="127">
        <f t="shared" si="41"/>
        <v>1.3943112102621307</v>
      </c>
      <c r="AD210" s="123">
        <f t="shared" si="42"/>
        <v>0.22030799057081799</v>
      </c>
      <c r="AE210" s="123">
        <f t="shared" si="43"/>
        <v>1.7787264318747775</v>
      </c>
      <c r="AF210" s="129">
        <f t="shared" si="44"/>
        <v>2.4160425223483935</v>
      </c>
      <c r="AG210" s="123">
        <f t="shared" si="45"/>
        <v>0.86617583369423989</v>
      </c>
      <c r="AH210" s="123">
        <f t="shared" si="46"/>
        <v>0.33185106524191943</v>
      </c>
      <c r="AN210" s="122">
        <v>45689</v>
      </c>
      <c r="AO210" s="131">
        <v>96.25</v>
      </c>
      <c r="AP210">
        <v>126.94</v>
      </c>
      <c r="AS210" s="122">
        <v>45689</v>
      </c>
      <c r="AT210" s="54">
        <v>914.8</v>
      </c>
    </row>
    <row r="211" spans="1:48" ht="15" x14ac:dyDescent="0.3">
      <c r="A211" s="76">
        <v>45689</v>
      </c>
      <c r="B211" s="77">
        <v>0.65259999999999996</v>
      </c>
      <c r="C211" s="77">
        <v>0.58889999999999998</v>
      </c>
      <c r="D211" s="77">
        <v>0.36990000000000001</v>
      </c>
      <c r="E211" s="77">
        <v>0.39450000000000002</v>
      </c>
      <c r="F211" s="77">
        <v>0.93630000000000002</v>
      </c>
      <c r="G211" s="77">
        <v>0.32750000000000001</v>
      </c>
      <c r="H211" s="77">
        <v>62.354599999999998</v>
      </c>
      <c r="I211" s="77">
        <v>0.72319999999999995</v>
      </c>
      <c r="J211" s="77">
        <v>4.4499000000000004</v>
      </c>
      <c r="K211" s="77">
        <v>0.55830000000000002</v>
      </c>
      <c r="L211" s="77">
        <v>0.41199999999999998</v>
      </c>
      <c r="M211" s="77">
        <v>1.153</v>
      </c>
      <c r="N211" s="77">
        <v>2.9962</v>
      </c>
      <c r="U211" s="76">
        <v>45658</v>
      </c>
      <c r="V211" s="125">
        <f t="shared" si="34"/>
        <v>1.5216068167985393</v>
      </c>
      <c r="W211" s="123">
        <f t="shared" si="35"/>
        <v>1.6960651289009498</v>
      </c>
      <c r="X211" s="123">
        <f t="shared" si="36"/>
        <v>2.6990553306342782</v>
      </c>
      <c r="Y211" s="123">
        <f t="shared" si="37"/>
        <v>2.5316455696202529</v>
      </c>
      <c r="Z211" s="123">
        <f t="shared" si="38"/>
        <v>1.0663254425250588</v>
      </c>
      <c r="AA211" s="123">
        <f t="shared" si="39"/>
        <v>3.0229746070133015</v>
      </c>
      <c r="AB211" s="123">
        <f t="shared" si="40"/>
        <v>1.5607319833001676E-2</v>
      </c>
      <c r="AC211" s="127">
        <f t="shared" si="41"/>
        <v>1.3764624913971093</v>
      </c>
      <c r="AD211" s="123">
        <f t="shared" si="42"/>
        <v>0.22039538932845523</v>
      </c>
      <c r="AE211" s="123">
        <f t="shared" si="43"/>
        <v>1.7799928800284799</v>
      </c>
      <c r="AF211" s="129">
        <f t="shared" si="44"/>
        <v>2.4372410431391667</v>
      </c>
      <c r="AG211" s="123">
        <f t="shared" si="45"/>
        <v>0.86550112515146271</v>
      </c>
      <c r="AH211" s="123">
        <f t="shared" si="46"/>
        <v>0.33384522935167255</v>
      </c>
      <c r="AN211" s="122">
        <v>45717</v>
      </c>
      <c r="AO211" s="131">
        <v>96</v>
      </c>
      <c r="AP211">
        <v>126.31</v>
      </c>
      <c r="AS211" s="122">
        <v>45717</v>
      </c>
      <c r="AT211" s="54">
        <v>914.1</v>
      </c>
    </row>
    <row r="212" spans="1:48" ht="15" x14ac:dyDescent="0.3">
      <c r="A212" s="76">
        <v>45717</v>
      </c>
      <c r="B212" s="77">
        <v>0.65359999999999996</v>
      </c>
      <c r="C212" s="77">
        <v>0.59250000000000003</v>
      </c>
      <c r="D212" s="77">
        <v>0.36270000000000002</v>
      </c>
      <c r="E212" s="77">
        <v>0.38159999999999999</v>
      </c>
      <c r="F212" s="77">
        <v>0.93669999999999998</v>
      </c>
      <c r="G212" s="77">
        <v>0.31869999999999998</v>
      </c>
      <c r="H212" s="77">
        <v>61.409100000000002</v>
      </c>
      <c r="I212" s="77">
        <v>0.71930000000000005</v>
      </c>
      <c r="J212" s="77">
        <v>4.1909999999999998</v>
      </c>
      <c r="K212" s="77">
        <v>0.55500000000000005</v>
      </c>
      <c r="L212" s="77">
        <v>0.41289999999999999</v>
      </c>
      <c r="M212" s="77">
        <v>1.1532</v>
      </c>
      <c r="N212" s="77">
        <v>2.9941</v>
      </c>
      <c r="U212" s="76">
        <v>45689</v>
      </c>
      <c r="V212" s="125">
        <f t="shared" si="34"/>
        <v>1.5323322096230463</v>
      </c>
      <c r="W212" s="123">
        <f t="shared" si="35"/>
        <v>1.6980811682798438</v>
      </c>
      <c r="X212" s="123">
        <f t="shared" si="36"/>
        <v>2.7034333603676668</v>
      </c>
      <c r="Y212" s="123">
        <f t="shared" si="37"/>
        <v>2.5348542458808616</v>
      </c>
      <c r="Z212" s="123">
        <f t="shared" si="38"/>
        <v>1.0680337498664958</v>
      </c>
      <c r="AA212" s="123">
        <f t="shared" si="39"/>
        <v>3.0534351145038165</v>
      </c>
      <c r="AB212" s="123">
        <f t="shared" si="40"/>
        <v>1.603730919611384E-2</v>
      </c>
      <c r="AC212" s="127">
        <f t="shared" si="41"/>
        <v>1.3827433628318584</v>
      </c>
      <c r="AD212" s="123">
        <f t="shared" si="42"/>
        <v>0.22472415110451918</v>
      </c>
      <c r="AE212" s="123">
        <f t="shared" si="43"/>
        <v>1.7911517105498835</v>
      </c>
      <c r="AF212" s="129">
        <f t="shared" si="44"/>
        <v>2.4271844660194177</v>
      </c>
      <c r="AG212" s="123">
        <f t="shared" si="45"/>
        <v>0.86730268863833471</v>
      </c>
      <c r="AH212" s="123">
        <f t="shared" si="46"/>
        <v>0.33375609104866166</v>
      </c>
      <c r="AN212" s="122">
        <v>45748</v>
      </c>
      <c r="AO212" s="131">
        <v>94.97</v>
      </c>
      <c r="AP212">
        <v>123.72</v>
      </c>
      <c r="AS212" s="122">
        <v>45748</v>
      </c>
      <c r="AT212" s="54">
        <v>914.6</v>
      </c>
    </row>
    <row r="213" spans="1:48" ht="15" x14ac:dyDescent="0.3">
      <c r="A213" s="76">
        <v>45748</v>
      </c>
      <c r="B213" s="77">
        <v>0.65790000000000004</v>
      </c>
      <c r="C213" s="77">
        <v>0.57979999999999998</v>
      </c>
      <c r="D213" s="77">
        <v>0.34489999999999998</v>
      </c>
      <c r="E213" s="77">
        <v>0.3695</v>
      </c>
      <c r="F213" s="77">
        <v>0.93679999999999997</v>
      </c>
      <c r="G213" s="77">
        <v>0.31459999999999999</v>
      </c>
      <c r="H213" s="77">
        <v>59.813899999999997</v>
      </c>
      <c r="I213" s="77">
        <v>0.71109999999999995</v>
      </c>
      <c r="J213" s="77">
        <v>4.0552000000000001</v>
      </c>
      <c r="K213" s="77">
        <v>0.55249999999999999</v>
      </c>
      <c r="L213" s="77">
        <v>0.41370000000000001</v>
      </c>
      <c r="M213" s="77">
        <v>1.1505000000000001</v>
      </c>
      <c r="N213" s="77">
        <v>3.0186000000000002</v>
      </c>
      <c r="U213" s="76">
        <v>45717</v>
      </c>
      <c r="V213" s="125">
        <f t="shared" si="34"/>
        <v>1.5299877600979193</v>
      </c>
      <c r="W213" s="123">
        <f t="shared" si="35"/>
        <v>1.6877637130801686</v>
      </c>
      <c r="X213" s="123">
        <f t="shared" si="36"/>
        <v>2.7570995312930795</v>
      </c>
      <c r="Y213" s="123">
        <f t="shared" si="37"/>
        <v>2.6205450733752622</v>
      </c>
      <c r="Z213" s="123">
        <f t="shared" si="38"/>
        <v>1.0675776662752217</v>
      </c>
      <c r="AA213" s="123">
        <f t="shared" si="39"/>
        <v>3.1377470975839348</v>
      </c>
      <c r="AB213" s="123">
        <f t="shared" si="40"/>
        <v>1.6284231490121169E-2</v>
      </c>
      <c r="AC213" s="127">
        <f t="shared" si="41"/>
        <v>1.3902405116085081</v>
      </c>
      <c r="AD213" s="123">
        <f t="shared" si="42"/>
        <v>0.23860653781913627</v>
      </c>
      <c r="AE213" s="123">
        <f t="shared" si="43"/>
        <v>1.8018018018018016</v>
      </c>
      <c r="AF213" s="129">
        <f t="shared" si="44"/>
        <v>2.4218939210462582</v>
      </c>
      <c r="AG213" s="123">
        <f t="shared" si="45"/>
        <v>0.8671522719389525</v>
      </c>
      <c r="AH213" s="123">
        <f t="shared" si="46"/>
        <v>0.33399018068868774</v>
      </c>
      <c r="AN213" s="122">
        <v>45778</v>
      </c>
      <c r="AO213" s="131">
        <v>94.88</v>
      </c>
      <c r="AP213">
        <v>124.55</v>
      </c>
      <c r="AS213" s="122">
        <v>45778</v>
      </c>
      <c r="AT213" s="54">
        <v>931.9</v>
      </c>
    </row>
    <row r="214" spans="1:48" ht="15" x14ac:dyDescent="0.3">
      <c r="A214" s="76">
        <v>45778</v>
      </c>
      <c r="B214" s="77">
        <v>0.64690000000000003</v>
      </c>
      <c r="C214" s="77">
        <v>0.57809999999999995</v>
      </c>
      <c r="D214" s="77">
        <v>0.34379999999999999</v>
      </c>
      <c r="E214" s="77">
        <v>0.36909999999999998</v>
      </c>
      <c r="F214" s="77">
        <v>0.93259999999999998</v>
      </c>
      <c r="G214" s="77">
        <v>0.31119999999999998</v>
      </c>
      <c r="H214" s="77">
        <v>60.244100000000003</v>
      </c>
      <c r="I214" s="77">
        <v>0.70150000000000001</v>
      </c>
      <c r="J214" s="77">
        <v>4.0251999999999999</v>
      </c>
      <c r="K214" s="77">
        <v>0.54400000000000004</v>
      </c>
      <c r="L214" s="77">
        <v>0.4173</v>
      </c>
      <c r="M214" s="77">
        <v>1.1475</v>
      </c>
      <c r="N214" s="77">
        <v>3.0127000000000002</v>
      </c>
      <c r="U214" s="76">
        <v>45748</v>
      </c>
      <c r="V214" s="125">
        <f t="shared" si="34"/>
        <v>1.5199878400972791</v>
      </c>
      <c r="W214" s="123">
        <f t="shared" si="35"/>
        <v>1.7247326664367024</v>
      </c>
      <c r="X214" s="123">
        <f t="shared" si="36"/>
        <v>2.899391127863149</v>
      </c>
      <c r="Y214" s="123">
        <f t="shared" si="37"/>
        <v>2.7063599458728009</v>
      </c>
      <c r="Z214" s="123">
        <f t="shared" si="38"/>
        <v>1.067463706233988</v>
      </c>
      <c r="AA214" s="123">
        <f t="shared" si="39"/>
        <v>3.1786395422759059</v>
      </c>
      <c r="AB214" s="123">
        <f t="shared" si="40"/>
        <v>1.6718521948911543E-2</v>
      </c>
      <c r="AC214" s="127">
        <f t="shared" si="41"/>
        <v>1.4062719729995783</v>
      </c>
      <c r="AD214" s="123">
        <f t="shared" si="42"/>
        <v>0.24659696192542907</v>
      </c>
      <c r="AE214" s="123">
        <f t="shared" si="43"/>
        <v>1.8099547511312217</v>
      </c>
      <c r="AF214" s="129">
        <f t="shared" si="44"/>
        <v>2.4172105390379501</v>
      </c>
      <c r="AG214" s="123">
        <f t="shared" si="45"/>
        <v>0.86918730986527593</v>
      </c>
      <c r="AH214" s="123">
        <f t="shared" si="46"/>
        <v>0.33127940104684289</v>
      </c>
      <c r="AN214" s="122">
        <v>45809</v>
      </c>
      <c r="AO214" s="131">
        <v>94.65</v>
      </c>
      <c r="AP214">
        <v>125.04</v>
      </c>
      <c r="AS214" s="122">
        <v>45809</v>
      </c>
      <c r="AT214" s="54">
        <v>945.8</v>
      </c>
    </row>
    <row r="215" spans="1:48" ht="15" x14ac:dyDescent="0.3">
      <c r="A215" s="76">
        <v>45809</v>
      </c>
      <c r="B215" s="77">
        <v>0.64380000000000004</v>
      </c>
      <c r="C215" s="77">
        <v>0.57320000000000004</v>
      </c>
      <c r="D215" s="77">
        <v>0.33929999999999999</v>
      </c>
      <c r="E215" s="77">
        <v>0.36320000000000002</v>
      </c>
      <c r="F215" s="77">
        <v>0.93310000000000004</v>
      </c>
      <c r="G215" s="77">
        <v>0.30830000000000002</v>
      </c>
      <c r="H215" s="77">
        <v>60.474299999999999</v>
      </c>
      <c r="I215" s="77">
        <v>0.69450000000000001</v>
      </c>
      <c r="J215" s="77">
        <v>4.0046999999999997</v>
      </c>
      <c r="K215" s="77">
        <v>0.51800000000000002</v>
      </c>
      <c r="L215" s="77">
        <v>0.41949999999999998</v>
      </c>
      <c r="M215" s="77">
        <v>1.1447000000000001</v>
      </c>
      <c r="N215" s="77">
        <v>3.0127000000000002</v>
      </c>
      <c r="U215" s="76">
        <v>45778</v>
      </c>
      <c r="V215" s="125">
        <f t="shared" si="34"/>
        <v>1.5458339774308238</v>
      </c>
      <c r="W215" s="123">
        <f t="shared" si="35"/>
        <v>1.7298045320878743</v>
      </c>
      <c r="X215" s="123">
        <f t="shared" si="36"/>
        <v>2.9086678301337989</v>
      </c>
      <c r="Y215" s="123">
        <f t="shared" si="37"/>
        <v>2.7092928745597402</v>
      </c>
      <c r="Z215" s="123">
        <f t="shared" si="38"/>
        <v>1.0722710701265281</v>
      </c>
      <c r="AA215" s="123">
        <f t="shared" si="39"/>
        <v>3.2133676092544992</v>
      </c>
      <c r="AB215" s="123">
        <f t="shared" si="40"/>
        <v>1.6599135848987701E-2</v>
      </c>
      <c r="AC215" s="127">
        <f t="shared" si="41"/>
        <v>1.4255167498218104</v>
      </c>
      <c r="AD215" s="123">
        <f t="shared" si="42"/>
        <v>0.24843486037960846</v>
      </c>
      <c r="AE215" s="123">
        <f t="shared" si="43"/>
        <v>1.838235294117647</v>
      </c>
      <c r="AF215" s="129">
        <f t="shared" si="44"/>
        <v>2.3963575365444525</v>
      </c>
      <c r="AG215" s="123">
        <f t="shared" si="45"/>
        <v>0.8714596949891068</v>
      </c>
      <c r="AH215" s="123">
        <f t="shared" si="46"/>
        <v>0.331928170743851</v>
      </c>
      <c r="AN215" s="122">
        <v>45839</v>
      </c>
      <c r="AO215" s="131">
        <v>95.12</v>
      </c>
      <c r="AP215">
        <v>123.77</v>
      </c>
      <c r="AS215" s="122">
        <v>45839</v>
      </c>
      <c r="AT215" s="54">
        <v>950.3</v>
      </c>
      <c r="AU215">
        <f>(AT215/AT203-1)*100</f>
        <v>7.3057813911472369</v>
      </c>
      <c r="AV215" s="133"/>
    </row>
    <row r="216" spans="1:48" ht="15" x14ac:dyDescent="0.3">
      <c r="A216" s="76">
        <v>45839</v>
      </c>
      <c r="B216" s="77">
        <v>0.6391</v>
      </c>
      <c r="C216" s="77">
        <v>0.57289999999999996</v>
      </c>
      <c r="D216" s="77">
        <v>0.33200000000000002</v>
      </c>
      <c r="E216" s="77">
        <v>0.35749999999999998</v>
      </c>
      <c r="F216" s="77">
        <v>0.93230000000000002</v>
      </c>
      <c r="G216" s="77">
        <v>0.309</v>
      </c>
      <c r="H216" s="77">
        <v>61.383600000000001</v>
      </c>
      <c r="I216" s="77">
        <v>0.69669999999999999</v>
      </c>
      <c r="J216" s="77">
        <v>4.0095000000000001</v>
      </c>
      <c r="K216" s="77">
        <v>0.54020000000000001</v>
      </c>
      <c r="L216" s="77">
        <v>0.41909999999999997</v>
      </c>
      <c r="M216" s="77">
        <v>1.1433</v>
      </c>
      <c r="N216" s="77">
        <v>3.0059999999999998</v>
      </c>
      <c r="U216" s="76">
        <v>45809</v>
      </c>
      <c r="V216" s="125">
        <f t="shared" si="34"/>
        <v>1.5532774153463809</v>
      </c>
      <c r="W216" s="123">
        <f t="shared" si="35"/>
        <v>1.7445917655268666</v>
      </c>
      <c r="X216" s="123">
        <f t="shared" si="36"/>
        <v>2.9472443265546713</v>
      </c>
      <c r="Y216" s="123">
        <f t="shared" si="37"/>
        <v>2.7533039647577091</v>
      </c>
      <c r="Z216" s="123">
        <f t="shared" si="38"/>
        <v>1.0716964955524595</v>
      </c>
      <c r="AA216" s="123">
        <f t="shared" si="39"/>
        <v>3.2435939020434641</v>
      </c>
      <c r="AB216" s="123">
        <f t="shared" si="40"/>
        <v>1.6535949982058495E-2</v>
      </c>
      <c r="AC216" s="127">
        <f t="shared" si="41"/>
        <v>1.4398848092152627</v>
      </c>
      <c r="AD216" s="123">
        <f t="shared" si="42"/>
        <v>0.24970659475116741</v>
      </c>
      <c r="AE216" s="123">
        <f t="shared" si="43"/>
        <v>1.9305019305019304</v>
      </c>
      <c r="AF216" s="129">
        <f t="shared" si="44"/>
        <v>2.3837902264600714</v>
      </c>
      <c r="AG216" s="123">
        <f t="shared" si="45"/>
        <v>0.87359133397396693</v>
      </c>
      <c r="AH216" s="123">
        <f t="shared" si="46"/>
        <v>0.331928170743851</v>
      </c>
      <c r="AN216" s="122">
        <v>45870</v>
      </c>
      <c r="AO216" s="131">
        <v>94.98</v>
      </c>
      <c r="AP216">
        <v>124.61</v>
      </c>
      <c r="AS216" s="122">
        <v>45870</v>
      </c>
      <c r="AT216" s="54">
        <v>955.3</v>
      </c>
      <c r="AU216">
        <f>(AT216/AT204-1)*100</f>
        <v>6.9525302283922841</v>
      </c>
    </row>
    <row r="217" spans="1:48" ht="15" x14ac:dyDescent="0.3">
      <c r="A217" s="76">
        <v>45870</v>
      </c>
      <c r="B217" s="77">
        <v>0.64019999999999999</v>
      </c>
      <c r="C217" s="77">
        <v>0.57440000000000002</v>
      </c>
      <c r="D217" s="77">
        <v>0.33339999999999997</v>
      </c>
      <c r="E217" s="77">
        <v>0.3569</v>
      </c>
      <c r="F217" s="77">
        <v>0.93169999999999997</v>
      </c>
      <c r="G217" s="77">
        <v>0.30859999999999999</v>
      </c>
      <c r="H217" s="77">
        <v>61.323599999999999</v>
      </c>
      <c r="I217" s="77">
        <v>0.70399999999999996</v>
      </c>
      <c r="J217" s="77">
        <v>3.9889000000000001</v>
      </c>
      <c r="K217" s="77">
        <v>0.53879999999999995</v>
      </c>
      <c r="L217" s="77">
        <v>0.41649999999999998</v>
      </c>
      <c r="M217" s="77">
        <v>1.1391</v>
      </c>
      <c r="N217" s="77">
        <v>2.9887000000000001</v>
      </c>
      <c r="U217" s="76">
        <v>45839</v>
      </c>
      <c r="V217" s="125">
        <f t="shared" si="34"/>
        <v>1.5647003598810827</v>
      </c>
      <c r="W217" s="123">
        <f t="shared" si="35"/>
        <v>1.7455053237912377</v>
      </c>
      <c r="X217" s="123">
        <f t="shared" si="36"/>
        <v>3.012048192771084</v>
      </c>
      <c r="Y217" s="123">
        <f t="shared" si="37"/>
        <v>2.7972027972027975</v>
      </c>
      <c r="Z217" s="123">
        <f t="shared" si="38"/>
        <v>1.0726161106939827</v>
      </c>
      <c r="AA217" s="123">
        <f t="shared" si="39"/>
        <v>3.2362459546925568</v>
      </c>
      <c r="AB217" s="123">
        <f t="shared" si="40"/>
        <v>1.6290996292169242E-2</v>
      </c>
      <c r="AC217" s="127">
        <f t="shared" si="41"/>
        <v>1.4353380221042056</v>
      </c>
      <c r="AD217" s="123">
        <f t="shared" si="42"/>
        <v>0.24940765681506422</v>
      </c>
      <c r="AE217" s="123">
        <f t="shared" si="43"/>
        <v>1.8511662347278786</v>
      </c>
      <c r="AF217" s="129">
        <f t="shared" si="44"/>
        <v>2.3860653781913626</v>
      </c>
      <c r="AG217" s="123">
        <f t="shared" si="45"/>
        <v>0.87466106883582617</v>
      </c>
      <c r="AH217" s="123">
        <f t="shared" si="46"/>
        <v>0.33266799733865604</v>
      </c>
      <c r="AN217" s="122">
        <v>45901</v>
      </c>
      <c r="AO217" s="131">
        <v>95.26</v>
      </c>
      <c r="AP217">
        <v>123.06</v>
      </c>
      <c r="AS217" s="122">
        <v>45901</v>
      </c>
      <c r="AT217" s="54">
        <v>964.2</v>
      </c>
      <c r="AU217">
        <f>(AT217/AT205-1)*100</f>
        <v>6.9432120674356668</v>
      </c>
    </row>
    <row r="218" spans="1:48" ht="15" x14ac:dyDescent="0.3">
      <c r="A218" s="76">
        <v>45901</v>
      </c>
      <c r="B218" s="77">
        <v>0.63200000000000001</v>
      </c>
      <c r="C218" s="77">
        <v>0.57640000000000002</v>
      </c>
      <c r="D218" s="77">
        <v>0.3301</v>
      </c>
      <c r="E218" s="77">
        <v>0.3548</v>
      </c>
      <c r="F218" s="77">
        <v>0.92959999999999998</v>
      </c>
      <c r="G218" s="77">
        <v>0.30790000000000001</v>
      </c>
      <c r="H218" s="77">
        <v>61.564100000000003</v>
      </c>
      <c r="I218" s="77">
        <v>0.70740000000000003</v>
      </c>
      <c r="J218" s="77">
        <v>3.9083999999999999</v>
      </c>
      <c r="K218" s="77">
        <v>0.53959999999999997</v>
      </c>
      <c r="L218" s="77">
        <v>0.4173</v>
      </c>
      <c r="M218" s="77">
        <v>1.1464000000000001</v>
      </c>
      <c r="N218" s="77">
        <v>2.9737</v>
      </c>
      <c r="U218" s="76">
        <v>45870</v>
      </c>
      <c r="V218" s="125">
        <f t="shared" si="34"/>
        <v>1.5620118712902218</v>
      </c>
      <c r="W218" s="123">
        <f t="shared" si="35"/>
        <v>1.7409470752089136</v>
      </c>
      <c r="X218" s="123">
        <f t="shared" si="36"/>
        <v>2.9994001199760052</v>
      </c>
      <c r="Y218" s="123">
        <f t="shared" si="37"/>
        <v>2.8019052956010086</v>
      </c>
      <c r="Z218" s="123">
        <f t="shared" si="38"/>
        <v>1.0733068584308254</v>
      </c>
      <c r="AA218" s="123">
        <f t="shared" si="39"/>
        <v>3.2404406999351911</v>
      </c>
      <c r="AB218" s="123">
        <f t="shared" si="40"/>
        <v>1.630693566587741E-2</v>
      </c>
      <c r="AC218" s="127">
        <f t="shared" si="41"/>
        <v>1.4204545454545456</v>
      </c>
      <c r="AD218" s="123">
        <f t="shared" si="42"/>
        <v>0.25069568051342472</v>
      </c>
      <c r="AE218" s="123">
        <f t="shared" si="43"/>
        <v>1.8559762435040834</v>
      </c>
      <c r="AF218" s="129">
        <f t="shared" si="44"/>
        <v>2.4009603841536618</v>
      </c>
      <c r="AG218" s="123">
        <f t="shared" si="45"/>
        <v>0.87788605039065926</v>
      </c>
      <c r="AH218" s="123">
        <f t="shared" si="46"/>
        <v>0.33459363602904274</v>
      </c>
      <c r="AN218" s="122">
        <v>45931</v>
      </c>
      <c r="AO218" s="131">
        <v>95.51</v>
      </c>
      <c r="AP218">
        <v>123.52</v>
      </c>
      <c r="AS218" s="122">
        <v>45931</v>
      </c>
      <c r="AT218" s="54">
        <v>999</v>
      </c>
      <c r="AU218">
        <f>(AT218/AT206-1)*100</f>
        <v>10.228401191658399</v>
      </c>
    </row>
    <row r="219" spans="1:48" ht="15" x14ac:dyDescent="0.3">
      <c r="A219" s="76">
        <v>45931</v>
      </c>
      <c r="B219" s="77">
        <v>0.63180000000000003</v>
      </c>
      <c r="C219" s="77">
        <v>0.57930000000000004</v>
      </c>
      <c r="D219" s="77">
        <v>0.32840000000000003</v>
      </c>
      <c r="E219" s="77">
        <v>0.35489999999999999</v>
      </c>
      <c r="F219" s="77">
        <v>0.92720000000000002</v>
      </c>
      <c r="G219" s="77">
        <v>0.30890000000000001</v>
      </c>
      <c r="H219" s="77">
        <v>62.502499999999998</v>
      </c>
      <c r="I219" s="77">
        <v>0.71740000000000004</v>
      </c>
      <c r="J219" s="77">
        <v>3.9041000000000001</v>
      </c>
      <c r="K219" s="77">
        <v>0.54039999999999999</v>
      </c>
      <c r="L219" s="77">
        <v>0.41449999999999998</v>
      </c>
      <c r="M219" s="77">
        <v>1.1489</v>
      </c>
      <c r="N219" s="77">
        <v>2.9517000000000002</v>
      </c>
      <c r="U219" s="76">
        <v>45901</v>
      </c>
      <c r="V219" s="125">
        <f t="shared" si="34"/>
        <v>1.5822784810126582</v>
      </c>
      <c r="W219" s="123">
        <f t="shared" si="35"/>
        <v>1.7349063150589867</v>
      </c>
      <c r="X219" s="123">
        <f t="shared" si="36"/>
        <v>3.0293850348379276</v>
      </c>
      <c r="Y219" s="123">
        <f t="shared" si="37"/>
        <v>2.818489289740699</v>
      </c>
      <c r="Z219" s="123">
        <f t="shared" si="38"/>
        <v>1.0757314974182444</v>
      </c>
      <c r="AA219" s="123">
        <f t="shared" si="39"/>
        <v>3.2478077297823966</v>
      </c>
      <c r="AB219" s="123">
        <f t="shared" si="40"/>
        <v>1.6243232663191696E-2</v>
      </c>
      <c r="AC219" s="127">
        <f t="shared" si="41"/>
        <v>1.4136273678258411</v>
      </c>
      <c r="AD219" s="123">
        <f t="shared" si="42"/>
        <v>0.25585917511001943</v>
      </c>
      <c r="AE219" s="123">
        <f t="shared" si="43"/>
        <v>1.8532246108228319</v>
      </c>
      <c r="AF219" s="129">
        <f t="shared" si="44"/>
        <v>2.3963575365444525</v>
      </c>
      <c r="AG219" s="123">
        <f t="shared" si="45"/>
        <v>0.87229588276343328</v>
      </c>
      <c r="AH219" s="123">
        <f t="shared" si="46"/>
        <v>0.33628140027575076</v>
      </c>
      <c r="AN219" s="122">
        <v>45962</v>
      </c>
      <c r="AO219" s="131">
        <v>95.62</v>
      </c>
      <c r="AP219">
        <v>126.62</v>
      </c>
      <c r="AS219" s="122">
        <v>45962</v>
      </c>
      <c r="AT219" s="133">
        <f>AT195*(1+AU219/100)</f>
        <v>942.12570000000005</v>
      </c>
      <c r="AU219">
        <v>10.1</v>
      </c>
    </row>
    <row r="220" spans="1:48" ht="15" x14ac:dyDescent="0.3">
      <c r="A220" s="76">
        <v>45962</v>
      </c>
      <c r="B220" s="77">
        <v>0.63229999999999997</v>
      </c>
      <c r="C220" s="77">
        <v>0.57869999999999999</v>
      </c>
      <c r="D220" s="77">
        <v>0.32869999999999999</v>
      </c>
      <c r="E220" s="77">
        <v>0.35539999999999999</v>
      </c>
      <c r="F220" s="77">
        <v>0.92900000000000005</v>
      </c>
      <c r="G220" s="77">
        <v>0.31240000000000001</v>
      </c>
      <c r="H220" s="77">
        <v>63.7896</v>
      </c>
      <c r="I220" s="77">
        <v>0.72760000000000002</v>
      </c>
      <c r="J220" s="77">
        <v>3.9129999999999998</v>
      </c>
      <c r="K220" s="77">
        <v>0.54039999999999999</v>
      </c>
      <c r="L220" s="77">
        <v>0.41210000000000002</v>
      </c>
      <c r="M220" s="77">
        <v>1.151</v>
      </c>
      <c r="N220" s="77">
        <v>2.9291999999999998</v>
      </c>
      <c r="U220" s="76">
        <v>45931</v>
      </c>
      <c r="V220" s="125">
        <f t="shared" si="34"/>
        <v>1.5827793605571383</v>
      </c>
      <c r="W220" s="123">
        <f t="shared" si="35"/>
        <v>1.7262213015708612</v>
      </c>
      <c r="X220" s="123">
        <f t="shared" si="36"/>
        <v>3.0450669914738122</v>
      </c>
      <c r="Y220" s="123">
        <f t="shared" si="37"/>
        <v>2.8176951253874329</v>
      </c>
      <c r="Z220" s="123">
        <f t="shared" si="38"/>
        <v>1.0785159620362381</v>
      </c>
      <c r="AA220" s="123">
        <f t="shared" si="39"/>
        <v>3.2372936225315634</v>
      </c>
      <c r="AB220" s="123">
        <f t="shared" si="40"/>
        <v>1.5999360025598975E-2</v>
      </c>
      <c r="AC220" s="127">
        <f t="shared" si="41"/>
        <v>1.3939224979091163</v>
      </c>
      <c r="AD220" s="123">
        <f t="shared" si="42"/>
        <v>0.25614097999538943</v>
      </c>
      <c r="AE220" s="123">
        <f t="shared" si="43"/>
        <v>1.8504811250925242</v>
      </c>
      <c r="AF220" s="129">
        <f t="shared" si="44"/>
        <v>2.4125452352231607</v>
      </c>
      <c r="AG220" s="123">
        <f t="shared" si="45"/>
        <v>0.87039777178170419</v>
      </c>
      <c r="AH220" s="123">
        <f t="shared" si="46"/>
        <v>0.33878781719009382</v>
      </c>
      <c r="AN220" s="122">
        <v>45992</v>
      </c>
      <c r="AO220" s="131">
        <v>95.31</v>
      </c>
      <c r="AP220">
        <v>128.68</v>
      </c>
      <c r="AS220" s="122">
        <v>45992</v>
      </c>
      <c r="AT220" s="144">
        <f>AT208*(1+AU220/100)</f>
        <v>971.25</v>
      </c>
      <c r="AU220">
        <v>3.6</v>
      </c>
    </row>
    <row r="221" spans="1:48" ht="15" x14ac:dyDescent="0.3">
      <c r="A221" s="76">
        <v>45992</v>
      </c>
      <c r="B221" s="77">
        <v>0.62490000000000001</v>
      </c>
      <c r="C221" s="77">
        <v>0.5736</v>
      </c>
      <c r="D221" s="77">
        <v>0.32900000000000001</v>
      </c>
      <c r="E221" s="77">
        <v>0.35399999999999998</v>
      </c>
      <c r="F221" s="77">
        <v>0.92979999999999996</v>
      </c>
      <c r="G221" s="77">
        <v>0.3095</v>
      </c>
      <c r="H221" s="77">
        <v>64.647199999999998</v>
      </c>
      <c r="I221" s="77">
        <v>0.71679999999999999</v>
      </c>
      <c r="J221" s="77">
        <v>3.8614000000000002</v>
      </c>
      <c r="K221" s="77">
        <v>0.54010000000000002</v>
      </c>
      <c r="L221" s="77">
        <v>0.41560000000000002</v>
      </c>
      <c r="M221" s="77">
        <v>1.1475</v>
      </c>
      <c r="N221" s="77">
        <v>2.9291</v>
      </c>
      <c r="U221" s="76">
        <v>45962</v>
      </c>
      <c r="V221" s="125">
        <f t="shared" si="34"/>
        <v>1.5815277558121146</v>
      </c>
      <c r="W221" s="123">
        <f t="shared" si="35"/>
        <v>1.7280110592707794</v>
      </c>
      <c r="X221" s="123">
        <f t="shared" si="36"/>
        <v>3.0422878004259202</v>
      </c>
      <c r="Y221" s="123">
        <f t="shared" si="37"/>
        <v>2.8137310073157007</v>
      </c>
      <c r="Z221" s="123">
        <f t="shared" si="38"/>
        <v>1.0764262648008611</v>
      </c>
      <c r="AA221" s="123">
        <f t="shared" si="39"/>
        <v>3.2010243277848911</v>
      </c>
      <c r="AB221" s="123">
        <f t="shared" si="40"/>
        <v>1.5676536614118917E-2</v>
      </c>
      <c r="AC221" s="127">
        <f t="shared" si="41"/>
        <v>1.3743815283122593</v>
      </c>
      <c r="AD221" s="123">
        <f t="shared" si="42"/>
        <v>0.25555839509327882</v>
      </c>
      <c r="AE221" s="123">
        <f t="shared" si="43"/>
        <v>1.8504811250925242</v>
      </c>
      <c r="AF221" s="129">
        <f t="shared" si="44"/>
        <v>2.4265954865323951</v>
      </c>
      <c r="AG221" s="123">
        <f t="shared" si="45"/>
        <v>0.86880973066898348</v>
      </c>
      <c r="AH221" s="123">
        <f t="shared" si="46"/>
        <v>0.34139014065273798</v>
      </c>
      <c r="AN221" s="122">
        <v>46023</v>
      </c>
      <c r="AO221" s="131">
        <v>94.48</v>
      </c>
      <c r="AP221">
        <v>127.21</v>
      </c>
      <c r="AS221" s="122">
        <v>46023</v>
      </c>
      <c r="AT221" s="144">
        <f>AT209*(1+AU221/100)</f>
        <v>988.92000000000007</v>
      </c>
      <c r="AU221">
        <v>7.2</v>
      </c>
    </row>
    <row r="222" spans="1:48" ht="15" x14ac:dyDescent="0.3">
      <c r="U222" s="76">
        <v>45992</v>
      </c>
      <c r="V222" s="125">
        <f t="shared" si="34"/>
        <v>1.6002560409665547</v>
      </c>
      <c r="W222" s="123">
        <f t="shared" si="35"/>
        <v>1.7433751743375174</v>
      </c>
      <c r="X222" s="123">
        <f t="shared" si="36"/>
        <v>3.0395136778115499</v>
      </c>
      <c r="Y222" s="123">
        <f t="shared" si="37"/>
        <v>2.8248587570621471</v>
      </c>
      <c r="Z222" s="123">
        <f t="shared" si="38"/>
        <v>1.0755001075500108</v>
      </c>
      <c r="AA222" s="123">
        <f t="shared" si="39"/>
        <v>3.2310177705977385</v>
      </c>
      <c r="AB222" s="123">
        <f t="shared" si="40"/>
        <v>1.5468574044970238E-2</v>
      </c>
      <c r="AC222" s="127">
        <f t="shared" si="41"/>
        <v>1.3950892857142858</v>
      </c>
      <c r="AD222" s="123">
        <f t="shared" si="42"/>
        <v>0.25897342932615114</v>
      </c>
      <c r="AE222" s="123">
        <f t="shared" si="43"/>
        <v>1.851508979818552</v>
      </c>
      <c r="AF222" s="129">
        <f t="shared" si="44"/>
        <v>2.4061597690086622</v>
      </c>
      <c r="AG222" s="123">
        <f t="shared" si="45"/>
        <v>0.8714596949891068</v>
      </c>
      <c r="AH222" s="123">
        <f t="shared" si="46"/>
        <v>0.34140179577344576</v>
      </c>
      <c r="AN222" s="122">
        <v>46054</v>
      </c>
      <c r="AO222" s="131">
        <v>94.65</v>
      </c>
      <c r="AP222">
        <v>124.93</v>
      </c>
      <c r="AS222" s="122">
        <v>46054</v>
      </c>
      <c r="AT222" s="144">
        <f>AT210*(1+AU222/100)</f>
        <v>993.47280000000001</v>
      </c>
      <c r="AU222">
        <v>8.6</v>
      </c>
    </row>
    <row r="223" spans="1:48" x14ac:dyDescent="0.3">
      <c r="AN223" s="122">
        <v>46082</v>
      </c>
      <c r="AO223" s="131">
        <v>95.52</v>
      </c>
      <c r="AP223">
        <v>127.79</v>
      </c>
      <c r="AS223" s="122">
        <v>46082</v>
      </c>
      <c r="AT223">
        <v>1004.2</v>
      </c>
      <c r="AU223">
        <v>9.8000000000000007</v>
      </c>
      <c r="AV223" s="133">
        <f>AT199*(1+AU223/100)</f>
        <v>936.59400000000005</v>
      </c>
    </row>
    <row r="224" spans="1:48" x14ac:dyDescent="0.3">
      <c r="AS224" s="122">
        <v>46113</v>
      </c>
      <c r="AT224">
        <v>998.3</v>
      </c>
    </row>
  </sheetData>
  <conditionalFormatting sqref="B12:N12">
    <cfRule type="expression" dxfId="0" priority="1">
      <formula>$B$3-$B$13&lt;0</formula>
    </cfRule>
  </conditionalFormatting>
  <dataValidations count="1">
    <dataValidation type="textLength" errorStyle="information" allowBlank="1" showInputMessage="1" error="XLBVal:6=0_x000d__x000a_" sqref="AT63:AT64" xr:uid="{352EFB50-CD13-429A-A1E0-86797E546920}">
      <formula1>0</formula1>
      <formula2>10000</formula2>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46283-3538-4297-91A2-80B7D52C6A80}">
  <dimension ref="A1:R46"/>
  <sheetViews>
    <sheetView zoomScale="86" workbookViewId="0">
      <pane xSplit="1" topLeftCell="B1" activePane="topRight" state="frozen"/>
      <selection pane="topRight" activeCell="O42" sqref="O42"/>
    </sheetView>
  </sheetViews>
  <sheetFormatPr defaultRowHeight="14.4" x14ac:dyDescent="0.3"/>
  <cols>
    <col min="1" max="1" width="45.33203125" customWidth="1"/>
    <col min="2" max="18" width="10.5546875" customWidth="1"/>
  </cols>
  <sheetData>
    <row r="1" spans="1:18" x14ac:dyDescent="0.3">
      <c r="B1" s="1" t="s">
        <v>17</v>
      </c>
      <c r="C1" s="2" t="s">
        <v>18</v>
      </c>
      <c r="D1" s="3" t="s">
        <v>19</v>
      </c>
      <c r="E1" s="3" t="s">
        <v>20</v>
      </c>
      <c r="F1" s="3" t="s">
        <v>21</v>
      </c>
      <c r="G1" s="3" t="s">
        <v>22</v>
      </c>
      <c r="H1" s="4" t="s">
        <v>23</v>
      </c>
      <c r="I1" s="2" t="s">
        <v>24</v>
      </c>
      <c r="J1" s="3" t="s">
        <v>25</v>
      </c>
      <c r="K1" s="3" t="s">
        <v>26</v>
      </c>
      <c r="L1" s="3" t="s">
        <v>27</v>
      </c>
      <c r="M1" s="5" t="s">
        <v>28</v>
      </c>
      <c r="N1" s="6" t="s">
        <v>29</v>
      </c>
      <c r="O1" s="6" t="s">
        <v>30</v>
      </c>
      <c r="P1" s="6" t="s">
        <v>31</v>
      </c>
      <c r="Q1" s="7" t="s">
        <v>32</v>
      </c>
      <c r="R1" s="8" t="s">
        <v>33</v>
      </c>
    </row>
    <row r="2" spans="1:18" ht="15.6" x14ac:dyDescent="0.3">
      <c r="A2" s="9" t="s">
        <v>34</v>
      </c>
      <c r="B2" s="20" t="s">
        <v>35</v>
      </c>
      <c r="C2" s="20" t="s">
        <v>36</v>
      </c>
      <c r="D2" s="20" t="s">
        <v>37</v>
      </c>
      <c r="E2" s="21" t="s">
        <v>38</v>
      </c>
      <c r="F2" s="21" t="s">
        <v>39</v>
      </c>
      <c r="G2" s="21" t="s">
        <v>40</v>
      </c>
      <c r="H2" s="22" t="s">
        <v>41</v>
      </c>
      <c r="I2" s="21" t="s">
        <v>42</v>
      </c>
      <c r="J2" s="21" t="s">
        <v>43</v>
      </c>
      <c r="K2" s="21" t="s">
        <v>44</v>
      </c>
      <c r="L2" s="21" t="s">
        <v>45</v>
      </c>
      <c r="M2" s="23" t="s">
        <v>46</v>
      </c>
      <c r="N2" s="24" t="s">
        <v>47</v>
      </c>
      <c r="O2" s="24" t="s">
        <v>48</v>
      </c>
      <c r="P2" s="24" t="s">
        <v>49</v>
      </c>
      <c r="Q2" s="25" t="s">
        <v>50</v>
      </c>
      <c r="R2" s="26" t="s">
        <v>51</v>
      </c>
    </row>
    <row r="3" spans="1:18" x14ac:dyDescent="0.3">
      <c r="A3" s="18" t="s">
        <v>0</v>
      </c>
      <c r="B3" s="19">
        <v>169.698593478584</v>
      </c>
      <c r="C3" s="19">
        <v>176.41022439287838</v>
      </c>
      <c r="D3" s="19">
        <v>180.81959127306698</v>
      </c>
      <c r="E3" s="19">
        <v>177.66615325153049</v>
      </c>
      <c r="F3" s="19">
        <v>175.43017261068189</v>
      </c>
      <c r="G3" s="19">
        <v>171.01763748791922</v>
      </c>
      <c r="H3" s="19">
        <v>175.43082973847262</v>
      </c>
      <c r="I3" s="19">
        <v>184.6173173517455</v>
      </c>
      <c r="J3" s="19">
        <v>190.34760831827282</v>
      </c>
      <c r="K3" s="19">
        <v>188.66465143378642</v>
      </c>
      <c r="L3" s="19">
        <v>193.96018988074331</v>
      </c>
      <c r="M3" s="19">
        <v>225.7651666787246</v>
      </c>
      <c r="N3" s="19">
        <v>205.38440437064156</v>
      </c>
      <c r="O3" s="19">
        <v>211.75576070809643</v>
      </c>
      <c r="P3" s="19">
        <v>218.84542849727433</v>
      </c>
      <c r="Q3" s="19">
        <v>223.23684049991516</v>
      </c>
      <c r="R3" s="19">
        <v>227.58200303042412</v>
      </c>
    </row>
    <row r="4" spans="1:18" x14ac:dyDescent="0.3">
      <c r="A4" s="11" t="s">
        <v>1</v>
      </c>
      <c r="B4" s="12">
        <v>19.882250994410999</v>
      </c>
      <c r="C4" s="12">
        <v>18.7892852488324</v>
      </c>
      <c r="D4" s="12">
        <v>19.401575289478</v>
      </c>
      <c r="E4" s="12">
        <v>21.5157732326795</v>
      </c>
      <c r="F4" s="12">
        <v>26.284895612482899</v>
      </c>
      <c r="G4" s="12">
        <v>19.275378750001199</v>
      </c>
      <c r="H4" s="12">
        <v>16.902112395738602</v>
      </c>
      <c r="I4" s="12">
        <v>20.017382775428501</v>
      </c>
      <c r="J4" s="12">
        <v>24.180956892753802</v>
      </c>
      <c r="K4" s="12">
        <v>21.479260914628401</v>
      </c>
      <c r="L4" s="12">
        <v>20.085609548405301</v>
      </c>
      <c r="M4" s="12">
        <v>22.005838225969601</v>
      </c>
      <c r="N4" s="12">
        <v>20.323987285767629</v>
      </c>
      <c r="O4" s="12">
        <v>20.951918439274504</v>
      </c>
      <c r="P4" s="12">
        <v>21.68563371629438</v>
      </c>
      <c r="Q4" s="12">
        <v>22.5211424031509</v>
      </c>
      <c r="R4" s="12">
        <v>23.467030384083237</v>
      </c>
    </row>
    <row r="5" spans="1:18" x14ac:dyDescent="0.3">
      <c r="A5" s="11" t="s">
        <v>52</v>
      </c>
      <c r="B5" s="12">
        <f>B3-B4</f>
        <v>149.81634248417299</v>
      </c>
      <c r="C5" s="12">
        <f t="shared" ref="C5:R5" si="0">C3-C4</f>
        <v>157.62093914404596</v>
      </c>
      <c r="D5" s="12">
        <f t="shared" si="0"/>
        <v>161.41801598358899</v>
      </c>
      <c r="E5" s="12">
        <f t="shared" si="0"/>
        <v>156.150380018851</v>
      </c>
      <c r="F5" s="12">
        <f t="shared" si="0"/>
        <v>149.14527699819899</v>
      </c>
      <c r="G5" s="12">
        <f t="shared" si="0"/>
        <v>151.74225873791801</v>
      </c>
      <c r="H5" s="12">
        <f t="shared" si="0"/>
        <v>158.52871734273401</v>
      </c>
      <c r="I5" s="12">
        <f t="shared" si="0"/>
        <v>164.599934576317</v>
      </c>
      <c r="J5" s="12">
        <f t="shared" si="0"/>
        <v>166.16665142551901</v>
      </c>
      <c r="K5" s="12">
        <f t="shared" si="0"/>
        <v>167.18539051915801</v>
      </c>
      <c r="L5" s="12">
        <f t="shared" si="0"/>
        <v>173.87458033233801</v>
      </c>
      <c r="M5" s="12">
        <f t="shared" si="0"/>
        <v>203.759328452755</v>
      </c>
      <c r="N5" s="12">
        <f t="shared" si="0"/>
        <v>185.06041708487393</v>
      </c>
      <c r="O5" s="12">
        <f t="shared" si="0"/>
        <v>190.80384226882194</v>
      </c>
      <c r="P5" s="12">
        <f t="shared" si="0"/>
        <v>197.15979478097995</v>
      </c>
      <c r="Q5" s="12">
        <f t="shared" si="0"/>
        <v>200.71569809676427</v>
      </c>
      <c r="R5" s="12">
        <f t="shared" si="0"/>
        <v>204.11497264634087</v>
      </c>
    </row>
    <row r="7" spans="1:18" x14ac:dyDescent="0.3">
      <c r="A7" s="18" t="s">
        <v>2</v>
      </c>
      <c r="B7" s="19">
        <v>147.37107346065039</v>
      </c>
      <c r="C7" s="19">
        <v>126.11530757915207</v>
      </c>
      <c r="D7" s="19">
        <v>136.14788247523023</v>
      </c>
      <c r="E7" s="19">
        <v>135.44530260023583</v>
      </c>
      <c r="F7" s="19">
        <v>152.30931062054731</v>
      </c>
      <c r="G7" s="19">
        <v>166.96926044397085</v>
      </c>
      <c r="H7" s="19">
        <v>142.39497154384424</v>
      </c>
      <c r="I7" s="19">
        <v>148.97078809363128</v>
      </c>
      <c r="J7" s="19">
        <v>150.07564094596552</v>
      </c>
      <c r="K7" s="19">
        <v>178.55674843629981</v>
      </c>
      <c r="L7" s="19">
        <v>156.67567643369637</v>
      </c>
      <c r="M7" s="19">
        <v>139.22308577113932</v>
      </c>
      <c r="N7" s="19">
        <v>148.38985778783416</v>
      </c>
      <c r="O7" s="19">
        <v>156.22828015167556</v>
      </c>
      <c r="P7" s="19">
        <v>165.62929882584422</v>
      </c>
      <c r="Q7" s="19">
        <v>176.26813398936318</v>
      </c>
      <c r="R7" s="19">
        <v>188.44929501618023</v>
      </c>
    </row>
    <row r="8" spans="1:18" x14ac:dyDescent="0.3">
      <c r="A8" s="11" t="s">
        <v>53</v>
      </c>
      <c r="B8" s="12">
        <v>8.3748478201894105</v>
      </c>
      <c r="C8" s="12">
        <v>6.2277372231088597</v>
      </c>
      <c r="D8" s="12">
        <v>6.5018693129942298</v>
      </c>
      <c r="E8" s="12">
        <v>6.5964838803246399</v>
      </c>
      <c r="F8" s="12">
        <v>5.8829425792654302</v>
      </c>
      <c r="G8" s="12">
        <v>6.0752275416280499</v>
      </c>
      <c r="H8" s="12">
        <v>6.7012654142483399</v>
      </c>
      <c r="I8" s="12">
        <v>4.0724800178838896</v>
      </c>
      <c r="J8" s="12">
        <v>3.5821040173946201</v>
      </c>
      <c r="K8" s="12">
        <v>3.8959102132830301</v>
      </c>
      <c r="L8" s="12">
        <v>4.1629464604975501</v>
      </c>
      <c r="M8" s="12">
        <v>3.1365906261642298</v>
      </c>
      <c r="N8" s="12">
        <v>3.4661345002945225</v>
      </c>
      <c r="O8" s="12">
        <v>3.7423829668440405</v>
      </c>
      <c r="P8" s="12">
        <v>4.0685145428812017</v>
      </c>
      <c r="Q8" s="12">
        <v>4.4472403719906808</v>
      </c>
      <c r="R8" s="12">
        <v>4.8901624466464844</v>
      </c>
    </row>
    <row r="9" spans="1:18" x14ac:dyDescent="0.3">
      <c r="A9" s="11" t="s">
        <v>3</v>
      </c>
      <c r="B9" s="12">
        <v>52.579928639754201</v>
      </c>
      <c r="C9" s="12">
        <v>53.6209705729093</v>
      </c>
      <c r="D9" s="12">
        <v>54.105166538349899</v>
      </c>
      <c r="E9" s="12">
        <v>55.742487706284699</v>
      </c>
      <c r="F9" s="12">
        <v>59.881517890805704</v>
      </c>
      <c r="G9" s="12">
        <v>60.803691210536499</v>
      </c>
      <c r="H9" s="12">
        <v>59.722468253225102</v>
      </c>
      <c r="I9" s="12">
        <v>56.8498228414716</v>
      </c>
      <c r="J9" s="12">
        <v>58.888219859721502</v>
      </c>
      <c r="K9" s="12">
        <v>63.242166208724299</v>
      </c>
      <c r="L9" s="12">
        <v>50.450670949034397</v>
      </c>
      <c r="M9" s="12">
        <v>43.8444264302424</v>
      </c>
      <c r="N9" s="12">
        <v>44.219703463805615</v>
      </c>
      <c r="O9" s="12">
        <v>44.743525889321624</v>
      </c>
      <c r="P9" s="12">
        <v>45.577922663263692</v>
      </c>
      <c r="Q9" s="12">
        <v>46.669029170695239</v>
      </c>
      <c r="R9" s="12">
        <v>48.119751571505667</v>
      </c>
    </row>
    <row r="10" spans="1:18" x14ac:dyDescent="0.3">
      <c r="A10" s="11" t="s">
        <v>4</v>
      </c>
      <c r="B10" s="12">
        <v>19.1827766862272</v>
      </c>
      <c r="C10" s="12">
        <v>19.968970576314302</v>
      </c>
      <c r="D10" s="12">
        <v>20.672116092353999</v>
      </c>
      <c r="E10" s="12">
        <v>21.032341374606599</v>
      </c>
      <c r="F10" s="12">
        <v>22.600143797009299</v>
      </c>
      <c r="G10" s="12">
        <v>24.670701556929</v>
      </c>
      <c r="H10" s="12">
        <v>24.9592725694256</v>
      </c>
      <c r="I10" s="12">
        <v>27.186355072264998</v>
      </c>
      <c r="J10" s="12">
        <v>29.580339071026099</v>
      </c>
      <c r="K10" s="12">
        <v>29.812049920280199</v>
      </c>
      <c r="L10" s="12">
        <v>31.1404828537352</v>
      </c>
      <c r="M10" s="12">
        <v>32.849121272007601</v>
      </c>
      <c r="N10" s="12">
        <v>34.470553897993895</v>
      </c>
      <c r="O10" s="12">
        <v>35.857304281310192</v>
      </c>
      <c r="P10" s="12">
        <v>37.611802179794694</v>
      </c>
      <c r="Q10" s="12">
        <v>39.40325231761831</v>
      </c>
      <c r="R10" s="12">
        <v>41.251592800385545</v>
      </c>
    </row>
    <row r="11" spans="1:18" x14ac:dyDescent="0.3">
      <c r="A11" s="11" t="s">
        <v>5</v>
      </c>
      <c r="B11" s="12">
        <v>67.233520314479605</v>
      </c>
      <c r="C11" s="12">
        <v>46.2976292068196</v>
      </c>
      <c r="D11" s="12">
        <v>54.868730531532101</v>
      </c>
      <c r="E11" s="12">
        <v>52.073989639019899</v>
      </c>
      <c r="F11" s="12">
        <v>63.944706353466898</v>
      </c>
      <c r="G11" s="12">
        <v>75.419640134877298</v>
      </c>
      <c r="H11" s="12">
        <v>51.0119653069452</v>
      </c>
      <c r="I11" s="12">
        <v>60.8621301620108</v>
      </c>
      <c r="J11" s="12">
        <v>58.024977997823299</v>
      </c>
      <c r="K11" s="12">
        <v>81.606622094012295</v>
      </c>
      <c r="L11" s="12">
        <v>70.921576170429205</v>
      </c>
      <c r="M11" s="12">
        <v>59.392947442725102</v>
      </c>
      <c r="N11" s="12">
        <v>66.23346592574012</v>
      </c>
      <c r="O11" s="12">
        <v>71.885067014199691</v>
      </c>
      <c r="P11" s="12">
        <v>78.371059439904613</v>
      </c>
      <c r="Q11" s="12">
        <v>85.748612129058955</v>
      </c>
      <c r="R11" s="12">
        <v>94.187788197642533</v>
      </c>
    </row>
    <row r="13" spans="1:18" x14ac:dyDescent="0.3">
      <c r="A13" s="18" t="s">
        <v>54</v>
      </c>
      <c r="B13" s="19">
        <v>462.77235567261573</v>
      </c>
      <c r="C13" s="19">
        <v>478.94222101886839</v>
      </c>
      <c r="D13" s="19">
        <v>473.85558966277858</v>
      </c>
      <c r="E13" s="19">
        <v>479.52047974760615</v>
      </c>
      <c r="F13" s="19">
        <v>506.13364151072136</v>
      </c>
      <c r="G13" s="19">
        <v>514.32219006425316</v>
      </c>
      <c r="H13" s="19">
        <v>531.45008472175243</v>
      </c>
      <c r="I13" s="19">
        <v>518.29069621581311</v>
      </c>
      <c r="J13" s="19">
        <v>531.9401550888291</v>
      </c>
      <c r="K13" s="19">
        <v>504.30046129627226</v>
      </c>
      <c r="L13" s="19">
        <v>494.74863942333462</v>
      </c>
      <c r="M13" s="19">
        <v>480.03326275573949</v>
      </c>
      <c r="N13" s="19">
        <v>502.81265251461605</v>
      </c>
      <c r="O13" s="19">
        <v>526.94860380512364</v>
      </c>
      <c r="P13" s="19">
        <v>552.14494282287046</v>
      </c>
      <c r="Q13" s="19">
        <v>579.36163188154569</v>
      </c>
      <c r="R13" s="19">
        <v>614.38253556872826</v>
      </c>
    </row>
    <row r="14" spans="1:18" x14ac:dyDescent="0.3">
      <c r="A14" s="11" t="s">
        <v>55</v>
      </c>
      <c r="B14" s="12">
        <v>85.622069320716804</v>
      </c>
      <c r="C14" s="12">
        <v>85.890325885148698</v>
      </c>
      <c r="D14" s="12">
        <v>83.220296651428399</v>
      </c>
      <c r="E14" s="12">
        <v>85.403676419984905</v>
      </c>
      <c r="F14" s="12">
        <v>98.055260367028396</v>
      </c>
      <c r="G14" s="12">
        <v>100.57109421493</v>
      </c>
      <c r="H14" s="12">
        <v>106.83038557431</v>
      </c>
      <c r="I14" s="12">
        <v>107.28075450489</v>
      </c>
      <c r="J14" s="12">
        <v>109.977103357667</v>
      </c>
      <c r="K14" s="12">
        <v>95.342797600076196</v>
      </c>
      <c r="L14" s="12">
        <v>94.480371967220904</v>
      </c>
      <c r="M14" s="12">
        <v>98.027347318602594</v>
      </c>
      <c r="N14" s="12">
        <v>103.96123730775457</v>
      </c>
      <c r="O14" s="12">
        <v>113.08472484417551</v>
      </c>
      <c r="P14" s="12">
        <v>120.44521002300375</v>
      </c>
      <c r="Q14" s="12">
        <v>128.28477619303044</v>
      </c>
      <c r="R14" s="12">
        <v>141.76599693825688</v>
      </c>
    </row>
    <row r="15" spans="1:18" x14ac:dyDescent="0.3">
      <c r="A15" s="11" t="s">
        <v>56</v>
      </c>
      <c r="B15" s="12">
        <v>26.502738177821726</v>
      </c>
      <c r="C15" s="12">
        <v>28.730890102818499</v>
      </c>
      <c r="D15" s="12">
        <v>30.113164961428801</v>
      </c>
      <c r="E15" s="12">
        <v>31.664900340459099</v>
      </c>
      <c r="F15" s="12">
        <v>31.0477699386362</v>
      </c>
      <c r="G15" s="12">
        <v>36.307791262484599</v>
      </c>
      <c r="H15" s="12">
        <v>37.831370254560099</v>
      </c>
      <c r="I15" s="12">
        <v>35.803383211798</v>
      </c>
      <c r="J15" s="12">
        <v>31.581556590212902</v>
      </c>
      <c r="K15" s="12">
        <v>20.6972732192345</v>
      </c>
      <c r="L15" s="12">
        <v>27.928567027358699</v>
      </c>
      <c r="M15" s="12">
        <v>26.693428915332301</v>
      </c>
      <c r="N15" s="12">
        <v>27.686276276429034</v>
      </c>
      <c r="O15" s="12">
        <v>28.755321145182474</v>
      </c>
      <c r="P15" s="12">
        <v>29.971259218522274</v>
      </c>
      <c r="Q15" s="12">
        <v>31.281275011172617</v>
      </c>
      <c r="R15" s="12">
        <v>32.736330826793079</v>
      </c>
    </row>
    <row r="16" spans="1:18" x14ac:dyDescent="0.3">
      <c r="A16" s="11" t="s">
        <v>57</v>
      </c>
      <c r="B16" s="12">
        <v>16.397102598270259</v>
      </c>
      <c r="C16" s="12">
        <v>23.071399578613001</v>
      </c>
      <c r="D16" s="12">
        <v>22.110732786204501</v>
      </c>
      <c r="E16" s="12">
        <v>23.722849134801901</v>
      </c>
      <c r="F16" s="12">
        <v>27.660261190697501</v>
      </c>
      <c r="G16" s="12">
        <v>30.039452018212302</v>
      </c>
      <c r="H16" s="12">
        <v>32.263870195504303</v>
      </c>
      <c r="I16" s="12">
        <v>31.204923345987801</v>
      </c>
      <c r="J16" s="12">
        <v>22.636193909997601</v>
      </c>
      <c r="K16" s="12">
        <v>9.6439820879869806</v>
      </c>
      <c r="L16" s="12">
        <v>9.2481585416925594</v>
      </c>
      <c r="M16" s="12">
        <v>22.896287524995898</v>
      </c>
      <c r="N16" s="12">
        <v>28.981747787112106</v>
      </c>
      <c r="O16" s="12">
        <v>31.50997055532083</v>
      </c>
      <c r="P16" s="12">
        <v>34.247997936754878</v>
      </c>
      <c r="Q16" s="12">
        <v>37.51323630804302</v>
      </c>
      <c r="R16" s="12">
        <v>41.406660077982188</v>
      </c>
    </row>
    <row r="17" spans="1:18" x14ac:dyDescent="0.3">
      <c r="A17" s="11" t="s">
        <v>58</v>
      </c>
      <c r="B17" s="12">
        <v>23.965787192614865</v>
      </c>
      <c r="C17" s="12">
        <v>24.6234026903951</v>
      </c>
      <c r="D17" s="12">
        <v>19.694139009030199</v>
      </c>
      <c r="E17" s="12">
        <v>22.221173136968499</v>
      </c>
      <c r="F17" s="12">
        <v>22.6960052609539</v>
      </c>
      <c r="G17" s="12">
        <v>22.5410178489618</v>
      </c>
      <c r="H17" s="12">
        <v>24.644849009744899</v>
      </c>
      <c r="I17" s="12">
        <v>24.5150231412339</v>
      </c>
      <c r="J17" s="12">
        <v>31.979584644295301</v>
      </c>
      <c r="K17" s="12">
        <v>28.384081955289101</v>
      </c>
      <c r="L17" s="12">
        <v>33.523449292054103</v>
      </c>
      <c r="M17" s="12">
        <v>26.693428915332301</v>
      </c>
      <c r="N17" s="12">
        <v>27.686276276429034</v>
      </c>
      <c r="O17" s="12">
        <v>28.755321145182474</v>
      </c>
      <c r="P17" s="12">
        <v>29.971259218522274</v>
      </c>
      <c r="Q17" s="12">
        <v>31.281275011172617</v>
      </c>
      <c r="R17" s="12">
        <v>32.736330826793079</v>
      </c>
    </row>
    <row r="18" spans="1:18" x14ac:dyDescent="0.3">
      <c r="A18" s="11" t="s">
        <v>6</v>
      </c>
      <c r="B18" s="12">
        <v>51.565477787398194</v>
      </c>
      <c r="C18" s="12">
        <v>49.9548490744059</v>
      </c>
      <c r="D18" s="12">
        <v>50.521213871636697</v>
      </c>
      <c r="E18" s="12">
        <v>46.339033293576797</v>
      </c>
      <c r="F18" s="12">
        <v>50.133918073325397</v>
      </c>
      <c r="G18" s="12">
        <v>48.000121103955401</v>
      </c>
      <c r="H18" s="12">
        <v>50.141444880501098</v>
      </c>
      <c r="I18" s="12">
        <v>50.215537862793603</v>
      </c>
      <c r="J18" s="12">
        <v>52.714182189246102</v>
      </c>
      <c r="K18" s="12">
        <v>51.0863175931391</v>
      </c>
      <c r="L18" s="12">
        <v>45.328479150130498</v>
      </c>
      <c r="M18" s="12">
        <v>51.338973529041198</v>
      </c>
      <c r="N18" s="12">
        <v>53.191208386037268</v>
      </c>
      <c r="O18" s="12">
        <v>55.21983553625325</v>
      </c>
      <c r="P18" s="12">
        <v>58.348184840397181</v>
      </c>
      <c r="Q18" s="12">
        <v>61.458668802553909</v>
      </c>
      <c r="R18" s="12">
        <v>64.749816669088787</v>
      </c>
    </row>
    <row r="19" spans="1:18" x14ac:dyDescent="0.3">
      <c r="A19" s="11" t="s">
        <v>7</v>
      </c>
      <c r="B19" s="12">
        <v>89.851459395919775</v>
      </c>
      <c r="C19" s="12">
        <v>91.1819588215983</v>
      </c>
      <c r="D19" s="12">
        <v>90.654280442666703</v>
      </c>
      <c r="E19" s="12">
        <v>92.446127421831108</v>
      </c>
      <c r="F19" s="12">
        <v>92.024895197394201</v>
      </c>
      <c r="G19" s="12">
        <v>93.156886866624589</v>
      </c>
      <c r="H19" s="12">
        <v>91.5814097367481</v>
      </c>
      <c r="I19" s="12">
        <v>82.754757247191421</v>
      </c>
      <c r="J19" s="12">
        <v>91.2293745867821</v>
      </c>
      <c r="K19" s="12">
        <v>92.221385145575809</v>
      </c>
      <c r="L19" s="12">
        <v>69.589777264681203</v>
      </c>
      <c r="M19" s="12">
        <v>57.635425031310206</v>
      </c>
      <c r="N19" s="12">
        <v>58.498389155947976</v>
      </c>
      <c r="O19" s="12">
        <v>59.44712478109146</v>
      </c>
      <c r="P19" s="12">
        <v>60.371770730002737</v>
      </c>
      <c r="Q19" s="12">
        <v>61.373631588046656</v>
      </c>
      <c r="R19" s="12">
        <v>62.489311389356153</v>
      </c>
    </row>
    <row r="20" spans="1:18" x14ac:dyDescent="0.3">
      <c r="A20" s="11" t="s">
        <v>8</v>
      </c>
      <c r="B20" s="12">
        <v>75.130261947032892</v>
      </c>
      <c r="C20" s="12">
        <v>75.394467097077793</v>
      </c>
      <c r="D20" s="12">
        <v>75.542313699884502</v>
      </c>
      <c r="E20" s="12">
        <v>75.657310443138101</v>
      </c>
      <c r="F20" s="12">
        <v>76.002601260006898</v>
      </c>
      <c r="G20" s="12">
        <v>77.121791106647194</v>
      </c>
      <c r="H20" s="12">
        <v>75.361366961998598</v>
      </c>
      <c r="I20" s="12">
        <v>74.925461950055706</v>
      </c>
      <c r="J20" s="12">
        <v>73.885292968282997</v>
      </c>
      <c r="K20" s="12">
        <v>75.170118826688807</v>
      </c>
      <c r="L20" s="12">
        <v>54.660240962183899</v>
      </c>
      <c r="M20" s="12">
        <v>47.183359748227701</v>
      </c>
      <c r="N20" s="12">
        <v>47.711456186792532</v>
      </c>
      <c r="O20" s="12">
        <v>48.314939010043936</v>
      </c>
      <c r="P20" s="12">
        <v>48.983303916183118</v>
      </c>
      <c r="Q20" s="12">
        <v>49.70444527077624</v>
      </c>
      <c r="R20" s="12">
        <v>50.450011949837879</v>
      </c>
    </row>
    <row r="21" spans="1:18" x14ac:dyDescent="0.3">
      <c r="A21" s="11" t="s">
        <v>9</v>
      </c>
      <c r="B21" s="12">
        <v>14.72119744888688</v>
      </c>
      <c r="C21" s="12">
        <v>15.7874917245205</v>
      </c>
      <c r="D21" s="12">
        <v>15.111966742782201</v>
      </c>
      <c r="E21" s="12">
        <v>16.788816978692999</v>
      </c>
      <c r="F21" s="12">
        <v>16.0222939373873</v>
      </c>
      <c r="G21" s="12">
        <v>16.035095759977398</v>
      </c>
      <c r="H21" s="12">
        <v>16.220042774749501</v>
      </c>
      <c r="I21" s="12">
        <v>7.8292952971357099</v>
      </c>
      <c r="J21" s="12">
        <v>17.3440816184991</v>
      </c>
      <c r="K21" s="12">
        <v>17.051266318886999</v>
      </c>
      <c r="L21" s="12">
        <v>14.929536302497301</v>
      </c>
      <c r="M21" s="12">
        <v>10.452065283082501</v>
      </c>
      <c r="N21" s="12">
        <v>10.786932969155446</v>
      </c>
      <c r="O21" s="12">
        <v>11.132185771047521</v>
      </c>
      <c r="P21" s="12">
        <v>11.388466813819615</v>
      </c>
      <c r="Q21" s="12">
        <v>11.669186317270416</v>
      </c>
      <c r="R21" s="12">
        <v>12.039299439518272</v>
      </c>
    </row>
    <row r="22" spans="1:18" x14ac:dyDescent="0.3">
      <c r="A22" s="11" t="s">
        <v>10</v>
      </c>
      <c r="B22" s="12">
        <v>5.2796813477594684</v>
      </c>
      <c r="C22" s="12">
        <v>5.3502527426868403</v>
      </c>
      <c r="D22" s="12">
        <v>5.3034942841776802</v>
      </c>
      <c r="E22" s="12">
        <v>5.3937330906346501</v>
      </c>
      <c r="F22" s="12">
        <v>5.8415210569368998</v>
      </c>
      <c r="G22" s="12">
        <v>5.0044795576351699</v>
      </c>
      <c r="H22" s="12">
        <v>5.7308059021194202</v>
      </c>
      <c r="I22" s="12">
        <v>2.8583358482394501</v>
      </c>
      <c r="J22" s="12">
        <v>5.5606911942283004</v>
      </c>
      <c r="K22" s="12">
        <v>4.8415753957269798</v>
      </c>
      <c r="L22" s="12">
        <v>4.3801025301383296</v>
      </c>
      <c r="M22" s="12">
        <v>2.3891288612253798</v>
      </c>
      <c r="N22" s="12">
        <v>2.4413665798726782</v>
      </c>
      <c r="O22" s="12">
        <v>2.4956931837739629</v>
      </c>
      <c r="P22" s="12">
        <v>2.5785076208397024</v>
      </c>
      <c r="Q22" s="12">
        <v>2.6808099494660746</v>
      </c>
      <c r="R22" s="12">
        <v>2.8168243623970333</v>
      </c>
    </row>
    <row r="23" spans="1:18" x14ac:dyDescent="0.3">
      <c r="A23" s="11" t="s">
        <v>11</v>
      </c>
      <c r="B23" s="12">
        <v>2.7552552660703618</v>
      </c>
      <c r="C23" s="12">
        <v>2.9501668145476301</v>
      </c>
      <c r="D23" s="12">
        <v>3.6417212436467299</v>
      </c>
      <c r="E23" s="12">
        <v>4.0312742309596299</v>
      </c>
      <c r="F23" s="12">
        <v>4.9255231575883496</v>
      </c>
      <c r="G23" s="12">
        <v>4.5193535724974998</v>
      </c>
      <c r="H23" s="12">
        <v>4.5747770303003801</v>
      </c>
      <c r="I23" s="12">
        <v>2.7981817543556602</v>
      </c>
      <c r="J23" s="12">
        <v>2.3752516131356098</v>
      </c>
      <c r="K23" s="12">
        <v>2.0654048871027602</v>
      </c>
      <c r="L23" s="12">
        <v>2.4866691141640098</v>
      </c>
      <c r="M23" s="12">
        <v>2.10098448875363</v>
      </c>
      <c r="N23" s="12">
        <v>2.1553259390743689</v>
      </c>
      <c r="O23" s="12">
        <v>2.209753390410397</v>
      </c>
      <c r="P23" s="12">
        <v>2.2830795044819254</v>
      </c>
      <c r="Q23" s="12">
        <v>2.3668114796364015</v>
      </c>
      <c r="R23" s="12">
        <v>2.5223969400868396</v>
      </c>
    </row>
    <row r="24" spans="1:18" x14ac:dyDescent="0.3">
      <c r="A24" s="11" t="s">
        <v>59</v>
      </c>
      <c r="B24" s="12">
        <v>76.680676459756754</v>
      </c>
      <c r="C24" s="12">
        <v>77.743156462021204</v>
      </c>
      <c r="D24" s="12">
        <v>77.986181051935105</v>
      </c>
      <c r="E24" s="12">
        <v>79.307002332706304</v>
      </c>
      <c r="F24" s="12">
        <v>79.7899689452193</v>
      </c>
      <c r="G24" s="12">
        <v>78.597903599999995</v>
      </c>
      <c r="H24" s="12">
        <v>80.819253728972299</v>
      </c>
      <c r="I24" s="12">
        <v>84.073748062283101</v>
      </c>
      <c r="J24" s="12">
        <v>85.594066883264105</v>
      </c>
      <c r="K24" s="12">
        <v>87.216766141175896</v>
      </c>
      <c r="L24" s="12">
        <v>88.922840940375295</v>
      </c>
      <c r="M24" s="12">
        <v>90.846905103052507</v>
      </c>
      <c r="N24" s="12">
        <v>94.57922191359286</v>
      </c>
      <c r="O24" s="12">
        <v>98.563593653655801</v>
      </c>
      <c r="P24" s="12">
        <v>103.19608255537764</v>
      </c>
      <c r="Q24" s="12">
        <v>107.9947003942027</v>
      </c>
      <c r="R24" s="12">
        <v>113.01645396253312</v>
      </c>
    </row>
    <row r="25" spans="1:18" x14ac:dyDescent="0.3">
      <c r="A25" s="11" t="s">
        <v>12</v>
      </c>
      <c r="B25" s="12">
        <v>45.803413542040147</v>
      </c>
      <c r="C25" s="12">
        <v>46.371186948043601</v>
      </c>
      <c r="D25" s="12">
        <v>46.560312626933097</v>
      </c>
      <c r="E25" s="12">
        <v>46.465749787488299</v>
      </c>
      <c r="F25" s="12">
        <v>46.513031207210702</v>
      </c>
      <c r="G25" s="12">
        <v>46.489390497349497</v>
      </c>
      <c r="H25" s="12">
        <v>46.501210852280103</v>
      </c>
      <c r="I25" s="12">
        <v>47.707776540401603</v>
      </c>
      <c r="J25" s="12">
        <v>49.411878754114603</v>
      </c>
      <c r="K25" s="12">
        <v>51.1800626507789</v>
      </c>
      <c r="L25" s="12">
        <v>53.014832395828002</v>
      </c>
      <c r="M25" s="12">
        <v>54.918792648011902</v>
      </c>
      <c r="N25" s="12">
        <v>56.942156817419175</v>
      </c>
      <c r="O25" s="12">
        <v>59.278038580426816</v>
      </c>
      <c r="P25" s="12">
        <v>61.594772214351451</v>
      </c>
      <c r="Q25" s="12">
        <v>64.227460615419375</v>
      </c>
      <c r="R25" s="12">
        <v>66.996989133248405</v>
      </c>
    </row>
    <row r="26" spans="1:18" x14ac:dyDescent="0.3">
      <c r="A26" s="11" t="s">
        <v>13</v>
      </c>
      <c r="B26" s="12">
        <v>18.038859417883234</v>
      </c>
      <c r="C26" s="12">
        <v>21.0518163731447</v>
      </c>
      <c r="D26" s="12">
        <v>21.502627364705301</v>
      </c>
      <c r="E26" s="12">
        <v>20.577476918816298</v>
      </c>
      <c r="F26" s="12">
        <v>24.891136148733501</v>
      </c>
      <c r="G26" s="12">
        <v>27.033934059608399</v>
      </c>
      <c r="H26" s="12">
        <v>28.494408425641801</v>
      </c>
      <c r="I26" s="12">
        <v>27.586507318698398</v>
      </c>
      <c r="J26" s="12">
        <v>27.1435684121939</v>
      </c>
      <c r="K26" s="12">
        <v>41.771004958698299</v>
      </c>
      <c r="L26" s="12">
        <v>48.5130822612307</v>
      </c>
      <c r="M26" s="12">
        <v>33.5648250419463</v>
      </c>
      <c r="N26" s="12">
        <v>34.197521627858194</v>
      </c>
      <c r="O26" s="12">
        <v>35.188992350394173</v>
      </c>
      <c r="P26" s="12">
        <v>36.526252872601134</v>
      </c>
      <c r="Q26" s="12">
        <v>37.978620130933322</v>
      </c>
      <c r="R26" s="12">
        <v>39.556917783485517</v>
      </c>
    </row>
    <row r="27" spans="1:18" x14ac:dyDescent="0.3">
      <c r="A27" s="11" t="s">
        <v>14</v>
      </c>
      <c r="B27" s="12">
        <v>4.6875277815269323</v>
      </c>
      <c r="C27" s="12">
        <v>5.0761738055703596</v>
      </c>
      <c r="D27" s="12">
        <v>4.5431895789523304</v>
      </c>
      <c r="E27" s="12">
        <v>4.6703870424682998</v>
      </c>
      <c r="F27" s="12">
        <v>5.0609631127987802</v>
      </c>
      <c r="G27" s="12">
        <v>5.1680396884285704</v>
      </c>
      <c r="H27" s="12">
        <v>4.5450743698603597</v>
      </c>
      <c r="I27" s="12">
        <v>4.5477207082593196</v>
      </c>
      <c r="J27" s="12">
        <v>4.8687645549846703</v>
      </c>
      <c r="K27" s="12">
        <v>4.7077357568120499</v>
      </c>
      <c r="L27" s="12">
        <v>4.25413367261838</v>
      </c>
      <c r="M27" s="12">
        <v>3.7868303771442</v>
      </c>
      <c r="N27" s="12">
        <v>3.8437474147835222</v>
      </c>
      <c r="O27" s="12">
        <v>3.9206223630791928</v>
      </c>
      <c r="P27" s="12">
        <v>4.0186379221561719</v>
      </c>
      <c r="Q27" s="12">
        <v>4.1191038702100755</v>
      </c>
      <c r="R27" s="12">
        <v>4.222081466965327</v>
      </c>
    </row>
    <row r="28" spans="1:18" x14ac:dyDescent="0.3">
      <c r="A28" s="11" t="s">
        <v>15</v>
      </c>
      <c r="B28" s="12">
        <v>15.622307384837173</v>
      </c>
      <c r="C28" s="12">
        <v>16.946641719874599</v>
      </c>
      <c r="D28" s="12">
        <v>18.004235790033199</v>
      </c>
      <c r="E28" s="12">
        <v>17.2770965969104</v>
      </c>
      <c r="F28" s="12">
        <v>17.4933878541982</v>
      </c>
      <c r="G28" s="12">
        <v>16.892725773565299</v>
      </c>
      <c r="H28" s="12">
        <v>17.4912247612097</v>
      </c>
      <c r="I28" s="12">
        <v>16.944046669680901</v>
      </c>
      <c r="J28" s="12">
        <v>16.867938398707</v>
      </c>
      <c r="K28" s="12">
        <v>15.1420739046757</v>
      </c>
      <c r="L28" s="12">
        <v>13.078175265842001</v>
      </c>
      <c r="M28" s="12">
        <v>11.599663549482999</v>
      </c>
      <c r="N28" s="12">
        <v>11.911285675780629</v>
      </c>
      <c r="O28" s="12">
        <v>12.295454876062614</v>
      </c>
      <c r="P28" s="12">
        <v>12.764931491326871</v>
      </c>
      <c r="Q28" s="12">
        <v>13.309675134648382</v>
      </c>
      <c r="R28" s="12">
        <v>14.184604106426116</v>
      </c>
    </row>
    <row r="30" spans="1:18" ht="15" thickBot="1" x14ac:dyDescent="0.35">
      <c r="A30" s="16" t="s">
        <v>16</v>
      </c>
      <c r="B30" s="17">
        <f>SUM(B3,B7,B13)</f>
        <v>779.8420226118501</v>
      </c>
      <c r="C30" s="17">
        <f t="shared" ref="C30:R30" si="1">SUM(C3,C7,C13)</f>
        <v>781.46775299089882</v>
      </c>
      <c r="D30" s="17">
        <f t="shared" si="1"/>
        <v>790.82306341107574</v>
      </c>
      <c r="E30" s="17">
        <f t="shared" si="1"/>
        <v>792.63193559937247</v>
      </c>
      <c r="F30" s="17">
        <f t="shared" si="1"/>
        <v>833.87312474195051</v>
      </c>
      <c r="G30" s="17">
        <f t="shared" si="1"/>
        <v>852.30908799614326</v>
      </c>
      <c r="H30" s="17">
        <f t="shared" si="1"/>
        <v>849.27588600406932</v>
      </c>
      <c r="I30" s="17">
        <f t="shared" si="1"/>
        <v>851.87880166118987</v>
      </c>
      <c r="J30" s="17">
        <f t="shared" si="1"/>
        <v>872.36340435306738</v>
      </c>
      <c r="K30" s="17">
        <f t="shared" si="1"/>
        <v>871.52186116635846</v>
      </c>
      <c r="L30" s="17">
        <f t="shared" si="1"/>
        <v>845.38450573777436</v>
      </c>
      <c r="M30" s="17">
        <f t="shared" si="1"/>
        <v>845.02151520560346</v>
      </c>
      <c r="N30" s="17">
        <f t="shared" si="1"/>
        <v>856.58691467309177</v>
      </c>
      <c r="O30" s="17">
        <f t="shared" si="1"/>
        <v>894.93264466489563</v>
      </c>
      <c r="P30" s="17">
        <f t="shared" si="1"/>
        <v>936.61967014598895</v>
      </c>
      <c r="Q30" s="17">
        <f t="shared" si="1"/>
        <v>978.866606370824</v>
      </c>
      <c r="R30" s="17">
        <f t="shared" si="1"/>
        <v>1030.4138336153326</v>
      </c>
    </row>
    <row r="31" spans="1:18" x14ac:dyDescent="0.3">
      <c r="A31" s="13" t="s">
        <v>60</v>
      </c>
      <c r="B31" s="14">
        <v>113.408772572861</v>
      </c>
      <c r="C31" s="14">
        <v>115.73105460440399</v>
      </c>
      <c r="D31" s="14">
        <v>123.332679639915</v>
      </c>
      <c r="E31" s="14">
        <v>131.70366175943599</v>
      </c>
      <c r="F31" s="14">
        <v>152.040086066811</v>
      </c>
      <c r="G31" s="14">
        <v>165.28878315</v>
      </c>
      <c r="H31" s="14">
        <v>175.26784345291901</v>
      </c>
      <c r="I31" s="14">
        <v>170.54906333979801</v>
      </c>
      <c r="J31" s="14">
        <v>168.261635095798</v>
      </c>
      <c r="K31" s="14">
        <v>172.832432875888</v>
      </c>
      <c r="L31" s="14">
        <v>175.00135312520899</v>
      </c>
      <c r="M31" s="14">
        <v>196.81656218945099</v>
      </c>
      <c r="N31" s="14">
        <v>203.5</v>
      </c>
      <c r="O31" s="14">
        <v>194</v>
      </c>
      <c r="P31" s="14">
        <v>190</v>
      </c>
      <c r="Q31" s="14">
        <v>189</v>
      </c>
      <c r="R31" s="14">
        <v>183</v>
      </c>
    </row>
    <row r="32" spans="1:18" x14ac:dyDescent="0.3">
      <c r="A32" s="13" t="s">
        <v>61</v>
      </c>
      <c r="B32" s="14">
        <v>0.392454785578288</v>
      </c>
      <c r="C32" s="14">
        <v>0.96864186332145197</v>
      </c>
      <c r="D32" s="14">
        <v>8.5755991996287598E-2</v>
      </c>
      <c r="E32" s="14">
        <v>8.52101434146873E-2</v>
      </c>
      <c r="F32" s="14">
        <v>0.67427298393122803</v>
      </c>
      <c r="G32" s="14">
        <v>0.80846415999999999</v>
      </c>
      <c r="H32" s="14">
        <v>0.76338097884901301</v>
      </c>
      <c r="I32" s="14">
        <v>0.78145856018168303</v>
      </c>
      <c r="J32" s="14">
        <v>0.758642797237015</v>
      </c>
      <c r="K32" s="14">
        <v>0.71732133182708402</v>
      </c>
      <c r="L32" s="14">
        <v>0.85543941432567905</v>
      </c>
      <c r="M32" s="14">
        <v>1.0590750599302601</v>
      </c>
      <c r="N32" s="14">
        <v>1.1000000000000001</v>
      </c>
      <c r="O32" s="14">
        <v>1.1000000000000001</v>
      </c>
      <c r="P32" s="14">
        <v>2</v>
      </c>
      <c r="Q32" s="14">
        <v>2</v>
      </c>
      <c r="R32" s="14">
        <v>2</v>
      </c>
    </row>
    <row r="33" spans="1:18" ht="15" thickBot="1" x14ac:dyDescent="0.35">
      <c r="A33" s="15" t="s">
        <v>62</v>
      </c>
      <c r="B33" s="28">
        <f>SUM(B30:B31)-B32</f>
        <v>892.85834039913289</v>
      </c>
      <c r="C33" s="28">
        <f t="shared" ref="C33:R33" si="2">SUM(C30:C31)-C32</f>
        <v>896.2301657319814</v>
      </c>
      <c r="D33" s="28">
        <f t="shared" si="2"/>
        <v>914.06998705899446</v>
      </c>
      <c r="E33" s="28">
        <f t="shared" si="2"/>
        <v>924.25038721539374</v>
      </c>
      <c r="F33" s="28">
        <f t="shared" si="2"/>
        <v>985.23893782483026</v>
      </c>
      <c r="G33" s="28">
        <f t="shared" si="2"/>
        <v>1016.7894069861433</v>
      </c>
      <c r="H33" s="28">
        <f t="shared" si="2"/>
        <v>1023.7803484781393</v>
      </c>
      <c r="I33" s="28">
        <f t="shared" si="2"/>
        <v>1021.6464064408061</v>
      </c>
      <c r="J33" s="28">
        <f t="shared" si="2"/>
        <v>1039.8663966516285</v>
      </c>
      <c r="K33" s="28">
        <f t="shared" si="2"/>
        <v>1043.6369727104193</v>
      </c>
      <c r="L33" s="28">
        <f t="shared" si="2"/>
        <v>1019.5304194486577</v>
      </c>
      <c r="M33" s="28">
        <f t="shared" si="2"/>
        <v>1040.779002335124</v>
      </c>
      <c r="N33" s="28">
        <f t="shared" si="2"/>
        <v>1058.9869146730919</v>
      </c>
      <c r="O33" s="28">
        <f t="shared" si="2"/>
        <v>1087.8326446648957</v>
      </c>
      <c r="P33" s="28">
        <f t="shared" si="2"/>
        <v>1124.6196701459889</v>
      </c>
      <c r="Q33" s="28">
        <f t="shared" si="2"/>
        <v>1165.866606370824</v>
      </c>
      <c r="R33" s="28">
        <f t="shared" si="2"/>
        <v>1211.4138336153326</v>
      </c>
    </row>
    <row r="34" spans="1:18" ht="15" thickTop="1" x14ac:dyDescent="0.3">
      <c r="B34" s="12"/>
      <c r="C34" s="12"/>
      <c r="D34" s="12"/>
      <c r="E34" s="12"/>
      <c r="F34" s="12"/>
      <c r="G34" s="12"/>
      <c r="H34" s="12"/>
      <c r="I34" s="12"/>
      <c r="J34" s="12"/>
      <c r="K34" s="12"/>
      <c r="L34" s="12"/>
      <c r="M34" s="12"/>
      <c r="N34" s="12"/>
      <c r="O34" s="12"/>
      <c r="P34" s="12"/>
      <c r="Q34" s="12"/>
      <c r="R34" s="12"/>
    </row>
    <row r="35" spans="1:18" x14ac:dyDescent="0.3">
      <c r="B35" s="12"/>
      <c r="C35" s="12"/>
      <c r="D35" s="12"/>
      <c r="E35" s="12"/>
      <c r="F35" s="12"/>
      <c r="G35" s="12"/>
      <c r="H35" s="12"/>
      <c r="I35" s="12"/>
      <c r="J35" s="12"/>
      <c r="K35" s="12"/>
      <c r="L35" s="12"/>
      <c r="M35" s="12"/>
      <c r="N35" s="12"/>
      <c r="O35" s="12"/>
      <c r="P35" s="12"/>
      <c r="Q35" s="12"/>
      <c r="R35" s="12"/>
    </row>
    <row r="36" spans="1:18" x14ac:dyDescent="0.3">
      <c r="B36" s="12"/>
      <c r="C36" s="12"/>
      <c r="D36" s="12"/>
      <c r="E36" s="12"/>
      <c r="F36" s="12"/>
      <c r="G36" s="12"/>
      <c r="H36" s="12"/>
      <c r="I36" s="12"/>
      <c r="J36" s="12"/>
      <c r="K36" s="12"/>
      <c r="L36" s="12"/>
      <c r="M36" s="12"/>
      <c r="N36" s="12"/>
      <c r="O36" s="12"/>
      <c r="P36" s="12"/>
      <c r="Q36" s="12"/>
      <c r="R36" s="12"/>
    </row>
    <row r="37" spans="1:18" ht="15.6" x14ac:dyDescent="0.3">
      <c r="B37" s="30" t="s">
        <v>35</v>
      </c>
      <c r="C37" s="30" t="s">
        <v>36</v>
      </c>
      <c r="D37" s="30" t="s">
        <v>37</v>
      </c>
      <c r="E37" s="29" t="s">
        <v>38</v>
      </c>
      <c r="F37" s="29" t="s">
        <v>39</v>
      </c>
      <c r="G37" s="29" t="s">
        <v>40</v>
      </c>
      <c r="H37" s="32" t="s">
        <v>41</v>
      </c>
      <c r="I37" s="29" t="s">
        <v>42</v>
      </c>
      <c r="J37" s="29" t="s">
        <v>43</v>
      </c>
      <c r="K37" s="29" t="s">
        <v>44</v>
      </c>
      <c r="L37" s="29" t="s">
        <v>45</v>
      </c>
      <c r="M37" s="33" t="s">
        <v>46</v>
      </c>
      <c r="N37" s="29" t="s">
        <v>47</v>
      </c>
      <c r="O37" s="29" t="s">
        <v>48</v>
      </c>
      <c r="P37" s="29" t="s">
        <v>49</v>
      </c>
      <c r="Q37" s="34" t="s">
        <v>50</v>
      </c>
      <c r="R37" s="34" t="s">
        <v>51</v>
      </c>
    </row>
    <row r="38" spans="1:18" ht="15" thickBot="1" x14ac:dyDescent="0.35">
      <c r="A38" s="27" t="s">
        <v>63</v>
      </c>
      <c r="B38" s="35"/>
      <c r="C38" s="36">
        <f>(C33/B33-1)*100</f>
        <v>0.37764393076522573</v>
      </c>
      <c r="D38" s="36">
        <f t="shared" ref="D38:R38" si="3">(D33/C33-1)*100</f>
        <v>1.9905401546535417</v>
      </c>
      <c r="E38" s="36">
        <f t="shared" si="3"/>
        <v>1.1137440568587786</v>
      </c>
      <c r="F38" s="36">
        <f t="shared" si="3"/>
        <v>6.598704361183394</v>
      </c>
      <c r="G38" s="36">
        <f t="shared" si="3"/>
        <v>3.2023165092285977</v>
      </c>
      <c r="H38" s="36">
        <f t="shared" si="3"/>
        <v>0.68755058264402535</v>
      </c>
      <c r="I38" s="36">
        <f t="shared" si="3"/>
        <v>-0.20843748764129977</v>
      </c>
      <c r="J38" s="36">
        <f t="shared" si="3"/>
        <v>1.7833949295918305</v>
      </c>
      <c r="K38" s="36">
        <f t="shared" si="3"/>
        <v>0.36260197184292409</v>
      </c>
      <c r="L38" s="36">
        <f t="shared" si="3"/>
        <v>-2.3098600272041692</v>
      </c>
      <c r="M38" s="36">
        <f t="shared" si="3"/>
        <v>2.0841538889989408</v>
      </c>
      <c r="N38" s="36">
        <f t="shared" si="3"/>
        <v>1.7494503921693383</v>
      </c>
      <c r="O38" s="36">
        <f t="shared" si="3"/>
        <v>2.7238986234979556</v>
      </c>
      <c r="P38" s="36">
        <f t="shared" si="3"/>
        <v>3.3816805977931796</v>
      </c>
      <c r="Q38" s="36">
        <f t="shared" si="3"/>
        <v>3.6676342518071614</v>
      </c>
      <c r="R38" s="36">
        <f t="shared" si="3"/>
        <v>3.9067271500545564</v>
      </c>
    </row>
    <row r="39" spans="1:18" x14ac:dyDescent="0.3">
      <c r="A39" s="9" t="s">
        <v>84</v>
      </c>
      <c r="B39" s="40"/>
      <c r="C39" s="41"/>
      <c r="D39" s="41"/>
      <c r="E39" s="41"/>
      <c r="F39" s="41"/>
      <c r="G39" s="41"/>
      <c r="H39" s="41">
        <v>0.5</v>
      </c>
      <c r="I39" s="41">
        <v>-0.3</v>
      </c>
      <c r="J39" s="41">
        <v>1.8</v>
      </c>
      <c r="K39" s="41">
        <v>-0.9</v>
      </c>
      <c r="L39" s="41">
        <v>-2.1</v>
      </c>
      <c r="M39" s="41">
        <v>2.8</v>
      </c>
      <c r="N39" s="41">
        <v>1.7</v>
      </c>
      <c r="O39" s="41">
        <v>2.7</v>
      </c>
      <c r="P39" s="41">
        <v>3.4</v>
      </c>
      <c r="Q39" s="41">
        <v>3.7</v>
      </c>
      <c r="R39" s="41">
        <v>3.9</v>
      </c>
    </row>
    <row r="40" spans="1:18" x14ac:dyDescent="0.3">
      <c r="A40" t="s">
        <v>64</v>
      </c>
      <c r="B40" s="37"/>
      <c r="C40" s="37"/>
      <c r="D40" s="37"/>
      <c r="E40" s="37"/>
      <c r="F40" s="37"/>
      <c r="G40" s="37"/>
      <c r="H40" s="37"/>
      <c r="I40" s="37"/>
      <c r="J40" s="37"/>
      <c r="K40" s="37"/>
      <c r="L40" s="37">
        <v>-2.2999999999999998</v>
      </c>
      <c r="M40" s="37">
        <v>2.1</v>
      </c>
      <c r="N40" s="37">
        <v>2.7</v>
      </c>
      <c r="O40" s="37">
        <v>2.2999999999999998</v>
      </c>
      <c r="P40" s="37"/>
      <c r="Q40" s="37"/>
      <c r="R40" s="37"/>
    </row>
    <row r="41" spans="1:18" x14ac:dyDescent="0.3">
      <c r="A41" t="s">
        <v>65</v>
      </c>
      <c r="B41" s="37"/>
      <c r="C41" s="37"/>
      <c r="D41" s="37"/>
      <c r="E41" s="37"/>
      <c r="F41" s="37">
        <v>6.6</v>
      </c>
      <c r="G41" s="37">
        <v>3.2</v>
      </c>
      <c r="H41" s="37">
        <v>0.53</v>
      </c>
      <c r="I41" s="37">
        <v>-0.28999999999999998</v>
      </c>
      <c r="J41" s="37">
        <v>1.81</v>
      </c>
      <c r="K41" s="37">
        <v>-0.93</v>
      </c>
      <c r="L41" s="37">
        <v>-2.13</v>
      </c>
      <c r="M41" s="37">
        <v>2.79</v>
      </c>
      <c r="N41" s="37">
        <v>1.72</v>
      </c>
      <c r="O41" s="37">
        <v>2.65</v>
      </c>
      <c r="P41" s="37">
        <v>2.4500000000000002</v>
      </c>
      <c r="Q41" s="37"/>
      <c r="R41" s="37"/>
    </row>
    <row r="42" spans="1:18" x14ac:dyDescent="0.3">
      <c r="A42" t="s">
        <v>66</v>
      </c>
      <c r="B42" s="37"/>
      <c r="C42" s="37"/>
      <c r="D42" s="38">
        <v>1.9905401546535639</v>
      </c>
      <c r="E42" s="38">
        <v>1.1137440568586898</v>
      </c>
      <c r="F42" s="38">
        <v>6.5987043611834606</v>
      </c>
      <c r="G42" s="38">
        <v>3.2023165092285533</v>
      </c>
      <c r="H42" s="38">
        <v>0.52782726631055432</v>
      </c>
      <c r="I42" s="38">
        <v>-0.28520879473590277</v>
      </c>
      <c r="J42" s="38">
        <v>1.8061873534121142</v>
      </c>
      <c r="K42" s="38">
        <v>-0.93492630373457342</v>
      </c>
      <c r="L42" s="39">
        <v>-2.1285445240516898</v>
      </c>
      <c r="M42" s="39">
        <v>2.7901436686258663</v>
      </c>
      <c r="N42" s="39">
        <v>1.7165410953372762</v>
      </c>
      <c r="O42" s="37"/>
      <c r="P42" s="37"/>
      <c r="Q42" s="37"/>
      <c r="R42" s="37"/>
    </row>
    <row r="44" spans="1:18" x14ac:dyDescent="0.3">
      <c r="A44" t="s">
        <v>67</v>
      </c>
    </row>
    <row r="45" spans="1:18" x14ac:dyDescent="0.3">
      <c r="A45" t="s">
        <v>68</v>
      </c>
    </row>
    <row r="46" spans="1:18" x14ac:dyDescent="0.3">
      <c r="A46" t="s">
        <v>69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26D46-8D9C-4E33-B71B-47AD65F50399}">
  <dimension ref="A1:JU56"/>
  <sheetViews>
    <sheetView zoomScale="73" workbookViewId="0">
      <pane xSplit="1" topLeftCell="IL1" activePane="topRight" state="frozen"/>
      <selection pane="topRight" activeCell="JD10" sqref="JD10:JK10"/>
    </sheetView>
  </sheetViews>
  <sheetFormatPr defaultRowHeight="14.4" x14ac:dyDescent="0.3"/>
  <cols>
    <col min="1" max="1" width="55.21875" style="63" bestFit="1" customWidth="1"/>
    <col min="2" max="205" width="8.88671875" customWidth="1"/>
    <col min="206" max="207" width="10.44140625" bestFit="1" customWidth="1"/>
    <col min="208" max="208" width="9.109375" bestFit="1" customWidth="1"/>
    <col min="209" max="209" width="10.44140625" bestFit="1" customWidth="1"/>
    <col min="210" max="214" width="10" bestFit="1" customWidth="1"/>
    <col min="215" max="215" width="9.5546875" bestFit="1" customWidth="1"/>
    <col min="216" max="216" width="10" bestFit="1" customWidth="1"/>
    <col min="217" max="218" width="10.44140625" bestFit="1" customWidth="1"/>
    <col min="219" max="220" width="10" bestFit="1" customWidth="1"/>
    <col min="221" max="223" width="10.44140625" bestFit="1" customWidth="1"/>
    <col min="224" max="224" width="9.77734375" customWidth="1"/>
    <col min="225" max="226" width="11.109375" bestFit="1" customWidth="1"/>
    <col min="227" max="228" width="10.44140625" bestFit="1" customWidth="1"/>
    <col min="229" max="229" width="10.6640625" bestFit="1" customWidth="1"/>
    <col min="230" max="230" width="11.109375" bestFit="1" customWidth="1"/>
    <col min="231" max="231" width="10" bestFit="1" customWidth="1"/>
    <col min="232" max="233" width="10.44140625" bestFit="1" customWidth="1"/>
    <col min="234" max="235" width="11.109375" bestFit="1" customWidth="1"/>
    <col min="236" max="237" width="10.6640625" bestFit="1" customWidth="1"/>
    <col min="238" max="240" width="10.44140625" bestFit="1" customWidth="1"/>
    <col min="241" max="241" width="10" bestFit="1" customWidth="1"/>
    <col min="242" max="244" width="10.44140625" bestFit="1" customWidth="1"/>
    <col min="245" max="245" width="10" bestFit="1" customWidth="1"/>
    <col min="246" max="247" width="10.44140625" bestFit="1" customWidth="1"/>
    <col min="248" max="248" width="9.5546875" bestFit="1" customWidth="1"/>
    <col min="249" max="249" width="10.44140625" bestFit="1" customWidth="1"/>
    <col min="250" max="250" width="10" bestFit="1" customWidth="1"/>
    <col min="251" max="253" width="10.44140625" bestFit="1" customWidth="1"/>
    <col min="254" max="254" width="10" bestFit="1" customWidth="1"/>
    <col min="255" max="256" width="10.44140625" bestFit="1" customWidth="1"/>
    <col min="257" max="260" width="10" bestFit="1" customWidth="1"/>
    <col min="261" max="261" width="10.44140625" bestFit="1" customWidth="1"/>
    <col min="262" max="263" width="10" bestFit="1" customWidth="1"/>
    <col min="264" max="265" width="10.44140625" bestFit="1" customWidth="1"/>
    <col min="266" max="267" width="10" bestFit="1" customWidth="1"/>
    <col min="268" max="270" width="10.44140625" bestFit="1" customWidth="1"/>
    <col min="271" max="271" width="10" bestFit="1" customWidth="1"/>
  </cols>
  <sheetData>
    <row r="1" spans="1:277" ht="16.2" thickBot="1" x14ac:dyDescent="0.35">
      <c r="A1" s="65"/>
      <c r="B1" s="55">
        <v>37987</v>
      </c>
      <c r="C1" s="55">
        <v>38018</v>
      </c>
      <c r="D1" s="55">
        <v>38047</v>
      </c>
      <c r="E1" s="55">
        <v>38078</v>
      </c>
      <c r="F1" s="55">
        <v>38108</v>
      </c>
      <c r="G1" s="56">
        <v>38139</v>
      </c>
      <c r="H1" s="57">
        <v>38169</v>
      </c>
      <c r="I1" s="55">
        <v>38200</v>
      </c>
      <c r="J1" s="55">
        <v>38231</v>
      </c>
      <c r="K1" s="55">
        <v>38261</v>
      </c>
      <c r="L1" s="55">
        <v>38292</v>
      </c>
      <c r="M1" s="55">
        <v>38322</v>
      </c>
      <c r="N1" s="55">
        <v>38353</v>
      </c>
      <c r="O1" s="55">
        <v>38384</v>
      </c>
      <c r="P1" s="55">
        <v>38412</v>
      </c>
      <c r="Q1" s="55">
        <v>38443</v>
      </c>
      <c r="R1" s="55">
        <v>38473</v>
      </c>
      <c r="S1" s="56">
        <v>38504</v>
      </c>
      <c r="T1" s="57">
        <v>38534</v>
      </c>
      <c r="U1" s="55">
        <v>38565</v>
      </c>
      <c r="V1" s="55">
        <v>38596</v>
      </c>
      <c r="W1" s="55">
        <v>38626</v>
      </c>
      <c r="X1" s="55">
        <v>38657</v>
      </c>
      <c r="Y1" s="55">
        <v>38687</v>
      </c>
      <c r="Z1" s="55">
        <v>38718</v>
      </c>
      <c r="AA1" s="55">
        <v>38749</v>
      </c>
      <c r="AB1" s="55">
        <v>38777</v>
      </c>
      <c r="AC1" s="55">
        <v>38808</v>
      </c>
      <c r="AD1" s="55">
        <v>38838</v>
      </c>
      <c r="AE1" s="56">
        <v>38869</v>
      </c>
      <c r="AF1" s="57">
        <v>38899</v>
      </c>
      <c r="AG1" s="55">
        <v>38930</v>
      </c>
      <c r="AH1" s="55">
        <v>38961</v>
      </c>
      <c r="AI1" s="55">
        <v>38991</v>
      </c>
      <c r="AJ1" s="55">
        <v>39022</v>
      </c>
      <c r="AK1" s="55">
        <v>39052</v>
      </c>
      <c r="AL1" s="55">
        <v>39083</v>
      </c>
      <c r="AM1" s="55">
        <v>39114</v>
      </c>
      <c r="AN1" s="55">
        <v>39142</v>
      </c>
      <c r="AO1" s="55">
        <v>39173</v>
      </c>
      <c r="AP1" s="55">
        <v>39203</v>
      </c>
      <c r="AQ1" s="56">
        <v>39234</v>
      </c>
      <c r="AR1" s="57">
        <v>39264</v>
      </c>
      <c r="AS1" s="55">
        <v>39295</v>
      </c>
      <c r="AT1" s="55">
        <v>39326</v>
      </c>
      <c r="AU1" s="55">
        <v>39356</v>
      </c>
      <c r="AV1" s="55">
        <v>39387</v>
      </c>
      <c r="AW1" s="55">
        <v>39417</v>
      </c>
      <c r="AX1" s="55">
        <v>39448</v>
      </c>
      <c r="AY1" s="55">
        <v>39479</v>
      </c>
      <c r="AZ1" s="55">
        <v>39508</v>
      </c>
      <c r="BA1" s="55">
        <v>39539</v>
      </c>
      <c r="BB1" s="55">
        <v>39569</v>
      </c>
      <c r="BC1" s="56">
        <v>39600</v>
      </c>
      <c r="BD1" s="57">
        <v>39630</v>
      </c>
      <c r="BE1" s="55">
        <v>39661</v>
      </c>
      <c r="BF1" s="55">
        <v>39692</v>
      </c>
      <c r="BG1" s="55">
        <v>39722</v>
      </c>
      <c r="BH1" s="55">
        <v>39753</v>
      </c>
      <c r="BI1" s="55">
        <v>39783</v>
      </c>
      <c r="BJ1" s="55">
        <v>39814</v>
      </c>
      <c r="BK1" s="55">
        <v>39845</v>
      </c>
      <c r="BL1" s="55">
        <v>39873</v>
      </c>
      <c r="BM1" s="55">
        <v>39904</v>
      </c>
      <c r="BN1" s="55">
        <v>39934</v>
      </c>
      <c r="BO1" s="56">
        <v>39965</v>
      </c>
      <c r="BP1" s="57">
        <v>39995</v>
      </c>
      <c r="BQ1" s="55">
        <v>40026</v>
      </c>
      <c r="BR1" s="55">
        <v>40057</v>
      </c>
      <c r="BS1" s="55">
        <v>40087</v>
      </c>
      <c r="BT1" s="55">
        <v>40118</v>
      </c>
      <c r="BU1" s="55">
        <v>40148</v>
      </c>
      <c r="BV1" s="55">
        <v>40179</v>
      </c>
      <c r="BW1" s="55">
        <v>40210</v>
      </c>
      <c r="BX1" s="55">
        <v>40238</v>
      </c>
      <c r="BY1" s="55">
        <v>40269</v>
      </c>
      <c r="BZ1" s="55">
        <v>40299</v>
      </c>
      <c r="CA1" s="56">
        <v>40330</v>
      </c>
      <c r="CB1" s="57">
        <v>40360</v>
      </c>
      <c r="CC1" s="55">
        <v>40391</v>
      </c>
      <c r="CD1" s="55">
        <v>40422</v>
      </c>
      <c r="CE1" s="55">
        <v>40452</v>
      </c>
      <c r="CF1" s="55">
        <v>40483</v>
      </c>
      <c r="CG1" s="55">
        <v>40513</v>
      </c>
      <c r="CH1" s="55">
        <v>40544</v>
      </c>
      <c r="CI1" s="55">
        <v>40575</v>
      </c>
      <c r="CJ1" s="55">
        <v>40603</v>
      </c>
      <c r="CK1" s="55">
        <v>40634</v>
      </c>
      <c r="CL1" s="55">
        <v>40664</v>
      </c>
      <c r="CM1" s="56">
        <v>40695</v>
      </c>
      <c r="CN1" s="57">
        <v>40725</v>
      </c>
      <c r="CO1" s="55">
        <v>40756</v>
      </c>
      <c r="CP1" s="55">
        <v>40787</v>
      </c>
      <c r="CQ1" s="55">
        <v>40817</v>
      </c>
      <c r="CR1" s="55">
        <v>40848</v>
      </c>
      <c r="CS1" s="55">
        <v>40878</v>
      </c>
      <c r="CT1" s="55">
        <v>40909</v>
      </c>
      <c r="CU1" s="55">
        <v>40940</v>
      </c>
      <c r="CV1" s="55">
        <v>40969</v>
      </c>
      <c r="CW1" s="55">
        <v>41000</v>
      </c>
      <c r="CX1" s="55">
        <v>41030</v>
      </c>
      <c r="CY1" s="56">
        <v>41061</v>
      </c>
      <c r="CZ1" s="57">
        <v>41091</v>
      </c>
      <c r="DA1" s="55">
        <v>41122</v>
      </c>
      <c r="DB1" s="55">
        <v>41153</v>
      </c>
      <c r="DC1" s="55">
        <v>41183</v>
      </c>
      <c r="DD1" s="55">
        <v>41214</v>
      </c>
      <c r="DE1" s="55">
        <v>41244</v>
      </c>
      <c r="DF1" s="55">
        <v>41275</v>
      </c>
      <c r="DG1" s="55">
        <v>41306</v>
      </c>
      <c r="DH1" s="55">
        <v>41334</v>
      </c>
      <c r="DI1" s="55">
        <v>41365</v>
      </c>
      <c r="DJ1" s="55">
        <v>41395</v>
      </c>
      <c r="DK1" s="56">
        <v>41426</v>
      </c>
      <c r="DL1" s="57">
        <v>41456</v>
      </c>
      <c r="DM1" s="55">
        <v>41487</v>
      </c>
      <c r="DN1" s="55">
        <v>41518</v>
      </c>
      <c r="DO1" s="55">
        <v>41548</v>
      </c>
      <c r="DP1" s="55">
        <v>41579</v>
      </c>
      <c r="DQ1" s="55">
        <v>41609</v>
      </c>
      <c r="DR1" s="55">
        <v>41640</v>
      </c>
      <c r="DS1" s="55">
        <v>41671</v>
      </c>
      <c r="DT1" s="55">
        <v>41699</v>
      </c>
      <c r="DU1" s="55">
        <v>41730</v>
      </c>
      <c r="DV1" s="55">
        <v>41760</v>
      </c>
      <c r="DW1" s="56">
        <v>41791</v>
      </c>
      <c r="DX1" s="57">
        <v>41821</v>
      </c>
      <c r="DY1" s="55">
        <v>41852</v>
      </c>
      <c r="DZ1" s="55">
        <v>41883</v>
      </c>
      <c r="EA1" s="55">
        <v>41913</v>
      </c>
      <c r="EB1" s="55">
        <v>41944</v>
      </c>
      <c r="EC1" s="55">
        <v>41974</v>
      </c>
      <c r="ED1" s="55">
        <v>42005</v>
      </c>
      <c r="EE1" s="55">
        <v>42036</v>
      </c>
      <c r="EF1" s="55">
        <v>42064</v>
      </c>
      <c r="EG1" s="55">
        <v>42095</v>
      </c>
      <c r="EH1" s="55">
        <v>42125</v>
      </c>
      <c r="EI1" s="56">
        <v>42156</v>
      </c>
      <c r="EJ1" s="57">
        <v>42186</v>
      </c>
      <c r="EK1" s="55">
        <v>42217</v>
      </c>
      <c r="EL1" s="55">
        <v>42248</v>
      </c>
      <c r="EM1" s="55">
        <v>42278</v>
      </c>
      <c r="EN1" s="55">
        <v>42309</v>
      </c>
      <c r="EO1" s="55">
        <v>42339</v>
      </c>
      <c r="EP1" s="55">
        <v>42370</v>
      </c>
      <c r="EQ1" s="55">
        <v>42401</v>
      </c>
      <c r="ER1" s="55">
        <v>42430</v>
      </c>
      <c r="ES1" s="55">
        <v>42461</v>
      </c>
      <c r="ET1" s="55">
        <v>42491</v>
      </c>
      <c r="EU1" s="56">
        <v>42522</v>
      </c>
      <c r="EV1" s="57">
        <v>42552</v>
      </c>
      <c r="EW1" s="55">
        <v>42583</v>
      </c>
      <c r="EX1" s="55">
        <v>42614</v>
      </c>
      <c r="EY1" s="55">
        <v>42644</v>
      </c>
      <c r="EZ1" s="55">
        <v>42675</v>
      </c>
      <c r="FA1" s="55">
        <v>42705</v>
      </c>
      <c r="FB1" s="55">
        <v>42736</v>
      </c>
      <c r="FC1" s="55">
        <v>42767</v>
      </c>
      <c r="FD1" s="55">
        <v>42795</v>
      </c>
      <c r="FE1" s="55">
        <v>42826</v>
      </c>
      <c r="FF1" s="55">
        <v>42856</v>
      </c>
      <c r="FG1" s="56">
        <v>42887</v>
      </c>
      <c r="FH1" s="57">
        <v>42917</v>
      </c>
      <c r="FI1" s="55">
        <v>42948</v>
      </c>
      <c r="FJ1" s="55">
        <v>42979</v>
      </c>
      <c r="FK1" s="55">
        <v>43009</v>
      </c>
      <c r="FL1" s="55">
        <v>43040</v>
      </c>
      <c r="FM1" s="55">
        <v>43070</v>
      </c>
      <c r="FN1" s="55">
        <v>43101</v>
      </c>
      <c r="FO1" s="55">
        <v>43132</v>
      </c>
      <c r="FP1" s="55">
        <v>43160</v>
      </c>
      <c r="FQ1" s="55">
        <v>43191</v>
      </c>
      <c r="FR1" s="55">
        <v>43221</v>
      </c>
      <c r="FS1" s="56">
        <v>43252</v>
      </c>
      <c r="FT1" s="57">
        <v>43282</v>
      </c>
      <c r="FU1" s="55">
        <v>43313</v>
      </c>
      <c r="FV1" s="55">
        <v>43344</v>
      </c>
      <c r="FW1" s="55">
        <v>43374</v>
      </c>
      <c r="FX1" s="55">
        <v>43405</v>
      </c>
      <c r="FY1" s="55">
        <v>43435</v>
      </c>
      <c r="FZ1" s="55">
        <v>43466</v>
      </c>
      <c r="GA1" s="55">
        <v>43497</v>
      </c>
      <c r="GB1" s="55">
        <v>43525</v>
      </c>
      <c r="GC1" s="55">
        <v>43556</v>
      </c>
      <c r="GD1" s="55">
        <v>43586</v>
      </c>
      <c r="GE1" s="55">
        <v>43617</v>
      </c>
      <c r="GF1" s="55">
        <v>43647</v>
      </c>
      <c r="GG1" s="55">
        <v>43678</v>
      </c>
      <c r="GH1" s="55">
        <v>43709</v>
      </c>
      <c r="GI1" s="55">
        <v>43739</v>
      </c>
      <c r="GJ1" s="55">
        <v>43770</v>
      </c>
      <c r="GK1" s="55">
        <v>43800</v>
      </c>
      <c r="GL1" s="55">
        <v>43831</v>
      </c>
      <c r="GM1" s="55">
        <v>43862</v>
      </c>
      <c r="GN1" s="55">
        <v>43891</v>
      </c>
      <c r="GO1" s="55">
        <v>43922</v>
      </c>
      <c r="GP1" s="55">
        <v>43952</v>
      </c>
      <c r="GQ1" s="55">
        <v>43983</v>
      </c>
      <c r="GR1" s="55">
        <v>44013</v>
      </c>
      <c r="GS1" s="55">
        <v>44044</v>
      </c>
      <c r="GT1" s="55">
        <v>44075</v>
      </c>
      <c r="GU1" s="55">
        <v>44105</v>
      </c>
      <c r="GV1" s="55">
        <v>44136</v>
      </c>
      <c r="GW1" s="55">
        <v>44166</v>
      </c>
      <c r="GX1" s="55">
        <v>44197</v>
      </c>
      <c r="GY1" s="55">
        <v>44228</v>
      </c>
      <c r="GZ1" s="55">
        <v>44256</v>
      </c>
      <c r="HA1" s="55">
        <v>44287</v>
      </c>
      <c r="HB1" s="55">
        <v>44317</v>
      </c>
      <c r="HC1" s="55">
        <v>44348</v>
      </c>
      <c r="HD1" s="55">
        <v>44378</v>
      </c>
      <c r="HE1" s="55">
        <v>44409</v>
      </c>
      <c r="HF1" s="55">
        <v>44440</v>
      </c>
      <c r="HG1" s="55">
        <v>44470</v>
      </c>
      <c r="HH1" s="55">
        <v>44501</v>
      </c>
      <c r="HI1" s="55">
        <v>44531</v>
      </c>
      <c r="HJ1" s="55">
        <v>44562</v>
      </c>
      <c r="HK1" s="55">
        <v>44593</v>
      </c>
      <c r="HL1" s="55">
        <v>44621</v>
      </c>
      <c r="HM1" s="55">
        <v>44652</v>
      </c>
      <c r="HN1" s="55">
        <v>44682</v>
      </c>
      <c r="HO1" s="55">
        <v>44713</v>
      </c>
      <c r="HP1" s="55">
        <v>44743</v>
      </c>
      <c r="HQ1" s="55">
        <v>44774</v>
      </c>
      <c r="HR1" s="55">
        <v>44805</v>
      </c>
      <c r="HS1" s="55">
        <v>44835</v>
      </c>
      <c r="HT1" s="55">
        <v>44866</v>
      </c>
      <c r="HU1" s="55">
        <v>44896</v>
      </c>
      <c r="HV1" s="55">
        <v>44927</v>
      </c>
      <c r="HW1" s="55">
        <v>44958</v>
      </c>
      <c r="HX1" s="55">
        <v>44986</v>
      </c>
      <c r="HY1" s="55">
        <v>45017</v>
      </c>
      <c r="HZ1" s="55">
        <v>45047</v>
      </c>
      <c r="IA1" s="55">
        <v>45078</v>
      </c>
      <c r="IB1" s="55">
        <v>45108</v>
      </c>
      <c r="IC1" s="55">
        <v>45139</v>
      </c>
      <c r="ID1" s="55">
        <v>45170</v>
      </c>
      <c r="IE1" s="55">
        <v>45200</v>
      </c>
      <c r="IF1" s="55">
        <v>45231</v>
      </c>
      <c r="IG1" s="55">
        <v>45261</v>
      </c>
      <c r="IH1" s="55">
        <v>45292</v>
      </c>
      <c r="II1" s="55">
        <v>45323</v>
      </c>
      <c r="IJ1" s="55">
        <v>45352</v>
      </c>
      <c r="IK1" s="55">
        <v>45383</v>
      </c>
      <c r="IL1" s="55">
        <v>45413</v>
      </c>
      <c r="IM1" s="55">
        <v>45444</v>
      </c>
      <c r="IN1" s="55">
        <v>45474</v>
      </c>
      <c r="IO1" s="55">
        <v>45505</v>
      </c>
      <c r="IP1" s="55">
        <v>45536</v>
      </c>
      <c r="IQ1" s="55">
        <v>45566</v>
      </c>
      <c r="IR1" s="55">
        <v>45597</v>
      </c>
      <c r="IS1" s="55">
        <v>45627</v>
      </c>
      <c r="IT1" s="55">
        <v>45658</v>
      </c>
      <c r="IU1" s="55">
        <v>45689</v>
      </c>
      <c r="IV1" s="55">
        <v>45717</v>
      </c>
      <c r="IW1" s="55">
        <v>45748</v>
      </c>
      <c r="IX1" s="55">
        <v>45778</v>
      </c>
      <c r="IY1" s="55">
        <v>45809</v>
      </c>
      <c r="IZ1" s="55">
        <v>45839</v>
      </c>
      <c r="JA1" s="55">
        <v>45870</v>
      </c>
      <c r="JB1" s="55">
        <v>45901</v>
      </c>
      <c r="JC1" s="55">
        <v>45931</v>
      </c>
      <c r="JD1" s="55">
        <v>45962</v>
      </c>
      <c r="JE1" s="55">
        <v>45992</v>
      </c>
      <c r="JF1" s="55">
        <v>46023</v>
      </c>
      <c r="JG1" s="55">
        <v>46054</v>
      </c>
      <c r="JH1" s="55">
        <v>46082</v>
      </c>
      <c r="JI1" s="55">
        <v>46113</v>
      </c>
      <c r="JJ1" s="55">
        <v>46143</v>
      </c>
      <c r="JK1" s="55">
        <v>46174</v>
      </c>
      <c r="JL1" s="55">
        <v>46204</v>
      </c>
      <c r="JM1" s="55">
        <v>46235</v>
      </c>
      <c r="JN1" s="55">
        <v>46266</v>
      </c>
      <c r="JO1" s="55">
        <v>46296</v>
      </c>
      <c r="JP1" s="55">
        <v>46327</v>
      </c>
      <c r="JQ1" s="55">
        <v>46357</v>
      </c>
    </row>
    <row r="2" spans="1:277" ht="16.2" thickBot="1" x14ac:dyDescent="0.35">
      <c r="A2" s="121" t="s">
        <v>159</v>
      </c>
      <c r="B2" s="120"/>
      <c r="C2" s="120"/>
      <c r="D2" s="120"/>
      <c r="E2" s="120"/>
      <c r="F2" s="120"/>
      <c r="G2" s="120"/>
      <c r="H2" s="120"/>
      <c r="I2" s="120"/>
      <c r="J2" s="120"/>
      <c r="K2" s="120"/>
      <c r="L2" s="120"/>
      <c r="M2" s="120"/>
      <c r="N2" s="120"/>
      <c r="O2" s="120"/>
      <c r="P2" s="120"/>
      <c r="Q2" s="120"/>
      <c r="R2" s="120"/>
      <c r="S2" s="120"/>
      <c r="T2" s="120"/>
      <c r="U2" s="120"/>
      <c r="V2" s="120"/>
      <c r="W2" s="120"/>
      <c r="X2" s="120"/>
      <c r="Y2" s="120"/>
      <c r="Z2" s="120"/>
      <c r="AA2" s="120"/>
      <c r="AB2" s="120"/>
      <c r="AC2" s="120"/>
      <c r="AD2" s="120"/>
      <c r="AE2" s="120"/>
      <c r="AF2" s="120"/>
      <c r="AG2" s="120"/>
      <c r="AH2" s="120"/>
      <c r="AI2" s="120"/>
      <c r="AJ2" s="120"/>
      <c r="AK2" s="120"/>
      <c r="AL2" s="120"/>
      <c r="AM2" s="120"/>
      <c r="AN2" s="120"/>
      <c r="AO2" s="120"/>
      <c r="AP2" s="120"/>
      <c r="AQ2" s="120"/>
      <c r="AR2" s="120"/>
      <c r="AS2" s="120"/>
      <c r="AT2" s="120"/>
      <c r="AU2" s="120"/>
      <c r="AV2" s="120"/>
      <c r="AW2" s="120"/>
      <c r="AX2" s="120"/>
      <c r="AY2" s="120"/>
      <c r="AZ2" s="120"/>
      <c r="BA2" s="120"/>
      <c r="BB2" s="120"/>
      <c r="BC2" s="120"/>
      <c r="BD2" s="120"/>
      <c r="BE2" s="120"/>
      <c r="BF2" s="120"/>
      <c r="BG2" s="120"/>
      <c r="BH2" s="120"/>
      <c r="BI2" s="120"/>
      <c r="BJ2" s="120"/>
      <c r="BK2" s="120"/>
      <c r="BL2" s="120"/>
      <c r="BM2" s="120"/>
      <c r="BN2" s="120"/>
      <c r="BO2" s="120"/>
      <c r="BP2" s="120"/>
      <c r="BQ2" s="120"/>
      <c r="BR2" s="120"/>
      <c r="BS2" s="120"/>
      <c r="BT2" s="120"/>
      <c r="BU2" s="120"/>
      <c r="BV2" s="120"/>
      <c r="BW2" s="120"/>
      <c r="BX2" s="120"/>
      <c r="BY2" s="120"/>
      <c r="BZ2" s="120"/>
      <c r="CA2" s="120"/>
      <c r="CB2" s="120"/>
      <c r="CC2" s="120"/>
      <c r="CD2" s="120"/>
      <c r="CE2" s="120"/>
      <c r="CF2" s="120"/>
      <c r="CG2" s="120"/>
      <c r="CH2" s="120"/>
      <c r="CI2" s="120"/>
      <c r="CJ2" s="120"/>
      <c r="CK2" s="120"/>
      <c r="CL2" s="120"/>
      <c r="CM2" s="120"/>
      <c r="CN2" s="120"/>
      <c r="CO2" s="120"/>
      <c r="CP2" s="120"/>
      <c r="CQ2" s="120"/>
      <c r="CR2" s="120"/>
      <c r="CS2" s="120"/>
      <c r="CT2" s="120"/>
      <c r="CU2" s="120"/>
      <c r="CV2" s="120"/>
      <c r="CW2" s="120"/>
      <c r="CX2" s="120"/>
      <c r="CY2" s="120"/>
      <c r="CZ2" s="120"/>
      <c r="DA2" s="120"/>
      <c r="DB2" s="120"/>
      <c r="DC2" s="120"/>
      <c r="DD2" s="120"/>
      <c r="DE2" s="120"/>
      <c r="DF2" s="120"/>
      <c r="DG2" s="120"/>
      <c r="DH2" s="120"/>
      <c r="DI2" s="120"/>
      <c r="DJ2" s="120"/>
      <c r="DK2" s="120"/>
      <c r="DL2" s="120"/>
      <c r="DM2" s="120"/>
      <c r="DN2" s="120"/>
      <c r="DO2" s="120"/>
      <c r="DP2" s="120"/>
      <c r="DQ2" s="120"/>
      <c r="DR2" s="120"/>
      <c r="DS2" s="120"/>
      <c r="DT2" s="120"/>
      <c r="DU2" s="120"/>
      <c r="DV2" s="120"/>
      <c r="DW2" s="120"/>
      <c r="DX2" s="120"/>
      <c r="DY2" s="120"/>
      <c r="DZ2" s="120"/>
      <c r="EA2" s="120"/>
      <c r="EB2" s="120"/>
      <c r="EC2" s="120"/>
      <c r="ED2" s="120"/>
      <c r="EE2" s="120"/>
      <c r="EF2" s="120"/>
      <c r="EG2" s="120"/>
      <c r="EH2" s="120"/>
      <c r="EI2" s="120"/>
      <c r="EJ2" s="120"/>
      <c r="EK2" s="120"/>
      <c r="EL2" s="120"/>
      <c r="EM2" s="120"/>
      <c r="EN2" s="120"/>
      <c r="EO2" s="120"/>
      <c r="EP2" s="120"/>
      <c r="EQ2" s="120"/>
      <c r="ER2" s="120"/>
      <c r="ES2" s="120"/>
      <c r="ET2" s="120"/>
      <c r="EU2" s="120"/>
      <c r="EV2" s="120"/>
      <c r="EW2" s="120"/>
      <c r="EX2" s="120"/>
      <c r="EY2" s="120"/>
      <c r="EZ2" s="120"/>
      <c r="FA2" s="120"/>
      <c r="FB2" s="120"/>
      <c r="FC2" s="120"/>
      <c r="FD2" s="120"/>
      <c r="FE2" s="120"/>
      <c r="FF2" s="120"/>
      <c r="FG2" s="120"/>
      <c r="FH2" s="120"/>
      <c r="FI2" s="120"/>
      <c r="FJ2" s="120"/>
      <c r="FK2" s="120"/>
      <c r="FL2" s="120"/>
      <c r="FM2" s="120"/>
      <c r="FN2" s="120"/>
      <c r="FO2" s="120"/>
      <c r="FP2" s="120"/>
      <c r="FQ2" s="120"/>
      <c r="FR2" s="120"/>
      <c r="FS2" s="120"/>
      <c r="FT2" s="120"/>
      <c r="FU2" s="120"/>
      <c r="FV2" s="120"/>
      <c r="FW2" s="120"/>
      <c r="FX2" s="120"/>
      <c r="FY2" s="120"/>
      <c r="FZ2" s="120"/>
      <c r="GA2" s="120"/>
      <c r="GB2" s="120"/>
      <c r="GC2" s="120"/>
      <c r="GD2" s="120"/>
      <c r="GE2" s="120"/>
      <c r="GF2" s="120"/>
      <c r="GG2" s="120"/>
      <c r="GH2" s="120"/>
      <c r="GI2" s="120"/>
      <c r="GJ2" s="120"/>
      <c r="GK2" s="120"/>
      <c r="GL2" s="120"/>
      <c r="GM2" s="120"/>
      <c r="GN2" s="120"/>
      <c r="GO2" s="120"/>
      <c r="GP2" s="120"/>
      <c r="GQ2" s="120"/>
      <c r="GR2" s="120"/>
      <c r="GS2" s="120"/>
      <c r="GT2" s="120"/>
      <c r="GU2" s="120"/>
      <c r="GV2" s="120"/>
      <c r="GW2" s="120"/>
      <c r="GX2" s="120"/>
      <c r="GY2" s="120"/>
      <c r="GZ2" s="120"/>
      <c r="HA2" s="120"/>
      <c r="HB2" s="120"/>
      <c r="HC2" s="120"/>
      <c r="HD2" s="120"/>
      <c r="HE2" s="120"/>
      <c r="HF2" s="120"/>
      <c r="HG2" s="120"/>
      <c r="HH2" s="120"/>
      <c r="HI2" s="120"/>
      <c r="HJ2" s="120"/>
      <c r="HK2" s="120"/>
      <c r="HL2" s="120"/>
      <c r="HM2" s="120"/>
      <c r="HN2" s="120"/>
      <c r="HO2" s="120"/>
      <c r="HP2" s="120"/>
      <c r="HQ2" s="120"/>
      <c r="HR2" s="120"/>
      <c r="HS2" s="120"/>
      <c r="HT2" s="120"/>
      <c r="HU2" s="120"/>
      <c r="HV2" s="120"/>
      <c r="HW2" s="120"/>
      <c r="HX2" s="120"/>
      <c r="HY2" s="120"/>
      <c r="HZ2" s="120"/>
      <c r="IA2" s="120"/>
      <c r="IB2" s="120"/>
      <c r="IC2" s="120"/>
      <c r="ID2" s="120"/>
      <c r="IE2" s="120"/>
      <c r="IF2" s="120"/>
      <c r="IG2" s="120"/>
      <c r="IH2" s="120"/>
      <c r="II2" s="120"/>
      <c r="IJ2" s="120"/>
      <c r="IK2" s="120"/>
      <c r="IL2" s="120"/>
      <c r="IM2" s="120"/>
      <c r="IN2" s="120"/>
      <c r="IO2" s="120"/>
      <c r="IP2" s="120"/>
      <c r="IQ2" s="120"/>
      <c r="IR2" s="120"/>
      <c r="IS2" s="120"/>
      <c r="IT2" s="120"/>
      <c r="IU2" s="120"/>
      <c r="IV2" s="120"/>
      <c r="IW2" s="120"/>
      <c r="IX2" s="120"/>
      <c r="IY2" s="120"/>
      <c r="IZ2" s="120"/>
      <c r="JA2" s="120"/>
      <c r="JB2" s="120"/>
      <c r="JC2" s="120"/>
      <c r="JD2" s="120"/>
      <c r="JE2" s="120"/>
      <c r="JF2" s="120"/>
      <c r="JG2" s="120"/>
      <c r="JH2" s="120"/>
      <c r="JI2" s="120"/>
      <c r="JJ2" s="120"/>
      <c r="JK2" s="120"/>
      <c r="JL2" s="120"/>
      <c r="JM2" s="120"/>
      <c r="JN2" s="120"/>
      <c r="JO2" s="120"/>
      <c r="JP2" s="120"/>
      <c r="JQ2" s="120"/>
    </row>
    <row r="3" spans="1:277" ht="15.6" x14ac:dyDescent="0.3">
      <c r="A3" s="64" t="s">
        <v>86</v>
      </c>
      <c r="B3" s="48">
        <v>54.9</v>
      </c>
      <c r="C3" s="48">
        <v>54.3</v>
      </c>
      <c r="D3" s="48">
        <v>56.3</v>
      </c>
      <c r="E3" s="48">
        <v>60.4</v>
      </c>
      <c r="F3" s="48">
        <v>63.9</v>
      </c>
      <c r="G3" s="49">
        <v>89.7</v>
      </c>
      <c r="H3" s="49">
        <v>89.5</v>
      </c>
      <c r="I3" s="49">
        <v>78.400000000000006</v>
      </c>
      <c r="J3" s="49">
        <v>79</v>
      </c>
      <c r="K3" s="49">
        <v>87.1</v>
      </c>
      <c r="L3" s="49">
        <v>91.5</v>
      </c>
      <c r="M3" s="50">
        <v>93.4</v>
      </c>
      <c r="N3" s="49">
        <v>87.1</v>
      </c>
      <c r="O3" s="49">
        <v>85.4</v>
      </c>
      <c r="P3" s="49">
        <v>80.900000000000006</v>
      </c>
      <c r="Q3" s="49">
        <v>83.2</v>
      </c>
      <c r="R3" s="49">
        <v>85.9</v>
      </c>
      <c r="S3" s="49">
        <v>82.120999999999995</v>
      </c>
      <c r="T3" s="49">
        <v>80.694000000000003</v>
      </c>
      <c r="U3" s="49">
        <v>81.5</v>
      </c>
      <c r="V3" s="49">
        <v>82.8</v>
      </c>
      <c r="W3" s="49">
        <v>82.4</v>
      </c>
      <c r="X3" s="49">
        <v>81.8</v>
      </c>
      <c r="Y3" s="50">
        <v>85.7</v>
      </c>
      <c r="Z3" s="49">
        <v>87.2</v>
      </c>
      <c r="AA3" s="49">
        <v>82.4</v>
      </c>
      <c r="AB3" s="49">
        <v>77.400000000000006</v>
      </c>
      <c r="AC3" s="49">
        <v>83.9</v>
      </c>
      <c r="AD3" s="49">
        <v>84.2</v>
      </c>
      <c r="AE3" s="49">
        <v>83.2</v>
      </c>
      <c r="AF3" s="49">
        <v>86.3</v>
      </c>
      <c r="AG3" s="49">
        <v>85.7</v>
      </c>
      <c r="AH3" s="49">
        <v>85.3</v>
      </c>
      <c r="AI3" s="49">
        <v>89.2</v>
      </c>
      <c r="AJ3" s="49">
        <v>84.6</v>
      </c>
      <c r="AK3" s="50">
        <v>84.2</v>
      </c>
      <c r="AL3" s="49">
        <v>85.4</v>
      </c>
      <c r="AM3" s="49">
        <v>84.2</v>
      </c>
      <c r="AN3" s="49">
        <v>90.4</v>
      </c>
      <c r="AO3" s="49">
        <v>80.599999999999994</v>
      </c>
      <c r="AP3" s="49">
        <v>84.9</v>
      </c>
      <c r="AQ3" s="49">
        <v>91.6</v>
      </c>
      <c r="AR3" s="49">
        <v>90.3</v>
      </c>
      <c r="AS3" s="49">
        <v>97.7</v>
      </c>
      <c r="AT3" s="49">
        <v>104.8</v>
      </c>
      <c r="AU3" s="49">
        <v>109</v>
      </c>
      <c r="AV3" s="49">
        <v>94.8</v>
      </c>
      <c r="AW3" s="50">
        <v>114.6</v>
      </c>
      <c r="AX3" s="49">
        <v>113.1</v>
      </c>
      <c r="AY3" s="49">
        <v>101.8</v>
      </c>
      <c r="AZ3" s="49">
        <v>96.3</v>
      </c>
      <c r="BA3" s="49">
        <v>89.7</v>
      </c>
      <c r="BB3" s="49">
        <v>89.5</v>
      </c>
      <c r="BC3" s="49">
        <v>89.1</v>
      </c>
      <c r="BD3" s="49">
        <v>86.2</v>
      </c>
      <c r="BE3" s="49">
        <v>91.3</v>
      </c>
      <c r="BF3" s="49">
        <v>128.5</v>
      </c>
      <c r="BG3" s="49">
        <v>121.6</v>
      </c>
      <c r="BH3" s="49">
        <v>122.7</v>
      </c>
      <c r="BI3" s="50">
        <v>123.9</v>
      </c>
      <c r="BJ3" s="49">
        <v>130.4</v>
      </c>
      <c r="BK3" s="49">
        <v>131.1</v>
      </c>
      <c r="BL3" s="49">
        <v>130.6</v>
      </c>
      <c r="BM3" s="49">
        <v>132.6</v>
      </c>
      <c r="BN3" s="49">
        <v>132.1</v>
      </c>
      <c r="BO3" s="49">
        <v>136.30000000000001</v>
      </c>
      <c r="BP3" s="49">
        <v>139.4</v>
      </c>
      <c r="BQ3" s="49">
        <v>159.19999999999999</v>
      </c>
      <c r="BR3" s="49">
        <v>163.30000000000001</v>
      </c>
      <c r="BS3" s="49">
        <v>160.69999999999999</v>
      </c>
      <c r="BT3" s="49">
        <v>159.9</v>
      </c>
      <c r="BU3" s="50">
        <v>160.4</v>
      </c>
      <c r="BV3" s="49">
        <v>160.80000000000001</v>
      </c>
      <c r="BW3" s="49">
        <v>153.5</v>
      </c>
      <c r="BX3" s="49">
        <v>155.5</v>
      </c>
      <c r="BY3" s="49">
        <v>161.4</v>
      </c>
      <c r="BZ3" s="49">
        <v>166.7</v>
      </c>
      <c r="CA3" s="49">
        <v>170.5</v>
      </c>
      <c r="CB3" s="49">
        <v>178</v>
      </c>
      <c r="CC3" s="49">
        <v>174.1</v>
      </c>
      <c r="CD3" s="49">
        <v>172.7</v>
      </c>
      <c r="CE3" s="49">
        <v>176.5</v>
      </c>
      <c r="CF3" s="49">
        <v>168</v>
      </c>
      <c r="CG3" s="50">
        <v>177.5</v>
      </c>
      <c r="CH3" s="49">
        <v>165.2</v>
      </c>
      <c r="CI3" s="49">
        <v>158.80000000000001</v>
      </c>
      <c r="CJ3" s="49">
        <v>157.1</v>
      </c>
      <c r="CK3" s="49">
        <v>160.1</v>
      </c>
      <c r="CL3" s="49">
        <v>170.2</v>
      </c>
      <c r="CM3" s="49">
        <v>203.8</v>
      </c>
      <c r="CN3" s="49">
        <v>197.6</v>
      </c>
      <c r="CO3" s="49">
        <v>212.4</v>
      </c>
      <c r="CP3" s="49">
        <v>208.1</v>
      </c>
      <c r="CQ3" s="49">
        <v>213.9</v>
      </c>
      <c r="CR3" s="49">
        <v>212.9</v>
      </c>
      <c r="CS3" s="50">
        <v>226</v>
      </c>
      <c r="CT3" s="49">
        <v>229.5</v>
      </c>
      <c r="CU3" s="51">
        <v>230.6</v>
      </c>
      <c r="CV3" s="51">
        <v>239.2</v>
      </c>
      <c r="CW3" s="51">
        <v>240.3</v>
      </c>
      <c r="CX3" s="51">
        <v>245</v>
      </c>
      <c r="CY3" s="51">
        <v>246.1</v>
      </c>
      <c r="CZ3" s="51">
        <v>251.1</v>
      </c>
      <c r="DA3" s="51">
        <v>252.7</v>
      </c>
      <c r="DB3" s="51">
        <v>247.9</v>
      </c>
      <c r="DC3" s="51">
        <v>246.2</v>
      </c>
      <c r="DD3" s="51">
        <v>253.7</v>
      </c>
      <c r="DE3" s="51">
        <v>257.3</v>
      </c>
      <c r="DF3" s="51">
        <v>260.3</v>
      </c>
      <c r="DG3" s="51">
        <v>258</v>
      </c>
      <c r="DH3" s="51">
        <v>244.8</v>
      </c>
      <c r="DI3" s="51">
        <v>258.39999999999998</v>
      </c>
      <c r="DJ3" s="51">
        <v>259.2</v>
      </c>
      <c r="DK3" s="51">
        <v>263.3</v>
      </c>
      <c r="DL3" s="51">
        <v>252.698048</v>
      </c>
      <c r="DM3" s="51">
        <v>256.2</v>
      </c>
      <c r="DN3" s="51">
        <v>254.2</v>
      </c>
      <c r="DO3" s="51">
        <v>260.60000000000002</v>
      </c>
      <c r="DP3" s="51">
        <v>265.39999999999998</v>
      </c>
      <c r="DQ3" s="51">
        <v>271.8</v>
      </c>
      <c r="DR3" s="51">
        <v>276.7</v>
      </c>
      <c r="DS3" s="51">
        <v>281.10000000000002</v>
      </c>
      <c r="DT3" s="51">
        <v>274.8</v>
      </c>
      <c r="DU3" s="51">
        <v>267.89999999999998</v>
      </c>
      <c r="DV3" s="51">
        <v>266.8</v>
      </c>
      <c r="DW3" s="51">
        <v>274.39999999999998</v>
      </c>
      <c r="DX3" s="51">
        <v>280.39999999999998</v>
      </c>
      <c r="DY3" s="51">
        <v>283.89999999999998</v>
      </c>
      <c r="DZ3" s="51">
        <v>270.89999999999998</v>
      </c>
      <c r="EA3" s="51">
        <v>271.5</v>
      </c>
      <c r="EB3" s="51">
        <v>267.89999999999998</v>
      </c>
      <c r="EC3" s="51">
        <v>293.60000000000002</v>
      </c>
      <c r="ED3" s="51">
        <v>287.2</v>
      </c>
      <c r="EE3" s="51">
        <v>281.3</v>
      </c>
      <c r="EF3" s="51">
        <v>270.2</v>
      </c>
      <c r="EG3" s="51">
        <v>272.10000000000002</v>
      </c>
      <c r="EH3" s="51">
        <v>281.10000000000002</v>
      </c>
      <c r="EI3" s="51">
        <v>289.7</v>
      </c>
      <c r="EJ3" s="51">
        <v>302.60000000000002</v>
      </c>
      <c r="EK3" s="51">
        <v>310.89999999999998</v>
      </c>
      <c r="EL3" s="51">
        <v>311.7</v>
      </c>
      <c r="EM3" s="51">
        <v>315.8</v>
      </c>
      <c r="EN3" s="51">
        <v>319</v>
      </c>
      <c r="EO3" s="51">
        <v>327.8</v>
      </c>
      <c r="EP3" s="51">
        <v>326.3</v>
      </c>
      <c r="EQ3" s="51">
        <v>328.5</v>
      </c>
      <c r="ER3" s="51">
        <v>317.3</v>
      </c>
      <c r="ES3" s="51">
        <v>322.89999999999998</v>
      </c>
      <c r="ET3" s="51">
        <v>330.7</v>
      </c>
      <c r="EU3" s="51">
        <v>354.9</v>
      </c>
      <c r="EV3" s="51">
        <v>367.4</v>
      </c>
      <c r="EW3" s="51">
        <v>366.3</v>
      </c>
      <c r="EX3" s="51">
        <v>363.7</v>
      </c>
      <c r="EY3" s="51">
        <v>367</v>
      </c>
      <c r="EZ3" s="51">
        <v>360.9</v>
      </c>
      <c r="FA3" s="51">
        <v>378.8</v>
      </c>
      <c r="FB3" s="51">
        <v>380.8</v>
      </c>
      <c r="FC3" s="51">
        <v>377.7</v>
      </c>
      <c r="FD3" s="51">
        <v>366</v>
      </c>
      <c r="FE3" s="51">
        <v>371.7</v>
      </c>
      <c r="FF3" s="51">
        <v>392.3</v>
      </c>
      <c r="FG3" s="51">
        <v>407.9</v>
      </c>
      <c r="FH3" s="52">
        <v>408.9</v>
      </c>
      <c r="FI3" s="51">
        <v>405</v>
      </c>
      <c r="FJ3" s="51">
        <v>403</v>
      </c>
      <c r="FK3" s="51">
        <v>413.6</v>
      </c>
      <c r="FL3" s="51">
        <v>424.8</v>
      </c>
      <c r="FM3" s="52">
        <v>422.6</v>
      </c>
      <c r="FN3" s="51">
        <v>424.1</v>
      </c>
      <c r="FO3" s="51">
        <v>448</v>
      </c>
      <c r="FP3" s="51">
        <v>447.7</v>
      </c>
      <c r="FQ3" s="51">
        <v>445.9</v>
      </c>
      <c r="FR3" s="51">
        <v>441.9</v>
      </c>
      <c r="FS3" s="51">
        <v>468.7</v>
      </c>
      <c r="FT3" s="53">
        <v>476.5</v>
      </c>
      <c r="FU3" s="54">
        <v>475</v>
      </c>
      <c r="FV3" s="54">
        <v>452.2</v>
      </c>
      <c r="FW3">
        <v>457.3</v>
      </c>
      <c r="FX3">
        <v>468.7</v>
      </c>
      <c r="FY3">
        <v>478.5</v>
      </c>
      <c r="FZ3">
        <v>478.9</v>
      </c>
      <c r="GA3">
        <v>473.5</v>
      </c>
      <c r="GB3" s="12">
        <v>465</v>
      </c>
      <c r="GC3" s="12">
        <v>464.2</v>
      </c>
      <c r="GD3">
        <v>468.3</v>
      </c>
      <c r="GE3">
        <v>484.3</v>
      </c>
      <c r="GF3">
        <v>492.9</v>
      </c>
      <c r="GG3">
        <v>491.8</v>
      </c>
      <c r="GH3">
        <v>490.8</v>
      </c>
      <c r="GI3">
        <v>489.3</v>
      </c>
      <c r="GJ3">
        <v>489.5</v>
      </c>
      <c r="GK3">
        <v>487.4</v>
      </c>
      <c r="GL3">
        <v>482.9</v>
      </c>
      <c r="GM3">
        <v>479.8</v>
      </c>
      <c r="GN3">
        <v>457.5</v>
      </c>
      <c r="GO3">
        <v>475.1</v>
      </c>
      <c r="GP3">
        <v>489.6</v>
      </c>
      <c r="GQ3">
        <v>543.79999999999995</v>
      </c>
      <c r="GR3">
        <v>555.9</v>
      </c>
      <c r="GS3">
        <v>556.1</v>
      </c>
      <c r="GT3">
        <v>576.5</v>
      </c>
      <c r="GU3">
        <v>581.6</v>
      </c>
      <c r="GV3">
        <v>590.20000000000005</v>
      </c>
      <c r="GW3">
        <v>675.6</v>
      </c>
      <c r="GX3">
        <v>705.3</v>
      </c>
      <c r="GY3">
        <v>692.4</v>
      </c>
      <c r="GZ3">
        <v>685.7</v>
      </c>
      <c r="HA3">
        <v>679.7</v>
      </c>
      <c r="HB3">
        <v>689.5</v>
      </c>
      <c r="HC3">
        <v>715.2</v>
      </c>
      <c r="HD3">
        <v>704.8</v>
      </c>
      <c r="HE3">
        <v>751.7</v>
      </c>
      <c r="HF3">
        <v>757</v>
      </c>
      <c r="HG3">
        <v>757</v>
      </c>
      <c r="HH3">
        <v>783.9</v>
      </c>
      <c r="HI3">
        <v>817.5</v>
      </c>
      <c r="HJ3">
        <v>856.1</v>
      </c>
      <c r="HK3">
        <v>867.3</v>
      </c>
      <c r="HL3">
        <v>861.4</v>
      </c>
      <c r="HM3" s="12">
        <v>884</v>
      </c>
      <c r="HN3">
        <v>880.4</v>
      </c>
      <c r="HO3">
        <v>871.2</v>
      </c>
      <c r="HP3">
        <v>884.8</v>
      </c>
      <c r="HQ3" s="12">
        <v>871</v>
      </c>
      <c r="HR3">
        <v>895.3</v>
      </c>
      <c r="HS3" s="12">
        <v>877</v>
      </c>
      <c r="HT3">
        <v>866.2</v>
      </c>
      <c r="HU3" s="12">
        <v>868.9</v>
      </c>
      <c r="HV3">
        <v>911.1</v>
      </c>
      <c r="HW3" s="12">
        <v>911.2</v>
      </c>
      <c r="HX3">
        <v>883.7</v>
      </c>
      <c r="HY3" s="12">
        <v>860.5</v>
      </c>
      <c r="HZ3">
        <v>864.8</v>
      </c>
      <c r="IA3" s="12">
        <v>921.4</v>
      </c>
      <c r="IB3">
        <v>945.2</v>
      </c>
      <c r="IC3" s="12">
        <v>920</v>
      </c>
      <c r="ID3">
        <v>886.1</v>
      </c>
      <c r="IE3" s="12">
        <v>891.2</v>
      </c>
      <c r="IF3">
        <v>892</v>
      </c>
      <c r="IG3" s="12">
        <v>901.7</v>
      </c>
      <c r="IH3">
        <v>894.7</v>
      </c>
      <c r="II3" s="12">
        <v>891.4</v>
      </c>
      <c r="IJ3">
        <v>868.7</v>
      </c>
      <c r="IK3" s="12">
        <v>904.8</v>
      </c>
      <c r="IL3">
        <v>893</v>
      </c>
      <c r="IM3" s="12">
        <v>924.3</v>
      </c>
      <c r="IN3">
        <v>909.1</v>
      </c>
      <c r="IO3" s="12">
        <v>905.5</v>
      </c>
      <c r="IP3">
        <v>887.4</v>
      </c>
      <c r="IQ3">
        <v>898.2</v>
      </c>
      <c r="IR3">
        <v>892.2</v>
      </c>
      <c r="IS3">
        <v>889.1</v>
      </c>
      <c r="IT3" s="12">
        <v>878</v>
      </c>
      <c r="IU3">
        <v>865.4</v>
      </c>
      <c r="IV3">
        <v>842.6</v>
      </c>
      <c r="IW3">
        <v>867.6</v>
      </c>
      <c r="IX3">
        <v>871.5</v>
      </c>
      <c r="IY3">
        <v>925.1</v>
      </c>
      <c r="IZ3">
        <v>921</v>
      </c>
      <c r="JA3">
        <v>921.1</v>
      </c>
      <c r="JB3">
        <v>897.2</v>
      </c>
      <c r="JC3">
        <v>939.5</v>
      </c>
      <c r="JD3">
        <v>940.3</v>
      </c>
      <c r="JE3" t="s">
        <v>135</v>
      </c>
      <c r="JF3">
        <v>958.6</v>
      </c>
      <c r="JG3">
        <v>959.6</v>
      </c>
      <c r="JH3">
        <v>924.5</v>
      </c>
      <c r="JI3">
        <v>938.9</v>
      </c>
      <c r="JJ3">
        <v>970.9</v>
      </c>
    </row>
    <row r="4" spans="1:277" ht="15.6" x14ac:dyDescent="0.3">
      <c r="A4" s="64" t="s">
        <v>120</v>
      </c>
      <c r="B4" s="48">
        <v>3.3</v>
      </c>
      <c r="C4" s="48">
        <v>3.4</v>
      </c>
      <c r="D4" s="48">
        <v>3.4</v>
      </c>
      <c r="E4" s="48">
        <v>3.6</v>
      </c>
      <c r="F4" s="48">
        <v>3.9</v>
      </c>
      <c r="G4" s="49">
        <v>5.4</v>
      </c>
      <c r="H4" s="49">
        <v>5.5</v>
      </c>
      <c r="I4" s="49">
        <v>4.8</v>
      </c>
      <c r="J4" s="49">
        <v>4.8</v>
      </c>
      <c r="K4" s="49">
        <v>5.4</v>
      </c>
      <c r="L4" s="49">
        <v>5.3</v>
      </c>
      <c r="M4" s="50">
        <v>5.4</v>
      </c>
      <c r="N4" s="49">
        <v>5</v>
      </c>
      <c r="O4" s="49">
        <v>4.8</v>
      </c>
      <c r="P4" s="49">
        <v>4.5</v>
      </c>
      <c r="Q4" s="49">
        <v>4.7</v>
      </c>
      <c r="R4" s="49">
        <v>4.7</v>
      </c>
      <c r="S4" s="49">
        <v>4.4000000000000004</v>
      </c>
      <c r="T4" s="49">
        <v>4.3</v>
      </c>
      <c r="U4" s="49">
        <v>4.3</v>
      </c>
      <c r="V4" s="49">
        <v>4.3</v>
      </c>
      <c r="W4" s="49">
        <v>4.2</v>
      </c>
      <c r="X4" s="49">
        <v>4.2</v>
      </c>
      <c r="Y4" s="50">
        <v>4.4000000000000004</v>
      </c>
      <c r="Z4" s="49">
        <v>4.5</v>
      </c>
      <c r="AA4" s="49">
        <v>4.3</v>
      </c>
      <c r="AB4" s="49">
        <v>3.9</v>
      </c>
      <c r="AC4" s="49">
        <v>4.2</v>
      </c>
      <c r="AD4" s="49">
        <v>4.3</v>
      </c>
      <c r="AE4" s="49">
        <v>4.3</v>
      </c>
      <c r="AF4" s="49">
        <v>4.4000000000000004</v>
      </c>
      <c r="AG4" s="49">
        <v>4.3</v>
      </c>
      <c r="AH4" s="49">
        <v>4.2</v>
      </c>
      <c r="AI4" s="49">
        <v>4.4000000000000004</v>
      </c>
      <c r="AJ4" s="49">
        <v>4.3</v>
      </c>
      <c r="AK4" s="50">
        <v>4.3</v>
      </c>
      <c r="AL4" s="49">
        <v>4.3</v>
      </c>
      <c r="AM4" s="49">
        <v>4.2</v>
      </c>
      <c r="AN4" s="49">
        <v>4.5</v>
      </c>
      <c r="AO4" s="49">
        <v>4</v>
      </c>
      <c r="AP4" s="49">
        <v>4.0999999999999996</v>
      </c>
      <c r="AQ4" s="49">
        <v>4.4000000000000004</v>
      </c>
      <c r="AR4" s="49">
        <v>4.2</v>
      </c>
      <c r="AS4" s="49">
        <v>4.4000000000000004</v>
      </c>
      <c r="AT4" s="49">
        <v>4.8</v>
      </c>
      <c r="AU4" s="49">
        <v>4.8</v>
      </c>
      <c r="AV4" s="49">
        <v>4</v>
      </c>
      <c r="AW4" s="50">
        <v>4.9000000000000004</v>
      </c>
      <c r="AX4" s="49">
        <v>4.8</v>
      </c>
      <c r="AY4" s="49">
        <v>4.5999999999999996</v>
      </c>
      <c r="AZ4" s="49">
        <v>4.0999999999999996</v>
      </c>
      <c r="BA4" s="49">
        <v>3.6</v>
      </c>
      <c r="BB4" s="49">
        <v>3.6</v>
      </c>
      <c r="BC4" s="49">
        <v>3.5</v>
      </c>
      <c r="BD4" s="49">
        <v>3.3</v>
      </c>
      <c r="BE4" s="49">
        <v>3.6</v>
      </c>
      <c r="BF4" s="49">
        <v>5</v>
      </c>
      <c r="BG4" s="49">
        <v>4.8</v>
      </c>
      <c r="BH4" s="49">
        <v>4.9000000000000004</v>
      </c>
      <c r="BI4" s="50">
        <v>4.5999999999999996</v>
      </c>
      <c r="BJ4" s="49">
        <v>4.8</v>
      </c>
      <c r="BK4" s="49">
        <v>4.9000000000000004</v>
      </c>
      <c r="BL4" s="49">
        <v>4.9000000000000004</v>
      </c>
      <c r="BM4" s="49">
        <v>5.0999999999999996</v>
      </c>
      <c r="BN4" s="49">
        <v>5</v>
      </c>
      <c r="BO4" s="49">
        <v>5.3</v>
      </c>
      <c r="BP4" s="49">
        <v>5.6</v>
      </c>
      <c r="BQ4" s="49">
        <v>6.5</v>
      </c>
      <c r="BR4" s="49">
        <v>6.7</v>
      </c>
      <c r="BS4" s="49">
        <v>6.7</v>
      </c>
      <c r="BT4" s="49">
        <v>6.7</v>
      </c>
      <c r="BU4" s="50">
        <v>6.8</v>
      </c>
      <c r="BV4" s="49">
        <v>6.6</v>
      </c>
      <c r="BW4" s="49">
        <v>6.2</v>
      </c>
      <c r="BX4" s="49">
        <v>6.2</v>
      </c>
      <c r="BY4" s="49">
        <v>6.3</v>
      </c>
      <c r="BZ4" s="49">
        <v>6.6</v>
      </c>
      <c r="CA4" s="49">
        <v>7.1</v>
      </c>
      <c r="CB4" s="49">
        <v>7.4144920988075578</v>
      </c>
      <c r="CC4" s="49">
        <v>7.1968388565057309</v>
      </c>
      <c r="CD4" s="49">
        <v>7.0980639115281576</v>
      </c>
      <c r="CE4" s="49">
        <v>7.2389722685901017</v>
      </c>
      <c r="CF4" s="49">
        <v>6.8364944479554213</v>
      </c>
      <c r="CG4" s="50">
        <v>7.0582375911595019</v>
      </c>
      <c r="CH4" s="49">
        <v>6.5</v>
      </c>
      <c r="CI4" s="49">
        <v>6.2</v>
      </c>
      <c r="CJ4" s="49">
        <v>6.094884760095173</v>
      </c>
      <c r="CK4" s="49">
        <v>6.3</v>
      </c>
      <c r="CL4" s="49">
        <v>6.5009958150321436</v>
      </c>
      <c r="CM4" s="49">
        <v>7.693450541457663</v>
      </c>
      <c r="CN4" s="49">
        <v>7.5069762550638934</v>
      </c>
      <c r="CO4" s="49">
        <v>8.0659794908982025</v>
      </c>
      <c r="CP4" s="49">
        <v>7.8</v>
      </c>
      <c r="CQ4" s="49">
        <v>8</v>
      </c>
      <c r="CR4" s="49">
        <v>7.8</v>
      </c>
      <c r="CS4" s="50">
        <v>8.1999999999999993</v>
      </c>
      <c r="CT4" s="49">
        <v>8.1999999999999993</v>
      </c>
      <c r="CU4" s="51">
        <v>8.1999999999999993</v>
      </c>
      <c r="CV4" s="51">
        <v>8.6</v>
      </c>
      <c r="CW4" s="51">
        <v>8.4916066834820487</v>
      </c>
      <c r="CX4" s="51">
        <v>8.4708494870952773</v>
      </c>
      <c r="CY4" s="51">
        <v>8.549448697921104</v>
      </c>
      <c r="CZ4" s="51">
        <v>8.6405512510244389</v>
      </c>
      <c r="DA4" s="51">
        <v>8.5746950904522397</v>
      </c>
      <c r="DB4" s="51">
        <v>8.5113460186636853</v>
      </c>
      <c r="DC4" s="51">
        <v>8.5</v>
      </c>
      <c r="DD4" s="51">
        <v>8.8000000000000007</v>
      </c>
      <c r="DE4" s="51">
        <v>9</v>
      </c>
      <c r="DF4" s="51">
        <v>9.1</v>
      </c>
      <c r="DG4" s="51">
        <v>8.9</v>
      </c>
      <c r="DH4" s="51">
        <v>8.5</v>
      </c>
      <c r="DI4" s="51">
        <v>9</v>
      </c>
      <c r="DJ4" s="51">
        <v>9.1</v>
      </c>
      <c r="DK4" s="51">
        <v>9.1</v>
      </c>
      <c r="DL4" s="51">
        <v>8.8000000000000007</v>
      </c>
      <c r="DM4" s="51">
        <v>9</v>
      </c>
      <c r="DN4" s="51">
        <v>8.9</v>
      </c>
      <c r="DO4" s="51">
        <v>8.9</v>
      </c>
      <c r="DP4" s="51">
        <v>9</v>
      </c>
      <c r="DQ4" s="51">
        <v>9.3000000000000007</v>
      </c>
      <c r="DR4" s="51">
        <v>9.4</v>
      </c>
      <c r="DS4" s="51">
        <v>9.4</v>
      </c>
      <c r="DT4" s="51">
        <v>9.1</v>
      </c>
      <c r="DU4" s="51">
        <v>8.9</v>
      </c>
      <c r="DV4" s="51">
        <v>8.9</v>
      </c>
      <c r="DW4" s="51">
        <v>9.1</v>
      </c>
      <c r="DX4" s="51">
        <v>9.1</v>
      </c>
      <c r="DY4" s="51">
        <v>9.1</v>
      </c>
      <c r="DZ4" s="51">
        <v>8.4</v>
      </c>
      <c r="EA4" s="51">
        <v>8.1999999999999993</v>
      </c>
      <c r="EB4" s="51">
        <v>8</v>
      </c>
      <c r="EC4" s="51">
        <v>8.6999999999999993</v>
      </c>
      <c r="ED4" s="51">
        <v>8.5</v>
      </c>
      <c r="EE4" s="51">
        <v>8.3000000000000007</v>
      </c>
      <c r="EF4" s="51">
        <v>7.9</v>
      </c>
      <c r="EG4" s="51">
        <v>7.9</v>
      </c>
      <c r="EH4" s="51">
        <v>8</v>
      </c>
      <c r="EI4" s="51">
        <v>8.1</v>
      </c>
      <c r="EJ4" s="51">
        <v>8.5</v>
      </c>
      <c r="EK4" s="51">
        <v>8.6</v>
      </c>
      <c r="EL4" s="52">
        <v>8.6</v>
      </c>
      <c r="EM4" s="52">
        <v>8.8000000000000007</v>
      </c>
      <c r="EN4" s="52">
        <v>8.9</v>
      </c>
      <c r="EO4" s="52">
        <v>8.9</v>
      </c>
      <c r="EP4" s="52">
        <v>8.8000000000000007</v>
      </c>
      <c r="EQ4" s="52">
        <v>7.1</v>
      </c>
      <c r="ER4" s="52">
        <v>6.7</v>
      </c>
      <c r="ES4" s="52">
        <v>6.7</v>
      </c>
      <c r="ET4" s="52">
        <v>6.8</v>
      </c>
      <c r="EU4" s="52">
        <v>7.2</v>
      </c>
      <c r="EV4" s="52">
        <v>7.4</v>
      </c>
      <c r="EW4" s="52">
        <v>7.2</v>
      </c>
      <c r="EX4" s="52">
        <v>6.9</v>
      </c>
      <c r="EY4" s="52">
        <v>7</v>
      </c>
      <c r="EZ4" s="52">
        <v>6.7</v>
      </c>
      <c r="FA4" s="52">
        <v>7.1</v>
      </c>
      <c r="FB4" s="52">
        <v>7.1</v>
      </c>
      <c r="FC4" s="52">
        <v>6.9</v>
      </c>
      <c r="FD4" s="51">
        <v>6.7</v>
      </c>
      <c r="FE4" s="52">
        <v>6.7</v>
      </c>
      <c r="FF4" s="52">
        <v>7.1</v>
      </c>
      <c r="FG4" s="52">
        <v>7.5</v>
      </c>
      <c r="FH4" s="52">
        <v>7.5</v>
      </c>
      <c r="FI4" s="52">
        <v>7.4</v>
      </c>
      <c r="FJ4" s="51">
        <v>7.3</v>
      </c>
      <c r="FK4" s="52">
        <v>7.5</v>
      </c>
      <c r="FL4" s="52">
        <v>7.7</v>
      </c>
      <c r="FM4" s="52">
        <v>7.6</v>
      </c>
      <c r="FN4" s="52">
        <v>7.4</v>
      </c>
      <c r="FO4" s="52">
        <v>7.9</v>
      </c>
      <c r="FP4" s="52">
        <v>7.8</v>
      </c>
      <c r="FQ4" s="51">
        <v>8</v>
      </c>
      <c r="FR4" s="51">
        <v>7.5</v>
      </c>
      <c r="FS4" s="51">
        <v>8</v>
      </c>
      <c r="FT4" s="53">
        <v>8.1999999999999993</v>
      </c>
      <c r="FU4" s="58">
        <v>8.1</v>
      </c>
      <c r="FV4" s="58">
        <v>7.8</v>
      </c>
      <c r="FW4" s="59">
        <v>7.7</v>
      </c>
      <c r="FX4" s="59">
        <v>8.1999999999999993</v>
      </c>
      <c r="FY4" s="53">
        <v>8.4</v>
      </c>
      <c r="FZ4" s="53">
        <v>8.1</v>
      </c>
      <c r="GA4" s="58">
        <v>7.9</v>
      </c>
      <c r="GB4" s="58">
        <v>7.8</v>
      </c>
      <c r="GC4" s="58">
        <v>7.5</v>
      </c>
      <c r="GD4" s="60">
        <v>7.5</v>
      </c>
      <c r="GE4" s="60">
        <v>7.9</v>
      </c>
      <c r="GF4" s="60">
        <v>8</v>
      </c>
      <c r="GG4">
        <v>8.1</v>
      </c>
      <c r="GH4" s="12">
        <v>8</v>
      </c>
      <c r="GI4" s="12">
        <v>7.5</v>
      </c>
      <c r="GJ4">
        <v>7.4</v>
      </c>
      <c r="GK4">
        <v>7.4</v>
      </c>
      <c r="GL4" s="61">
        <v>7.4</v>
      </c>
      <c r="GM4">
        <v>7.4</v>
      </c>
      <c r="GN4">
        <v>7.1</v>
      </c>
      <c r="GO4">
        <v>7.7</v>
      </c>
      <c r="GP4">
        <v>8.1999999999999993</v>
      </c>
      <c r="GQ4">
        <v>9.1999999999999993</v>
      </c>
      <c r="GR4">
        <v>9.5</v>
      </c>
      <c r="GS4" s="61">
        <v>9.6</v>
      </c>
      <c r="GT4" s="12">
        <v>10</v>
      </c>
      <c r="GU4">
        <v>9.6999999999999993</v>
      </c>
      <c r="GV4" s="62">
        <v>10.9</v>
      </c>
      <c r="GW4" s="61">
        <v>12.5</v>
      </c>
      <c r="GX4">
        <v>12</v>
      </c>
      <c r="GY4">
        <v>11.7</v>
      </c>
      <c r="GZ4">
        <v>12.2</v>
      </c>
      <c r="HA4">
        <v>11.9</v>
      </c>
      <c r="HB4">
        <v>14.7</v>
      </c>
      <c r="HC4">
        <v>11.8</v>
      </c>
      <c r="HD4">
        <v>11.5</v>
      </c>
      <c r="HE4">
        <v>12.1</v>
      </c>
      <c r="HF4">
        <v>12.4</v>
      </c>
      <c r="HG4">
        <v>12.8</v>
      </c>
      <c r="HH4">
        <v>13</v>
      </c>
      <c r="HI4">
        <v>13.4</v>
      </c>
      <c r="HJ4">
        <v>13.9</v>
      </c>
      <c r="HK4">
        <v>14.4</v>
      </c>
      <c r="HL4">
        <v>14.5</v>
      </c>
      <c r="HM4">
        <v>14.9</v>
      </c>
      <c r="HN4">
        <v>14.7</v>
      </c>
      <c r="HO4" s="12">
        <v>14.4</v>
      </c>
      <c r="HP4">
        <v>14.4</v>
      </c>
      <c r="HQ4">
        <v>14</v>
      </c>
      <c r="HR4">
        <v>13.7</v>
      </c>
      <c r="HS4">
        <v>13.9</v>
      </c>
      <c r="HT4">
        <v>12.6</v>
      </c>
      <c r="HU4">
        <v>13.4</v>
      </c>
      <c r="HV4">
        <v>12.8</v>
      </c>
      <c r="HW4">
        <v>12.6</v>
      </c>
      <c r="HX4">
        <v>12</v>
      </c>
      <c r="HY4">
        <v>11.4</v>
      </c>
      <c r="HZ4">
        <v>11.5</v>
      </c>
      <c r="IA4" s="12">
        <v>12</v>
      </c>
      <c r="IB4">
        <v>12.3</v>
      </c>
      <c r="IC4">
        <v>11.9</v>
      </c>
      <c r="ID4">
        <v>11.4</v>
      </c>
      <c r="IE4">
        <v>11.4</v>
      </c>
      <c r="IF4">
        <v>11.4</v>
      </c>
      <c r="IG4">
        <v>11.6</v>
      </c>
      <c r="IH4">
        <v>11.5</v>
      </c>
      <c r="II4">
        <v>11.5</v>
      </c>
      <c r="IJ4">
        <v>11.1</v>
      </c>
      <c r="IK4">
        <v>11.6</v>
      </c>
      <c r="IL4">
        <v>11.5</v>
      </c>
      <c r="IM4">
        <v>11.9</v>
      </c>
      <c r="IN4">
        <v>11.5</v>
      </c>
      <c r="IO4">
        <v>10.4</v>
      </c>
      <c r="IP4">
        <v>10.199999999999999</v>
      </c>
      <c r="IQ4">
        <v>10.3</v>
      </c>
      <c r="IR4">
        <v>10.3</v>
      </c>
      <c r="IS4">
        <v>10.199999999999999</v>
      </c>
      <c r="IT4">
        <v>10.1</v>
      </c>
      <c r="IU4">
        <v>9.9</v>
      </c>
      <c r="IV4">
        <v>9.6999999999999993</v>
      </c>
      <c r="IW4">
        <v>10</v>
      </c>
      <c r="IX4" s="12">
        <v>10</v>
      </c>
      <c r="IY4">
        <v>10.6</v>
      </c>
      <c r="IZ4">
        <v>10.7</v>
      </c>
      <c r="JA4">
        <v>10.7</v>
      </c>
      <c r="JB4">
        <v>10.4</v>
      </c>
      <c r="JC4">
        <v>10.9</v>
      </c>
      <c r="JD4">
        <v>10.9</v>
      </c>
      <c r="JE4">
        <v>11.2</v>
      </c>
      <c r="JF4">
        <v>11.1</v>
      </c>
      <c r="JG4">
        <v>11.2</v>
      </c>
      <c r="JH4">
        <v>10.8</v>
      </c>
      <c r="JI4">
        <v>10.9</v>
      </c>
      <c r="JJ4">
        <v>11.3</v>
      </c>
    </row>
    <row r="5" spans="1:277" s="31" customFormat="1" ht="15.6" x14ac:dyDescent="0.3">
      <c r="A5" s="64"/>
      <c r="B5" s="67"/>
      <c r="C5" s="67"/>
      <c r="D5" s="67"/>
      <c r="E5" s="67"/>
      <c r="F5" s="67"/>
      <c r="G5" s="68"/>
      <c r="H5" s="68"/>
      <c r="I5" s="68"/>
      <c r="J5" s="68"/>
      <c r="K5" s="68"/>
      <c r="L5" s="68"/>
      <c r="M5" s="69"/>
      <c r="N5" s="68"/>
      <c r="O5" s="68"/>
      <c r="P5" s="68"/>
      <c r="Q5" s="68"/>
      <c r="R5" s="68"/>
      <c r="S5" s="68"/>
      <c r="T5" s="68"/>
      <c r="U5" s="68"/>
      <c r="V5" s="68"/>
      <c r="W5" s="68"/>
      <c r="X5" s="68"/>
      <c r="Y5" s="69"/>
      <c r="Z5" s="68"/>
      <c r="AA5" s="68"/>
      <c r="AB5" s="68"/>
      <c r="AC5" s="68"/>
      <c r="AD5" s="68"/>
      <c r="AE5" s="68"/>
      <c r="AF5" s="68"/>
      <c r="AG5" s="68"/>
      <c r="AH5" s="68"/>
      <c r="AI5" s="68"/>
      <c r="AJ5" s="68"/>
      <c r="AK5" s="69"/>
      <c r="AL5" s="68"/>
      <c r="AM5" s="68"/>
      <c r="AN5" s="68"/>
      <c r="AO5" s="68"/>
      <c r="AP5" s="68"/>
      <c r="AQ5" s="68"/>
      <c r="AR5" s="68"/>
      <c r="AS5" s="68"/>
      <c r="AT5" s="68"/>
      <c r="AU5" s="68"/>
      <c r="AV5" s="68"/>
      <c r="AW5" s="69"/>
      <c r="AX5" s="68"/>
      <c r="AY5" s="68"/>
      <c r="AZ5" s="68"/>
      <c r="BA5" s="68"/>
      <c r="BB5" s="68"/>
      <c r="BC5" s="68"/>
      <c r="BD5" s="68"/>
      <c r="BE5" s="68"/>
      <c r="BF5" s="68"/>
      <c r="BG5" s="68"/>
      <c r="BH5" s="68"/>
      <c r="BI5" s="69"/>
      <c r="BJ5" s="68"/>
      <c r="BK5" s="68"/>
      <c r="BL5" s="68"/>
      <c r="BM5" s="68"/>
      <c r="BN5" s="68"/>
      <c r="BO5" s="68"/>
      <c r="BP5" s="68"/>
      <c r="BQ5" s="68"/>
      <c r="BR5" s="68"/>
      <c r="BS5" s="68"/>
      <c r="BT5" s="68"/>
      <c r="BU5" s="69"/>
      <c r="BV5" s="68"/>
      <c r="BW5" s="68"/>
      <c r="BX5" s="68"/>
      <c r="BY5" s="68"/>
      <c r="BZ5" s="68"/>
      <c r="CA5" s="68"/>
      <c r="CB5" s="68"/>
      <c r="CC5" s="68"/>
      <c r="CD5" s="68"/>
      <c r="CE5" s="68"/>
      <c r="CF5" s="68"/>
      <c r="CG5" s="69"/>
      <c r="CH5" s="68"/>
      <c r="CI5" s="68"/>
      <c r="CJ5" s="68"/>
      <c r="CK5" s="68"/>
      <c r="CL5" s="68"/>
      <c r="CM5" s="68"/>
      <c r="CN5" s="68"/>
      <c r="CO5" s="68"/>
      <c r="CP5" s="68"/>
      <c r="CQ5" s="68"/>
      <c r="CR5" s="68"/>
      <c r="CS5" s="69"/>
      <c r="CT5" s="68"/>
      <c r="CU5" s="70"/>
      <c r="CV5" s="70"/>
      <c r="CW5" s="70"/>
      <c r="CX5" s="70"/>
      <c r="CY5" s="70"/>
      <c r="CZ5" s="70"/>
      <c r="DA5" s="70"/>
      <c r="DB5" s="70"/>
      <c r="DC5" s="70"/>
      <c r="DD5" s="70"/>
      <c r="DE5" s="70"/>
      <c r="DF5" s="70"/>
      <c r="DG5" s="70"/>
      <c r="DH5" s="70"/>
      <c r="DI5" s="70"/>
      <c r="DJ5" s="70"/>
      <c r="DK5" s="70"/>
      <c r="DL5" s="70"/>
      <c r="DM5" s="70"/>
      <c r="DN5" s="70"/>
      <c r="DO5" s="70"/>
      <c r="DP5" s="70"/>
      <c r="DQ5" s="70"/>
      <c r="DR5" s="70"/>
      <c r="DS5" s="70"/>
      <c r="DT5" s="70"/>
      <c r="DU5" s="70"/>
      <c r="DV5" s="70"/>
      <c r="DW5" s="70"/>
      <c r="DX5" s="70"/>
      <c r="DY5" s="70"/>
      <c r="DZ5" s="70"/>
      <c r="EA5" s="70"/>
      <c r="EB5" s="70"/>
      <c r="EC5" s="70"/>
      <c r="ED5" s="70"/>
      <c r="EE5" s="70"/>
      <c r="EF5" s="70"/>
      <c r="EG5" s="70"/>
      <c r="EH5" s="70"/>
      <c r="EI5" s="70"/>
      <c r="EJ5" s="70"/>
      <c r="EK5" s="70"/>
      <c r="EL5" s="71"/>
      <c r="EM5" s="71"/>
      <c r="EN5" s="71"/>
      <c r="EO5" s="71"/>
      <c r="EP5" s="71"/>
      <c r="EQ5" s="71"/>
      <c r="ER5" s="71"/>
      <c r="ES5" s="71"/>
      <c r="ET5" s="71"/>
      <c r="EU5" s="71"/>
      <c r="EV5" s="71"/>
      <c r="EW5" s="71"/>
      <c r="EX5" s="71"/>
      <c r="EY5" s="71"/>
      <c r="EZ5" s="71"/>
      <c r="FA5" s="71"/>
      <c r="FB5" s="101"/>
      <c r="FC5" s="101"/>
      <c r="FD5" s="102"/>
      <c r="FE5" s="101"/>
      <c r="FF5" s="101"/>
      <c r="FG5" s="101"/>
      <c r="FH5" s="101"/>
      <c r="FI5" s="101"/>
      <c r="FJ5" s="102"/>
      <c r="FK5" s="101"/>
      <c r="FL5" s="101"/>
      <c r="FM5" s="101"/>
      <c r="FN5" s="101"/>
      <c r="FO5" s="101"/>
      <c r="FP5" s="101"/>
      <c r="FQ5" s="102"/>
      <c r="FR5" s="102"/>
      <c r="FS5" s="102"/>
      <c r="FT5" s="103"/>
      <c r="FU5" s="104"/>
      <c r="FV5" s="104"/>
      <c r="FW5" s="59"/>
      <c r="FX5" s="59"/>
      <c r="FY5" s="103"/>
      <c r="FZ5" s="103"/>
      <c r="GA5" s="104"/>
      <c r="GB5" s="104"/>
      <c r="GC5" s="104"/>
      <c r="GD5" s="105"/>
      <c r="GE5" s="105"/>
      <c r="GF5" s="105"/>
      <c r="GG5"/>
      <c r="GH5" s="12"/>
      <c r="GI5" s="12"/>
      <c r="GJ5"/>
      <c r="GK5"/>
      <c r="GL5" s="61"/>
      <c r="GM5"/>
      <c r="GN5"/>
      <c r="GO5"/>
      <c r="GP5"/>
      <c r="GQ5"/>
      <c r="GR5"/>
      <c r="GS5" s="61"/>
      <c r="GT5" s="12"/>
      <c r="GU5"/>
      <c r="GV5" s="62"/>
      <c r="GW5" s="61"/>
      <c r="GX5"/>
      <c r="GY5"/>
      <c r="GZ5"/>
      <c r="HA5"/>
      <c r="HB5"/>
      <c r="HC5"/>
      <c r="HD5"/>
      <c r="HE5"/>
      <c r="HF5"/>
      <c r="HG5"/>
      <c r="HH5"/>
      <c r="HI5"/>
      <c r="HJ5"/>
      <c r="HK5"/>
      <c r="HL5"/>
      <c r="HM5"/>
      <c r="HN5"/>
      <c r="HO5" s="12"/>
      <c r="HP5"/>
      <c r="HQ5"/>
      <c r="HR5"/>
      <c r="HS5"/>
      <c r="HT5"/>
      <c r="HU5"/>
      <c r="HV5"/>
      <c r="HW5"/>
      <c r="HX5"/>
      <c r="HY5"/>
      <c r="HZ5"/>
      <c r="IA5" s="12"/>
      <c r="IB5"/>
      <c r="IC5"/>
      <c r="ID5"/>
      <c r="IE5"/>
      <c r="IF5"/>
      <c r="IG5"/>
      <c r="IH5"/>
      <c r="II5"/>
      <c r="IJ5"/>
      <c r="IK5"/>
      <c r="IL5"/>
      <c r="IM5"/>
      <c r="IN5"/>
      <c r="IO5"/>
      <c r="IP5"/>
      <c r="IQ5"/>
      <c r="IR5"/>
      <c r="IS5"/>
      <c r="IT5"/>
      <c r="IU5"/>
      <c r="IV5"/>
      <c r="IW5"/>
      <c r="IX5" s="12"/>
      <c r="IY5"/>
      <c r="IZ5"/>
      <c r="JA5"/>
      <c r="JB5"/>
      <c r="JC5"/>
      <c r="JD5"/>
      <c r="JE5"/>
      <c r="JF5"/>
      <c r="JG5"/>
      <c r="JH5"/>
      <c r="JI5"/>
      <c r="JJ5"/>
      <c r="JK5"/>
    </row>
    <row r="6" spans="1:277" s="31" customFormat="1" ht="15.6" x14ac:dyDescent="0.3">
      <c r="A6" s="64" t="s">
        <v>136</v>
      </c>
      <c r="B6" s="67"/>
      <c r="C6" s="67"/>
      <c r="D6" s="67"/>
      <c r="E6" s="67"/>
      <c r="F6" s="67"/>
      <c r="G6" s="68"/>
      <c r="H6" s="68"/>
      <c r="I6" s="68"/>
      <c r="J6" s="68"/>
      <c r="K6" s="68"/>
      <c r="L6" s="68"/>
      <c r="M6" s="69"/>
      <c r="N6" s="68"/>
      <c r="O6" s="68"/>
      <c r="P6" s="68"/>
      <c r="Q6" s="68"/>
      <c r="R6" s="68"/>
      <c r="S6" s="68"/>
      <c r="T6" s="68"/>
      <c r="U6" s="68"/>
      <c r="V6" s="68"/>
      <c r="W6" s="68"/>
      <c r="X6" s="68"/>
      <c r="Y6" s="69"/>
      <c r="Z6" s="68"/>
      <c r="AA6" s="68"/>
      <c r="AB6" s="68"/>
      <c r="AC6" s="68"/>
      <c r="AD6" s="68"/>
      <c r="AE6" s="68"/>
      <c r="AF6" s="68"/>
      <c r="AG6" s="68"/>
      <c r="AH6" s="68"/>
      <c r="AI6" s="68"/>
      <c r="AJ6" s="68"/>
      <c r="AK6" s="69"/>
      <c r="AL6" s="68"/>
      <c r="AM6" s="68"/>
      <c r="AN6" s="68"/>
      <c r="AO6" s="68"/>
      <c r="AP6" s="68"/>
      <c r="AQ6" s="68"/>
      <c r="AR6" s="68"/>
      <c r="AS6" s="68"/>
      <c r="AT6" s="68"/>
      <c r="AU6" s="68"/>
      <c r="AV6" s="68"/>
      <c r="AW6" s="69"/>
      <c r="AX6" s="68"/>
      <c r="AY6" s="68"/>
      <c r="AZ6" s="68"/>
      <c r="BA6" s="68"/>
      <c r="BB6" s="68"/>
      <c r="BC6" s="68"/>
      <c r="BD6" s="68"/>
      <c r="BE6" s="68"/>
      <c r="BF6" s="68"/>
      <c r="BG6" s="68"/>
      <c r="BH6" s="68"/>
      <c r="BI6" s="69"/>
      <c r="BJ6" s="68"/>
      <c r="BK6" s="68"/>
      <c r="BL6" s="68"/>
      <c r="BM6" s="68"/>
      <c r="BN6" s="68"/>
      <c r="BO6" s="68"/>
      <c r="BP6" s="68"/>
      <c r="BQ6" s="68"/>
      <c r="BR6" s="68"/>
      <c r="BS6" s="68"/>
      <c r="BT6" s="68"/>
      <c r="BU6" s="69"/>
      <c r="BV6" s="68"/>
      <c r="BW6" s="68"/>
      <c r="BX6" s="68"/>
      <c r="BY6" s="68"/>
      <c r="BZ6" s="68"/>
      <c r="CA6" s="68"/>
      <c r="CB6" s="68"/>
      <c r="CC6" s="68"/>
      <c r="CD6" s="68"/>
      <c r="CE6" s="68"/>
      <c r="CF6" s="68"/>
      <c r="CG6" s="69"/>
      <c r="CH6" s="68"/>
      <c r="CI6" s="68"/>
      <c r="CJ6" s="68"/>
      <c r="CK6" s="68"/>
      <c r="CL6" s="68"/>
      <c r="CM6" s="68"/>
      <c r="CN6" s="68"/>
      <c r="CO6" s="68"/>
      <c r="CP6" s="68"/>
      <c r="CQ6" s="68"/>
      <c r="CR6" s="68"/>
      <c r="CS6" s="69"/>
      <c r="CT6" s="68"/>
      <c r="CU6" s="70"/>
      <c r="CV6" s="70"/>
      <c r="CW6" s="70"/>
      <c r="CX6" s="70"/>
      <c r="CY6" s="70"/>
      <c r="CZ6" s="70"/>
      <c r="DA6" s="70"/>
      <c r="DB6" s="70"/>
      <c r="DC6" s="70"/>
      <c r="DD6" s="70"/>
      <c r="DE6" s="70"/>
      <c r="DF6" s="70"/>
      <c r="DG6" s="70"/>
      <c r="DH6" s="70"/>
      <c r="DI6" s="70"/>
      <c r="DJ6" s="70"/>
      <c r="DK6" s="70"/>
      <c r="DL6" s="70"/>
      <c r="DM6" s="70"/>
      <c r="DN6" s="70"/>
      <c r="DO6" s="70"/>
      <c r="DP6" s="70"/>
      <c r="DQ6" s="70"/>
      <c r="DR6" s="70"/>
      <c r="DS6" s="70"/>
      <c r="DT6" s="70"/>
      <c r="DU6" s="70"/>
      <c r="DV6" s="70"/>
      <c r="DW6" s="70"/>
      <c r="DX6" s="70"/>
      <c r="DY6" s="70"/>
      <c r="DZ6" s="70"/>
      <c r="EA6" s="70"/>
      <c r="EB6" s="70"/>
      <c r="EC6" s="70"/>
      <c r="ED6" s="70"/>
      <c r="EE6" s="70"/>
      <c r="EF6" s="70"/>
      <c r="EG6" s="70"/>
      <c r="EH6" s="70"/>
      <c r="EI6" s="70"/>
      <c r="EJ6" s="70"/>
      <c r="EK6" s="70"/>
      <c r="EL6" s="71"/>
      <c r="EM6" s="71"/>
      <c r="EN6" s="71"/>
      <c r="EO6" s="71"/>
      <c r="EP6" s="71"/>
      <c r="EQ6" s="71"/>
      <c r="ER6" s="71"/>
      <c r="ES6" s="71"/>
      <c r="ET6" s="71"/>
      <c r="EU6" s="71"/>
      <c r="EV6" s="71"/>
      <c r="EW6" s="71"/>
      <c r="EX6" s="71"/>
      <c r="EY6" s="71"/>
      <c r="EZ6" s="71"/>
      <c r="FA6" s="71"/>
      <c r="FB6" s="54">
        <v>90</v>
      </c>
      <c r="FC6" s="54">
        <v>93.3</v>
      </c>
      <c r="FD6" s="54">
        <v>93.7</v>
      </c>
      <c r="FE6" s="54">
        <v>94.2</v>
      </c>
      <c r="FF6" s="54">
        <v>94.5</v>
      </c>
      <c r="FG6" s="54">
        <v>95.2</v>
      </c>
      <c r="FH6" s="54">
        <v>95</v>
      </c>
      <c r="FI6" s="54">
        <v>94.8</v>
      </c>
      <c r="FJ6" s="54">
        <v>94.7</v>
      </c>
      <c r="FK6" s="54">
        <v>94.8</v>
      </c>
      <c r="FL6" s="54">
        <v>94.2</v>
      </c>
      <c r="FM6" s="54">
        <v>94.9</v>
      </c>
      <c r="FN6" s="54">
        <v>95.7</v>
      </c>
      <c r="FO6" s="54">
        <v>96.7</v>
      </c>
      <c r="FP6" s="54">
        <v>98.4</v>
      </c>
      <c r="FQ6" s="54">
        <v>98.6</v>
      </c>
      <c r="FR6" s="54">
        <v>98</v>
      </c>
      <c r="FS6" s="54">
        <v>98</v>
      </c>
      <c r="FT6" s="54">
        <v>100.5</v>
      </c>
      <c r="FU6" s="54">
        <v>100.6</v>
      </c>
      <c r="FV6" s="54">
        <v>100</v>
      </c>
      <c r="FW6">
        <v>100.7</v>
      </c>
      <c r="FX6">
        <v>100.3</v>
      </c>
      <c r="FY6" s="54">
        <v>99.5</v>
      </c>
      <c r="FZ6" s="54">
        <v>99.7</v>
      </c>
      <c r="GA6" s="54">
        <v>99.9</v>
      </c>
      <c r="GB6" s="54">
        <v>100.4</v>
      </c>
      <c r="GC6" s="54">
        <v>98.8</v>
      </c>
      <c r="GD6" s="54">
        <v>99.6</v>
      </c>
      <c r="GE6" s="54">
        <v>99.8</v>
      </c>
      <c r="GF6" s="54">
        <v>100</v>
      </c>
      <c r="GG6" s="54">
        <v>100.5</v>
      </c>
      <c r="GH6" s="54">
        <v>100.4</v>
      </c>
      <c r="GI6" s="54">
        <v>100.9</v>
      </c>
      <c r="GJ6" s="54">
        <v>100.4</v>
      </c>
      <c r="GK6" s="54">
        <v>100.7</v>
      </c>
      <c r="GL6" s="54">
        <v>100.3</v>
      </c>
      <c r="GM6" s="54">
        <v>100.6</v>
      </c>
      <c r="GN6" s="54">
        <v>100.8</v>
      </c>
      <c r="GO6" s="54">
        <v>100</v>
      </c>
      <c r="GP6" s="54">
        <v>99.6</v>
      </c>
      <c r="GQ6" s="54">
        <v>98.4</v>
      </c>
      <c r="GR6" s="54">
        <v>98.9</v>
      </c>
      <c r="GS6" s="54">
        <v>98.8</v>
      </c>
      <c r="GT6" s="54">
        <v>99.4</v>
      </c>
      <c r="GU6" s="54">
        <v>99.3</v>
      </c>
      <c r="GV6" s="54">
        <v>99.7</v>
      </c>
      <c r="GW6" s="54">
        <v>98.023641026535103</v>
      </c>
      <c r="GX6" s="110">
        <v>98.023641026535103</v>
      </c>
      <c r="GY6" s="110">
        <v>97.207035594825783</v>
      </c>
      <c r="GZ6" s="110">
        <v>98.893563913240214</v>
      </c>
      <c r="HA6" s="110">
        <v>99.144100271919811</v>
      </c>
      <c r="HB6" s="110">
        <v>98.121350345379426</v>
      </c>
      <c r="HC6" s="110">
        <v>99.612839103160468</v>
      </c>
      <c r="HD6" s="110">
        <v>99.887180040641482</v>
      </c>
      <c r="HE6" s="110">
        <v>98.955141189506136</v>
      </c>
      <c r="HF6" s="111">
        <v>100.00152103053041</v>
      </c>
      <c r="HG6" s="110">
        <v>101.09824918196605</v>
      </c>
      <c r="HH6" s="110">
        <v>100.49676138348204</v>
      </c>
      <c r="HI6" s="110">
        <v>103.55503264796431</v>
      </c>
      <c r="HJ6" s="110">
        <v>104.22407841096646</v>
      </c>
      <c r="HK6" s="110">
        <v>105.12191001067183</v>
      </c>
      <c r="HL6" s="110">
        <v>104.84071059414981</v>
      </c>
      <c r="HM6" s="110">
        <v>107.97665437761678</v>
      </c>
      <c r="HN6" s="110">
        <v>107.79655429066396</v>
      </c>
      <c r="HO6" s="110">
        <v>109.47136845306615</v>
      </c>
      <c r="HP6" s="110">
        <v>110.60802477272479</v>
      </c>
      <c r="HQ6" s="110">
        <v>112.12377448802329</v>
      </c>
      <c r="HR6" s="110">
        <v>114.03745246266249</v>
      </c>
      <c r="HS6" s="110">
        <v>117.85215522755969</v>
      </c>
      <c r="HT6" s="110">
        <v>114.68193162173881</v>
      </c>
      <c r="HU6" s="110">
        <v>116.60489484978311</v>
      </c>
      <c r="HV6" s="110">
        <v>116.74122320898323</v>
      </c>
      <c r="HW6" s="110">
        <v>116.69726274699764</v>
      </c>
      <c r="HX6" s="110">
        <v>116.37802276200401</v>
      </c>
      <c r="HY6" s="110">
        <v>118.19504709874138</v>
      </c>
      <c r="HZ6" s="110">
        <v>121.13634847427436</v>
      </c>
      <c r="IA6" s="110">
        <v>124.46552857362911</v>
      </c>
      <c r="IB6" s="110">
        <v>123.71517611934431</v>
      </c>
      <c r="IC6" s="110">
        <v>124.41828872825982</v>
      </c>
      <c r="ID6" s="110">
        <v>124.9150650826126</v>
      </c>
      <c r="IE6" s="110">
        <v>125.03037416037731</v>
      </c>
      <c r="IF6" s="110">
        <v>123.21941707850037</v>
      </c>
      <c r="IG6" s="110">
        <v>125.29115375362232</v>
      </c>
      <c r="IH6" s="112">
        <v>126.59030090329085</v>
      </c>
      <c r="II6" s="113">
        <v>124.79980657149777</v>
      </c>
      <c r="IJ6" s="114">
        <v>125.18665388280161</v>
      </c>
      <c r="IK6" s="114">
        <v>126.72397875814751</v>
      </c>
      <c r="IL6" s="114">
        <v>129.18648413242926</v>
      </c>
      <c r="IM6" s="114">
        <v>132.41932793699749</v>
      </c>
      <c r="IN6" s="114">
        <v>128.84887131203766</v>
      </c>
      <c r="IO6" s="115">
        <v>127.01434047644291</v>
      </c>
      <c r="IP6" s="114">
        <v>126.22508260386849</v>
      </c>
      <c r="IQ6" s="114">
        <v>125.46826734114039</v>
      </c>
      <c r="IR6" s="114">
        <v>129.30000000000001</v>
      </c>
      <c r="IS6" s="114">
        <v>132.85545577061853</v>
      </c>
      <c r="IT6" s="114">
        <v>133.44605048505585</v>
      </c>
      <c r="IU6" s="116">
        <v>129.8001975661104</v>
      </c>
      <c r="IV6" s="116">
        <v>129.05527570374949</v>
      </c>
      <c r="IW6" s="116">
        <v>129.41150410576856</v>
      </c>
      <c r="IX6" s="116">
        <v>130.34550609061131</v>
      </c>
      <c r="IY6" s="116">
        <v>133.79223284840472</v>
      </c>
      <c r="IZ6" s="116">
        <v>131.17617792603167</v>
      </c>
      <c r="JA6" s="116">
        <v>130.15206456733728</v>
      </c>
      <c r="JB6" s="116">
        <v>130.56967265253184</v>
      </c>
      <c r="JC6" s="117">
        <v>130.5</v>
      </c>
      <c r="JD6" s="117">
        <v>133.80000000000001</v>
      </c>
      <c r="JE6" s="117">
        <v>136.9</v>
      </c>
      <c r="JF6" s="117">
        <v>136.1</v>
      </c>
      <c r="JG6" s="117">
        <v>133</v>
      </c>
      <c r="JH6" s="117">
        <v>134.9</v>
      </c>
      <c r="JI6" s="117">
        <v>136.5</v>
      </c>
      <c r="JJ6" s="117">
        <v>140.69999999999999</v>
      </c>
      <c r="JK6" s="84">
        <v>143.30000000000001</v>
      </c>
    </row>
    <row r="7" spans="1:277" s="31" customFormat="1" ht="15.6" x14ac:dyDescent="0.3">
      <c r="A7" s="82" t="s">
        <v>153</v>
      </c>
      <c r="B7" s="67"/>
      <c r="C7" s="67"/>
      <c r="D7" s="67"/>
      <c r="E7" s="67"/>
      <c r="F7" s="67"/>
      <c r="G7" s="68"/>
      <c r="H7" s="68"/>
      <c r="I7" s="68"/>
      <c r="J7" s="68"/>
      <c r="K7" s="68"/>
      <c r="L7" s="68"/>
      <c r="M7" s="69"/>
      <c r="N7" s="68"/>
      <c r="O7" s="68"/>
      <c r="P7" s="68"/>
      <c r="Q7" s="68"/>
      <c r="R7" s="68"/>
      <c r="S7" s="68"/>
      <c r="T7" s="68"/>
      <c r="U7" s="68"/>
      <c r="V7" s="68"/>
      <c r="W7" s="68"/>
      <c r="X7" s="68"/>
      <c r="Y7" s="69"/>
      <c r="Z7" s="68"/>
      <c r="AA7" s="68"/>
      <c r="AB7" s="68"/>
      <c r="AC7" s="68"/>
      <c r="AD7" s="68"/>
      <c r="AE7" s="68"/>
      <c r="AF7" s="68"/>
      <c r="AG7" s="68"/>
      <c r="AH7" s="68"/>
      <c r="AI7" s="68"/>
      <c r="AJ7" s="68"/>
      <c r="AK7" s="69"/>
      <c r="AL7" s="68"/>
      <c r="AM7" s="68"/>
      <c r="AN7" s="68"/>
      <c r="AO7" s="68"/>
      <c r="AP7" s="68"/>
      <c r="AQ7" s="68"/>
      <c r="AR7" s="68"/>
      <c r="AS7" s="68"/>
      <c r="AT7" s="68"/>
      <c r="AU7" s="68"/>
      <c r="AV7" s="68"/>
      <c r="AW7" s="69"/>
      <c r="AX7" s="68"/>
      <c r="AY7" s="68"/>
      <c r="AZ7" s="68"/>
      <c r="BA7" s="68"/>
      <c r="BB7" s="68"/>
      <c r="BC7" s="68"/>
      <c r="BD7" s="68"/>
      <c r="BE7" s="68"/>
      <c r="BF7" s="68"/>
      <c r="BG7" s="68"/>
      <c r="BH7" s="68"/>
      <c r="BI7" s="69"/>
      <c r="BJ7" s="68"/>
      <c r="BK7" s="68"/>
      <c r="BL7" s="68"/>
      <c r="BM7" s="68"/>
      <c r="BN7" s="68"/>
      <c r="BO7" s="68"/>
      <c r="BP7" s="68"/>
      <c r="BQ7" s="68"/>
      <c r="BR7" s="68"/>
      <c r="BS7" s="68"/>
      <c r="BT7" s="68"/>
      <c r="BU7" s="69"/>
      <c r="BV7" s="68"/>
      <c r="BW7" s="68"/>
      <c r="BX7" s="68"/>
      <c r="BY7" s="68"/>
      <c r="BZ7" s="68"/>
      <c r="CA7" s="68"/>
      <c r="CB7" s="68"/>
      <c r="CC7" s="68"/>
      <c r="CD7" s="68"/>
      <c r="CE7" s="68"/>
      <c r="CF7" s="68"/>
      <c r="CG7" s="69"/>
      <c r="CH7" s="68"/>
      <c r="CI7" s="68"/>
      <c r="CJ7" s="68"/>
      <c r="CK7" s="68"/>
      <c r="CL7" s="68"/>
      <c r="CM7" s="68"/>
      <c r="CN7" s="68"/>
      <c r="CO7" s="68"/>
      <c r="CP7" s="68"/>
      <c r="CQ7" s="68"/>
      <c r="CR7" s="68"/>
      <c r="CS7" s="69"/>
      <c r="CT7" s="68"/>
      <c r="CU7" s="70"/>
      <c r="CV7" s="70"/>
      <c r="CW7" s="70"/>
      <c r="CX7" s="70"/>
      <c r="CY7" s="70"/>
      <c r="CZ7" s="70"/>
      <c r="DA7" s="70"/>
      <c r="DB7" s="70"/>
      <c r="DC7" s="70"/>
      <c r="DD7" s="70"/>
      <c r="DE7" s="70"/>
      <c r="DF7" s="70"/>
      <c r="DG7" s="70"/>
      <c r="DH7" s="70"/>
      <c r="DI7" s="70"/>
      <c r="DJ7" s="70"/>
      <c r="DK7" s="70"/>
      <c r="DL7" s="70"/>
      <c r="DM7" s="70"/>
      <c r="DN7" s="70"/>
      <c r="DO7" s="70"/>
      <c r="DP7" s="70"/>
      <c r="DQ7" s="70"/>
      <c r="DR7" s="70"/>
      <c r="DS7" s="70"/>
      <c r="DT7" s="70"/>
      <c r="DU7" s="70"/>
      <c r="DV7" s="70"/>
      <c r="DW7" s="70"/>
      <c r="DX7" s="70"/>
      <c r="DY7" s="70"/>
      <c r="DZ7" s="70"/>
      <c r="EA7" s="70"/>
      <c r="EB7" s="70"/>
      <c r="EC7" s="70"/>
      <c r="ED7" s="70"/>
      <c r="EE7" s="70"/>
      <c r="EF7" s="70"/>
      <c r="EG7" s="70"/>
      <c r="EH7" s="70"/>
      <c r="EI7" s="70"/>
      <c r="EJ7" s="70"/>
      <c r="EK7" s="70"/>
      <c r="EL7" s="71"/>
      <c r="EM7" s="71"/>
      <c r="EN7" s="71"/>
      <c r="EO7" s="71"/>
      <c r="EP7" s="71"/>
      <c r="EQ7" s="71"/>
      <c r="ER7" s="71"/>
      <c r="ES7" s="71"/>
      <c r="ET7" s="71"/>
      <c r="EU7" s="71"/>
      <c r="EV7" s="71"/>
      <c r="EW7" s="71"/>
      <c r="EX7" s="71"/>
      <c r="EY7" s="71"/>
      <c r="EZ7" s="71"/>
      <c r="FA7" s="71"/>
      <c r="FB7" s="106"/>
      <c r="FC7" s="106"/>
      <c r="FD7" s="106"/>
      <c r="FE7" s="106"/>
      <c r="FF7" s="106"/>
      <c r="FG7" s="106"/>
      <c r="FH7" s="106"/>
      <c r="FI7" s="106"/>
      <c r="FJ7" s="106"/>
      <c r="FK7" s="106"/>
      <c r="FL7" s="106"/>
      <c r="FM7" s="106"/>
      <c r="FN7" s="106"/>
      <c r="FO7" s="106"/>
      <c r="FP7" s="106"/>
      <c r="FQ7" s="106"/>
      <c r="FR7" s="106"/>
      <c r="FS7" s="106"/>
      <c r="FT7" s="106"/>
      <c r="FU7" s="106"/>
      <c r="FV7" s="106"/>
      <c r="FW7"/>
      <c r="FX7"/>
      <c r="FY7" s="106"/>
      <c r="FZ7" s="106"/>
      <c r="GA7" s="106"/>
      <c r="GB7" s="106"/>
      <c r="GC7" s="106"/>
      <c r="GD7" s="106"/>
      <c r="GE7" s="106"/>
      <c r="GF7" s="106"/>
      <c r="GG7" s="106"/>
      <c r="GH7" s="106"/>
      <c r="GI7" s="106"/>
      <c r="GJ7" s="106"/>
      <c r="GK7" s="106"/>
      <c r="GL7" s="106"/>
      <c r="GM7" s="106"/>
      <c r="GN7" s="106"/>
      <c r="GO7" s="106"/>
      <c r="GP7" s="106"/>
      <c r="GQ7" s="106"/>
      <c r="GR7" s="106"/>
      <c r="GS7" s="106"/>
      <c r="GT7" s="106"/>
      <c r="GU7" s="106"/>
      <c r="GV7" s="106"/>
      <c r="GW7" s="106"/>
      <c r="GX7" s="94"/>
      <c r="GY7" s="94"/>
      <c r="GZ7" s="94"/>
      <c r="HA7" s="94"/>
      <c r="HB7" s="94"/>
      <c r="HC7" s="94"/>
      <c r="HD7" s="94"/>
      <c r="HE7" s="94"/>
      <c r="HF7" s="94"/>
      <c r="HG7" s="94"/>
      <c r="HH7" s="94"/>
      <c r="HI7" s="94"/>
      <c r="HJ7" s="94"/>
      <c r="HK7" s="94"/>
      <c r="HL7" s="94"/>
      <c r="HM7" s="94"/>
      <c r="HN7" s="94"/>
      <c r="HO7" s="94"/>
      <c r="HP7" s="94"/>
      <c r="HQ7" s="94"/>
      <c r="HR7" s="94"/>
      <c r="HS7" s="94"/>
      <c r="HT7" s="94"/>
      <c r="HU7" s="94"/>
      <c r="HV7" s="94"/>
      <c r="HW7" s="94"/>
      <c r="HX7" s="94"/>
      <c r="HY7" s="94"/>
      <c r="HZ7" s="94"/>
      <c r="IA7" s="94"/>
      <c r="IB7" s="94"/>
      <c r="IC7" s="94"/>
      <c r="ID7" s="94"/>
      <c r="IE7" s="94"/>
      <c r="IF7" s="94"/>
      <c r="IG7" s="94"/>
      <c r="IH7" s="96"/>
      <c r="II7" s="97"/>
      <c r="IJ7" s="98"/>
      <c r="IK7" s="98"/>
      <c r="IL7" s="98"/>
      <c r="IM7" s="98"/>
      <c r="IN7" s="98"/>
      <c r="IO7" s="99"/>
      <c r="IP7" s="98"/>
      <c r="IQ7" s="98"/>
      <c r="IR7" s="98"/>
      <c r="IS7" s="98"/>
      <c r="IT7" s="98"/>
      <c r="IU7" s="100"/>
      <c r="IV7" s="100"/>
      <c r="IW7" s="100"/>
      <c r="IX7" s="100"/>
      <c r="IY7" s="100"/>
      <c r="IZ7" s="100"/>
      <c r="JA7" s="100"/>
      <c r="JB7" s="100"/>
      <c r="JC7" s="95"/>
      <c r="JD7" s="95"/>
      <c r="JE7" s="95"/>
      <c r="JF7" s="95"/>
      <c r="JG7" s="95"/>
      <c r="JH7" s="95"/>
      <c r="JI7" s="95"/>
      <c r="JJ7" s="95">
        <v>68.7</v>
      </c>
      <c r="JK7" s="95">
        <f>JK6*JL7</f>
        <v>69.5</v>
      </c>
      <c r="JL7" s="85">
        <v>0.48499651081646888</v>
      </c>
    </row>
    <row r="8" spans="1:277" s="31" customFormat="1" ht="15.6" x14ac:dyDescent="0.3">
      <c r="A8" s="82" t="s">
        <v>154</v>
      </c>
      <c r="B8" s="67"/>
      <c r="C8" s="67"/>
      <c r="D8" s="67"/>
      <c r="E8" s="67"/>
      <c r="F8" s="67"/>
      <c r="G8" s="68"/>
      <c r="H8" s="68"/>
      <c r="I8" s="68"/>
      <c r="J8" s="68"/>
      <c r="K8" s="68"/>
      <c r="L8" s="68"/>
      <c r="M8" s="69"/>
      <c r="N8" s="68"/>
      <c r="O8" s="68"/>
      <c r="P8" s="68"/>
      <c r="Q8" s="68"/>
      <c r="R8" s="68"/>
      <c r="S8" s="68"/>
      <c r="T8" s="68"/>
      <c r="U8" s="68"/>
      <c r="V8" s="68"/>
      <c r="W8" s="68"/>
      <c r="X8" s="68"/>
      <c r="Y8" s="69"/>
      <c r="Z8" s="68"/>
      <c r="AA8" s="68"/>
      <c r="AB8" s="68"/>
      <c r="AC8" s="68"/>
      <c r="AD8" s="68"/>
      <c r="AE8" s="68"/>
      <c r="AF8" s="68"/>
      <c r="AG8" s="68"/>
      <c r="AH8" s="68"/>
      <c r="AI8" s="68"/>
      <c r="AJ8" s="68"/>
      <c r="AK8" s="69"/>
      <c r="AL8" s="68"/>
      <c r="AM8" s="68"/>
      <c r="AN8" s="68"/>
      <c r="AO8" s="68"/>
      <c r="AP8" s="68"/>
      <c r="AQ8" s="68"/>
      <c r="AR8" s="68"/>
      <c r="AS8" s="68"/>
      <c r="AT8" s="68"/>
      <c r="AU8" s="68"/>
      <c r="AV8" s="68"/>
      <c r="AW8" s="69"/>
      <c r="AX8" s="68"/>
      <c r="AY8" s="68"/>
      <c r="AZ8" s="68"/>
      <c r="BA8" s="68"/>
      <c r="BB8" s="68"/>
      <c r="BC8" s="68"/>
      <c r="BD8" s="68"/>
      <c r="BE8" s="68"/>
      <c r="BF8" s="68"/>
      <c r="BG8" s="68"/>
      <c r="BH8" s="68"/>
      <c r="BI8" s="69"/>
      <c r="BJ8" s="68"/>
      <c r="BK8" s="68"/>
      <c r="BL8" s="68"/>
      <c r="BM8" s="68"/>
      <c r="BN8" s="68"/>
      <c r="BO8" s="68"/>
      <c r="BP8" s="68"/>
      <c r="BQ8" s="68"/>
      <c r="BR8" s="68"/>
      <c r="BS8" s="68"/>
      <c r="BT8" s="68"/>
      <c r="BU8" s="69"/>
      <c r="BV8" s="68"/>
      <c r="BW8" s="68"/>
      <c r="BX8" s="68"/>
      <c r="BY8" s="68"/>
      <c r="BZ8" s="68"/>
      <c r="CA8" s="68"/>
      <c r="CB8" s="68"/>
      <c r="CC8" s="68"/>
      <c r="CD8" s="68"/>
      <c r="CE8" s="68"/>
      <c r="CF8" s="68"/>
      <c r="CG8" s="69"/>
      <c r="CH8" s="68"/>
      <c r="CI8" s="68"/>
      <c r="CJ8" s="68"/>
      <c r="CK8" s="68"/>
      <c r="CL8" s="68"/>
      <c r="CM8" s="68"/>
      <c r="CN8" s="68"/>
      <c r="CO8" s="68"/>
      <c r="CP8" s="68"/>
      <c r="CQ8" s="68"/>
      <c r="CR8" s="68"/>
      <c r="CS8" s="69"/>
      <c r="CT8" s="68"/>
      <c r="CU8" s="70"/>
      <c r="CV8" s="70"/>
      <c r="CW8" s="70"/>
      <c r="CX8" s="70"/>
      <c r="CY8" s="70"/>
      <c r="CZ8" s="70"/>
      <c r="DA8" s="70"/>
      <c r="DB8" s="70"/>
      <c r="DC8" s="70"/>
      <c r="DD8" s="70"/>
      <c r="DE8" s="70"/>
      <c r="DF8" s="70"/>
      <c r="DG8" s="70"/>
      <c r="DH8" s="70"/>
      <c r="DI8" s="70"/>
      <c r="DJ8" s="70"/>
      <c r="DK8" s="70"/>
      <c r="DL8" s="70"/>
      <c r="DM8" s="70"/>
      <c r="DN8" s="70"/>
      <c r="DO8" s="70"/>
      <c r="DP8" s="70"/>
      <c r="DQ8" s="70"/>
      <c r="DR8" s="70"/>
      <c r="DS8" s="70"/>
      <c r="DT8" s="70"/>
      <c r="DU8" s="70"/>
      <c r="DV8" s="70"/>
      <c r="DW8" s="70"/>
      <c r="DX8" s="70"/>
      <c r="DY8" s="70"/>
      <c r="DZ8" s="70"/>
      <c r="EA8" s="70"/>
      <c r="EB8" s="70"/>
      <c r="EC8" s="70"/>
      <c r="ED8" s="70"/>
      <c r="EE8" s="70"/>
      <c r="EF8" s="70"/>
      <c r="EG8" s="70"/>
      <c r="EH8" s="70"/>
      <c r="EI8" s="70"/>
      <c r="EJ8" s="70"/>
      <c r="EK8" s="70"/>
      <c r="EL8" s="71"/>
      <c r="EM8" s="71"/>
      <c r="EN8" s="71"/>
      <c r="EO8" s="71"/>
      <c r="EP8" s="71"/>
      <c r="EQ8" s="71"/>
      <c r="ER8" s="71"/>
      <c r="ES8" s="71"/>
      <c r="ET8" s="71"/>
      <c r="EU8" s="71"/>
      <c r="EV8" s="71"/>
      <c r="EW8" s="71"/>
      <c r="EX8" s="71"/>
      <c r="EY8" s="71"/>
      <c r="EZ8" s="71"/>
      <c r="FA8" s="71"/>
      <c r="FB8" s="106"/>
      <c r="FC8" s="106"/>
      <c r="FD8" s="106"/>
      <c r="FE8" s="106"/>
      <c r="FF8" s="106"/>
      <c r="FG8" s="106"/>
      <c r="FH8" s="106"/>
      <c r="FI8" s="106"/>
      <c r="FJ8" s="106"/>
      <c r="FK8" s="106"/>
      <c r="FL8" s="106"/>
      <c r="FM8" s="106"/>
      <c r="FN8" s="106"/>
      <c r="FO8" s="106"/>
      <c r="FP8" s="106"/>
      <c r="FQ8" s="106"/>
      <c r="FR8" s="106"/>
      <c r="FS8" s="106"/>
      <c r="FT8" s="106"/>
      <c r="FU8" s="106"/>
      <c r="FV8" s="106"/>
      <c r="FW8"/>
      <c r="FX8"/>
      <c r="FY8" s="106"/>
      <c r="FZ8" s="106"/>
      <c r="GA8" s="106"/>
      <c r="GB8" s="106"/>
      <c r="GC8" s="106"/>
      <c r="GD8" s="106"/>
      <c r="GE8" s="106"/>
      <c r="GF8" s="106"/>
      <c r="GG8" s="106"/>
      <c r="GH8" s="106"/>
      <c r="GI8" s="106"/>
      <c r="GJ8" s="106"/>
      <c r="GK8" s="106"/>
      <c r="GL8" s="106"/>
      <c r="GM8" s="106"/>
      <c r="GN8" s="106"/>
      <c r="GO8" s="106"/>
      <c r="GP8" s="106"/>
      <c r="GQ8" s="106"/>
      <c r="GR8" s="106"/>
      <c r="GS8" s="106"/>
      <c r="GT8" s="106"/>
      <c r="GU8" s="106"/>
      <c r="GV8" s="106"/>
      <c r="GW8" s="106"/>
      <c r="GX8" s="94"/>
      <c r="GY8" s="94"/>
      <c r="GZ8" s="94"/>
      <c r="HA8" s="94"/>
      <c r="HB8" s="94"/>
      <c r="HC8" s="94"/>
      <c r="HD8" s="94"/>
      <c r="HE8" s="94"/>
      <c r="HF8" s="94"/>
      <c r="HG8" s="94"/>
      <c r="HH8" s="94"/>
      <c r="HI8" s="94"/>
      <c r="HJ8" s="94"/>
      <c r="HK8" s="94"/>
      <c r="HL8" s="94"/>
      <c r="HM8" s="94"/>
      <c r="HN8" s="94"/>
      <c r="HO8" s="94"/>
      <c r="HP8" s="94"/>
      <c r="HQ8" s="94"/>
      <c r="HR8" s="94"/>
      <c r="HS8" s="94"/>
      <c r="HT8" s="94"/>
      <c r="HU8" s="94"/>
      <c r="HV8" s="94"/>
      <c r="HW8" s="94"/>
      <c r="HX8" s="94"/>
      <c r="HY8" s="94"/>
      <c r="HZ8" s="94"/>
      <c r="IA8" s="94"/>
      <c r="IB8" s="94"/>
      <c r="IC8" s="94"/>
      <c r="ID8" s="94"/>
      <c r="IE8" s="94"/>
      <c r="IF8" s="94"/>
      <c r="IG8" s="94"/>
      <c r="IH8" s="96"/>
      <c r="II8" s="97"/>
      <c r="IJ8" s="98"/>
      <c r="IK8" s="98"/>
      <c r="IL8" s="98"/>
      <c r="IM8" s="98"/>
      <c r="IN8" s="98"/>
      <c r="IO8" s="99"/>
      <c r="IP8" s="98"/>
      <c r="IQ8" s="98"/>
      <c r="IR8" s="98"/>
      <c r="IS8" s="98"/>
      <c r="IT8" s="98"/>
      <c r="IU8" s="100"/>
      <c r="IV8" s="100"/>
      <c r="IW8" s="100"/>
      <c r="IX8" s="100"/>
      <c r="IY8" s="100"/>
      <c r="IZ8" s="100"/>
      <c r="JA8" s="100"/>
      <c r="JB8" s="100"/>
      <c r="JC8" s="95"/>
      <c r="JD8" s="95"/>
      <c r="JE8" s="95"/>
      <c r="JF8" s="95"/>
      <c r="JG8" s="95"/>
      <c r="JH8" s="95"/>
      <c r="JI8" s="95"/>
      <c r="JJ8" s="95">
        <f>JJ6-JJ7</f>
        <v>71.999999999999986</v>
      </c>
      <c r="JK8" s="100">
        <f>JK6-JK7</f>
        <v>73.800000000000011</v>
      </c>
      <c r="JL8" s="31">
        <f>1-JL7</f>
        <v>0.51500348918353112</v>
      </c>
    </row>
    <row r="9" spans="1:277" s="31" customFormat="1" ht="15.6" x14ac:dyDescent="0.3">
      <c r="A9" s="82"/>
      <c r="B9" s="67"/>
      <c r="C9" s="67"/>
      <c r="D9" s="67"/>
      <c r="E9" s="67"/>
      <c r="F9" s="67"/>
      <c r="G9" s="68"/>
      <c r="H9" s="68"/>
      <c r="I9" s="68"/>
      <c r="J9" s="68"/>
      <c r="K9" s="68"/>
      <c r="L9" s="68"/>
      <c r="M9" s="69"/>
      <c r="N9" s="68"/>
      <c r="O9" s="68"/>
      <c r="P9" s="68"/>
      <c r="Q9" s="68"/>
      <c r="R9" s="68"/>
      <c r="S9" s="68"/>
      <c r="T9" s="68"/>
      <c r="U9" s="68"/>
      <c r="V9" s="68"/>
      <c r="W9" s="68"/>
      <c r="X9" s="68"/>
      <c r="Y9" s="69"/>
      <c r="Z9" s="68"/>
      <c r="AA9" s="68"/>
      <c r="AB9" s="68"/>
      <c r="AC9" s="68"/>
      <c r="AD9" s="68"/>
      <c r="AE9" s="68"/>
      <c r="AF9" s="68"/>
      <c r="AG9" s="68"/>
      <c r="AH9" s="68"/>
      <c r="AI9" s="68"/>
      <c r="AJ9" s="68"/>
      <c r="AK9" s="69"/>
      <c r="AL9" s="68"/>
      <c r="AM9" s="68"/>
      <c r="AN9" s="68"/>
      <c r="AO9" s="68"/>
      <c r="AP9" s="68"/>
      <c r="AQ9" s="68"/>
      <c r="AR9" s="68"/>
      <c r="AS9" s="68"/>
      <c r="AT9" s="68"/>
      <c r="AU9" s="68"/>
      <c r="AV9" s="68"/>
      <c r="AW9" s="69"/>
      <c r="AX9" s="68"/>
      <c r="AY9" s="68"/>
      <c r="AZ9" s="68"/>
      <c r="BA9" s="68"/>
      <c r="BB9" s="68"/>
      <c r="BC9" s="68"/>
      <c r="BD9" s="68"/>
      <c r="BE9" s="68"/>
      <c r="BF9" s="68"/>
      <c r="BG9" s="68"/>
      <c r="BH9" s="68"/>
      <c r="BI9" s="69"/>
      <c r="BJ9" s="68"/>
      <c r="BK9" s="68"/>
      <c r="BL9" s="68"/>
      <c r="BM9" s="68"/>
      <c r="BN9" s="68"/>
      <c r="BO9" s="68"/>
      <c r="BP9" s="68"/>
      <c r="BQ9" s="68"/>
      <c r="BR9" s="68"/>
      <c r="BS9" s="68"/>
      <c r="BT9" s="68"/>
      <c r="BU9" s="69"/>
      <c r="BV9" s="68"/>
      <c r="BW9" s="68"/>
      <c r="BX9" s="68"/>
      <c r="BY9" s="68"/>
      <c r="BZ9" s="68"/>
      <c r="CA9" s="68"/>
      <c r="CB9" s="68"/>
      <c r="CC9" s="68"/>
      <c r="CD9" s="68"/>
      <c r="CE9" s="68"/>
      <c r="CF9" s="68"/>
      <c r="CG9" s="69"/>
      <c r="CH9" s="68"/>
      <c r="CI9" s="68"/>
      <c r="CJ9" s="68"/>
      <c r="CK9" s="68"/>
      <c r="CL9" s="68"/>
      <c r="CM9" s="68"/>
      <c r="CN9" s="68"/>
      <c r="CO9" s="68"/>
      <c r="CP9" s="68"/>
      <c r="CQ9" s="68"/>
      <c r="CR9" s="68"/>
      <c r="CS9" s="69"/>
      <c r="CT9" s="68"/>
      <c r="CU9" s="70"/>
      <c r="CV9" s="70"/>
      <c r="CW9" s="70"/>
      <c r="CX9" s="70"/>
      <c r="CY9" s="70"/>
      <c r="CZ9" s="70"/>
      <c r="DA9" s="70"/>
      <c r="DB9" s="70"/>
      <c r="DC9" s="70"/>
      <c r="DD9" s="70"/>
      <c r="DE9" s="70"/>
      <c r="DF9" s="70"/>
      <c r="DG9" s="70"/>
      <c r="DH9" s="70"/>
      <c r="DI9" s="70"/>
      <c r="DJ9" s="70"/>
      <c r="DK9" s="70"/>
      <c r="DL9" s="70"/>
      <c r="DM9" s="70"/>
      <c r="DN9" s="70"/>
      <c r="DO9" s="70"/>
      <c r="DP9" s="70"/>
      <c r="DQ9" s="70"/>
      <c r="DR9" s="70"/>
      <c r="DS9" s="70"/>
      <c r="DT9" s="70"/>
      <c r="DU9" s="70"/>
      <c r="DV9" s="70"/>
      <c r="DW9" s="70"/>
      <c r="DX9" s="70"/>
      <c r="DY9" s="70"/>
      <c r="DZ9" s="70"/>
      <c r="EA9" s="70"/>
      <c r="EB9" s="70"/>
      <c r="EC9" s="70"/>
      <c r="ED9" s="70"/>
      <c r="EE9" s="70"/>
      <c r="EF9" s="70"/>
      <c r="EG9" s="70"/>
      <c r="EH9" s="70"/>
      <c r="EI9" s="70"/>
      <c r="EJ9" s="70"/>
      <c r="EK9" s="70"/>
      <c r="EL9" s="71"/>
      <c r="EM9" s="71"/>
      <c r="EN9" s="71"/>
      <c r="EO9" s="71"/>
      <c r="EP9" s="71"/>
      <c r="EQ9" s="71"/>
      <c r="ER9" s="71"/>
      <c r="ES9" s="71"/>
      <c r="ET9" s="71"/>
      <c r="EU9" s="71"/>
      <c r="EV9" s="71"/>
      <c r="EW9" s="71"/>
      <c r="EX9" s="71"/>
      <c r="EY9" s="71"/>
      <c r="EZ9" s="71"/>
      <c r="FA9" s="71"/>
      <c r="FB9" s="106"/>
      <c r="FC9" s="106"/>
      <c r="FD9" s="106"/>
      <c r="FE9" s="106"/>
      <c r="FF9" s="106"/>
      <c r="FG9" s="106"/>
      <c r="FH9" s="106"/>
      <c r="FI9" s="106"/>
      <c r="FJ9" s="106"/>
      <c r="FK9" s="106"/>
      <c r="FL9" s="106"/>
      <c r="FM9" s="106"/>
      <c r="FN9" s="106"/>
      <c r="FO9" s="106"/>
      <c r="FP9" s="106"/>
      <c r="FQ9" s="106"/>
      <c r="FR9" s="106"/>
      <c r="FS9" s="106"/>
      <c r="FT9" s="106"/>
      <c r="FU9" s="106"/>
      <c r="FV9" s="106"/>
      <c r="FW9"/>
      <c r="FX9"/>
      <c r="FY9" s="106"/>
      <c r="FZ9" s="106"/>
      <c r="GA9" s="106"/>
      <c r="GB9" s="106"/>
      <c r="GC9" s="106"/>
      <c r="GD9" s="106"/>
      <c r="GE9" s="106"/>
      <c r="GF9" s="106"/>
      <c r="GG9" s="106"/>
      <c r="GH9" s="106"/>
      <c r="GI9" s="106"/>
      <c r="GJ9" s="106"/>
      <c r="GK9" s="106"/>
      <c r="GL9" s="106"/>
      <c r="GM9" s="106"/>
      <c r="GN9" s="106"/>
      <c r="GO9" s="106"/>
      <c r="GP9" s="106"/>
      <c r="GQ9" s="106"/>
      <c r="GR9" s="106"/>
      <c r="GS9" s="106"/>
      <c r="GT9" s="106"/>
      <c r="GU9" s="106"/>
      <c r="GV9" s="106"/>
      <c r="GW9" s="106"/>
      <c r="GX9" s="106"/>
      <c r="GY9" s="106"/>
      <c r="GZ9" s="106"/>
      <c r="HA9" s="106"/>
      <c r="HB9" s="106"/>
      <c r="HC9" s="106"/>
      <c r="HD9" s="106"/>
      <c r="HE9" s="106"/>
      <c r="HF9" s="106"/>
      <c r="HG9" s="106"/>
      <c r="HH9" s="106"/>
      <c r="HI9" s="106"/>
      <c r="HJ9" s="106"/>
      <c r="HK9" s="106"/>
      <c r="HL9" s="106"/>
      <c r="HM9" s="106"/>
      <c r="HN9" s="106"/>
      <c r="HO9" s="106"/>
      <c r="HP9" s="106"/>
      <c r="HQ9" s="106"/>
      <c r="HR9" s="106"/>
      <c r="HS9" s="106"/>
      <c r="HT9" s="106"/>
      <c r="HU9" s="106"/>
      <c r="HV9" s="106"/>
      <c r="HW9" s="106"/>
      <c r="HX9" s="106"/>
      <c r="HY9" s="106"/>
      <c r="HZ9" s="106"/>
      <c r="IA9" s="106"/>
      <c r="IB9" s="106"/>
      <c r="IC9" s="106"/>
      <c r="ID9" s="106"/>
      <c r="IE9" s="106"/>
      <c r="IF9" s="106"/>
      <c r="IG9" s="106"/>
      <c r="IH9" s="48"/>
      <c r="II9" s="107"/>
      <c r="IJ9" s="78"/>
      <c r="IK9" s="78"/>
      <c r="IL9" s="78"/>
      <c r="IM9" s="78"/>
      <c r="IN9" s="78"/>
      <c r="IO9" s="79"/>
      <c r="IP9" s="78"/>
      <c r="IQ9" s="78"/>
      <c r="IR9" s="78"/>
      <c r="IS9" s="78"/>
      <c r="IT9" s="78"/>
      <c r="IU9" s="12"/>
      <c r="IV9" s="12"/>
      <c r="IW9" s="12"/>
      <c r="IX9" s="12"/>
      <c r="IY9" s="12"/>
      <c r="IZ9" s="12"/>
      <c r="JA9" s="12"/>
      <c r="JB9" s="12"/>
      <c r="JC9"/>
      <c r="JD9"/>
      <c r="JE9"/>
      <c r="JF9"/>
      <c r="JG9"/>
      <c r="JH9"/>
      <c r="JI9"/>
      <c r="JJ9"/>
      <c r="JK9"/>
    </row>
    <row r="10" spans="1:277" s="31" customFormat="1" ht="15.6" x14ac:dyDescent="0.3">
      <c r="A10" s="108" t="s">
        <v>151</v>
      </c>
      <c r="B10" s="67"/>
      <c r="C10" s="67"/>
      <c r="D10" s="67"/>
      <c r="E10" s="67"/>
      <c r="F10" s="67"/>
      <c r="G10" s="68"/>
      <c r="H10" s="68"/>
      <c r="I10" s="68"/>
      <c r="J10" s="68"/>
      <c r="K10" s="68"/>
      <c r="L10" s="68"/>
      <c r="M10" s="69"/>
      <c r="N10" s="68"/>
      <c r="O10" s="68"/>
      <c r="P10" s="68"/>
      <c r="Q10" s="68"/>
      <c r="R10" s="68"/>
      <c r="S10" s="68"/>
      <c r="T10" s="68"/>
      <c r="U10" s="68"/>
      <c r="V10" s="68"/>
      <c r="W10" s="68"/>
      <c r="X10" s="68"/>
      <c r="Y10" s="69"/>
      <c r="Z10" s="68"/>
      <c r="AA10" s="68"/>
      <c r="AB10" s="68"/>
      <c r="AC10" s="68"/>
      <c r="AD10" s="68"/>
      <c r="AE10" s="68"/>
      <c r="AF10" s="68"/>
      <c r="AG10" s="68"/>
      <c r="AH10" s="68"/>
      <c r="AI10" s="68"/>
      <c r="AJ10" s="68"/>
      <c r="AK10" s="69"/>
      <c r="AL10" s="68"/>
      <c r="AM10" s="68"/>
      <c r="AN10" s="68"/>
      <c r="AO10" s="68"/>
      <c r="AP10" s="68"/>
      <c r="AQ10" s="68"/>
      <c r="AR10" s="68"/>
      <c r="AS10" s="68"/>
      <c r="AT10" s="68"/>
      <c r="AU10" s="68"/>
      <c r="AV10" s="68"/>
      <c r="AW10" s="69"/>
      <c r="AX10" s="68"/>
      <c r="AY10" s="68"/>
      <c r="AZ10" s="68"/>
      <c r="BA10" s="68"/>
      <c r="BB10" s="68"/>
      <c r="BC10" s="68"/>
      <c r="BD10" s="68"/>
      <c r="BE10" s="68"/>
      <c r="BF10" s="68"/>
      <c r="BG10" s="68"/>
      <c r="BH10" s="68"/>
      <c r="BI10" s="69"/>
      <c r="BJ10" s="68"/>
      <c r="BK10" s="68"/>
      <c r="BL10" s="68"/>
      <c r="BM10" s="68"/>
      <c r="BN10" s="68"/>
      <c r="BO10" s="68"/>
      <c r="BP10" s="68"/>
      <c r="BQ10" s="68"/>
      <c r="BR10" s="68"/>
      <c r="BS10" s="68"/>
      <c r="BT10" s="68"/>
      <c r="BU10" s="69"/>
      <c r="BV10" s="68"/>
      <c r="BW10" s="68"/>
      <c r="BX10" s="68"/>
      <c r="BY10" s="68"/>
      <c r="BZ10" s="68"/>
      <c r="CA10" s="68"/>
      <c r="CB10" s="68"/>
      <c r="CC10" s="68"/>
      <c r="CD10" s="68"/>
      <c r="CE10" s="68"/>
      <c r="CF10" s="68"/>
      <c r="CG10" s="69"/>
      <c r="CH10" s="68"/>
      <c r="CI10" s="68"/>
      <c r="CJ10" s="68"/>
      <c r="CK10" s="68"/>
      <c r="CL10" s="68"/>
      <c r="CM10" s="68"/>
      <c r="CN10" s="68"/>
      <c r="CO10" s="68"/>
      <c r="CP10" s="68"/>
      <c r="CQ10" s="68"/>
      <c r="CR10" s="68"/>
      <c r="CS10" s="69"/>
      <c r="CT10" s="68"/>
      <c r="CU10" s="70"/>
      <c r="CV10" s="70"/>
      <c r="CW10" s="70"/>
      <c r="CX10" s="70"/>
      <c r="CY10" s="70"/>
      <c r="CZ10" s="70"/>
      <c r="DA10" s="70"/>
      <c r="DB10" s="70"/>
      <c r="DC10" s="70"/>
      <c r="DD10" s="70"/>
      <c r="DE10" s="70"/>
      <c r="DF10" s="70"/>
      <c r="DG10" s="70"/>
      <c r="DH10" s="70"/>
      <c r="DI10" s="70"/>
      <c r="DJ10" s="70"/>
      <c r="DK10" s="70"/>
      <c r="DL10" s="70"/>
      <c r="DM10" s="70"/>
      <c r="DN10" s="70"/>
      <c r="DO10" s="70"/>
      <c r="DP10" s="70"/>
      <c r="DQ10" s="70"/>
      <c r="DR10" s="70"/>
      <c r="DS10" s="70"/>
      <c r="DT10" s="70"/>
      <c r="DU10" s="70"/>
      <c r="DV10" s="70"/>
      <c r="DW10" s="70"/>
      <c r="DX10" s="70"/>
      <c r="DY10" s="70"/>
      <c r="DZ10" s="70"/>
      <c r="EA10" s="70"/>
      <c r="EB10" s="70"/>
      <c r="EC10" s="70"/>
      <c r="ED10" s="70"/>
      <c r="EE10" s="70"/>
      <c r="EF10" s="70"/>
      <c r="EG10" s="70"/>
      <c r="EH10" s="70"/>
      <c r="EI10" s="70"/>
      <c r="EJ10" s="70"/>
      <c r="EK10" s="70"/>
      <c r="EL10" s="71"/>
      <c r="EM10" s="71"/>
      <c r="EN10" s="71"/>
      <c r="EO10" s="71"/>
      <c r="EP10" s="71"/>
      <c r="EQ10" s="71"/>
      <c r="ER10" s="71"/>
      <c r="ES10" s="71"/>
      <c r="ET10" s="71"/>
      <c r="EU10" s="71"/>
      <c r="EV10" s="71"/>
      <c r="EW10" s="71"/>
      <c r="EX10" s="71"/>
      <c r="EY10" s="71"/>
      <c r="EZ10" s="71"/>
      <c r="FA10" s="71"/>
      <c r="FB10" s="106"/>
      <c r="FC10" s="106"/>
      <c r="FD10" s="151">
        <f>IH6/FB6-1</f>
        <v>0.40655889892545383</v>
      </c>
      <c r="FE10" s="150"/>
      <c r="FF10" s="150"/>
      <c r="FG10" s="150"/>
      <c r="FH10" s="150"/>
      <c r="FI10" s="150"/>
      <c r="FJ10" s="150"/>
      <c r="FK10" s="150"/>
      <c r="FL10" s="150"/>
      <c r="FM10" s="150"/>
      <c r="FN10" s="118">
        <f t="shared" ref="FN10" si="0">(FN6/FB6-1)*10^2</f>
        <v>6.3333333333333464</v>
      </c>
      <c r="FO10" s="118">
        <f t="shared" ref="FO10" si="1">(FO6/FC6-1)*10^2</f>
        <v>3.6441586280814731</v>
      </c>
      <c r="FP10" s="118">
        <f t="shared" ref="FP10" si="2">(FP6/FD6-1)*10^2</f>
        <v>5.0160085378868846</v>
      </c>
      <c r="FQ10" s="118">
        <f t="shared" ref="FQ10" si="3">(FQ6/FE6-1)*10^2</f>
        <v>4.6709129511677272</v>
      </c>
      <c r="FR10" s="118">
        <f t="shared" ref="FR10" si="4">(FR6/FF6-1)*10^2</f>
        <v>3.7037037037036979</v>
      </c>
      <c r="FS10" s="118">
        <f t="shared" ref="FS10" si="5">(FS6/FG6-1)*10^2</f>
        <v>2.9411764705882248</v>
      </c>
      <c r="FT10" s="118">
        <f t="shared" ref="FT10" si="6">(FT6/FH6-1)*10^2</f>
        <v>5.7894736842105221</v>
      </c>
      <c r="FU10" s="118">
        <f t="shared" ref="FU10" si="7">(FU6/FI6-1)*10^2</f>
        <v>6.1181434599156148</v>
      </c>
      <c r="FV10" s="118">
        <f t="shared" ref="FV10" si="8">(FV6/FJ6-1)*10^2</f>
        <v>5.5966209081309337</v>
      </c>
      <c r="FW10" s="118">
        <f t="shared" ref="FW10" si="9">(FW6/FK6-1)*10^2</f>
        <v>6.2236286919831185</v>
      </c>
      <c r="FX10" s="118">
        <f t="shared" ref="FX10" si="10">(FX6/FL6-1)*10^2</f>
        <v>6.4755838641188834</v>
      </c>
      <c r="FY10" s="118">
        <f t="shared" ref="FY10" si="11">(FY6/FM6-1)*10^2</f>
        <v>4.8472075869335995</v>
      </c>
      <c r="FZ10" s="118">
        <f t="shared" ref="FZ10" si="12">(FZ6/FN6-1)*10^2</f>
        <v>4.1797283176593591</v>
      </c>
      <c r="GA10" s="118">
        <f t="shared" ref="GA10" si="13">(GA6/FO6-1)*10^2</f>
        <v>3.3092037228541926</v>
      </c>
      <c r="GB10" s="118">
        <f t="shared" ref="GB10" si="14">(GB6/FP6-1)*10^2</f>
        <v>2.0325203252032464</v>
      </c>
      <c r="GC10" s="118">
        <f t="shared" ref="GC10" si="15">(GC6/FQ6-1)*10^2</f>
        <v>0.20283975659229903</v>
      </c>
      <c r="GD10" s="118">
        <f t="shared" ref="GD10" si="16">(GD6/FR6-1)*10^2</f>
        <v>1.6326530612244872</v>
      </c>
      <c r="GE10" s="118">
        <f t="shared" ref="GE10" si="17">(GE6/FS6-1)*10^2</f>
        <v>1.8367346938775508</v>
      </c>
      <c r="GF10" s="118">
        <f t="shared" ref="GF10" si="18">(GF6/FT6-1)*10^2</f>
        <v>-0.49751243781094301</v>
      </c>
      <c r="GG10" s="118">
        <f t="shared" ref="GG10" si="19">(GG6/FU6-1)*10^2</f>
        <v>-9.9403578528822756E-2</v>
      </c>
      <c r="GH10" s="118">
        <f t="shared" ref="GH10" si="20">(GH6/FV6-1)*10^2</f>
        <v>0.40000000000000036</v>
      </c>
      <c r="GI10" s="118">
        <f t="shared" ref="GI10" si="21">(GI6/FW6-1)*10^2</f>
        <v>0.19860973187686426</v>
      </c>
      <c r="GJ10" s="118">
        <f t="shared" ref="GJ10" si="22">(GJ6/FX6-1)*10^2</f>
        <v>9.9700897308085956E-2</v>
      </c>
      <c r="GK10" s="118">
        <f t="shared" ref="GK10" si="23">(GK6/FY6-1)*10^2</f>
        <v>1.2060301507537785</v>
      </c>
      <c r="GL10" s="118">
        <f t="shared" ref="GL10" si="24">(GL6/FZ6-1)*10^2</f>
        <v>0.60180541624874628</v>
      </c>
      <c r="GM10" s="118">
        <f t="shared" ref="GM10" si="25">(GM6/GA6-1)*10^2</f>
        <v>0.70070070070069601</v>
      </c>
      <c r="GN10" s="118">
        <f t="shared" ref="GN10" si="26">(GN6/GB6-1)*10^2</f>
        <v>0.39840637450199168</v>
      </c>
      <c r="GO10" s="118">
        <f t="shared" ref="GO10" si="27">(GO6/GC6-1)*10^2</f>
        <v>1.2145748987854255</v>
      </c>
      <c r="GP10" s="118">
        <f>(GP6/GD6-1)*10^2</f>
        <v>0</v>
      </c>
      <c r="GQ10" s="118">
        <f t="shared" ref="GQ10" si="28">(GQ6/GE6-1)*10^2</f>
        <v>-1.4028056112224352</v>
      </c>
      <c r="GR10" s="118">
        <f t="shared" ref="GR10" si="29">(GR6/GF6-1)*10^2</f>
        <v>-1.0999999999999899</v>
      </c>
      <c r="GS10" s="118">
        <f t="shared" ref="GS10" si="30">(GS6/GG6-1)*10^2</f>
        <v>-1.6915422885572129</v>
      </c>
      <c r="GT10" s="118">
        <f t="shared" ref="GT10" si="31">(GT6/GH6-1)*10^2</f>
        <v>-0.9960159362549792</v>
      </c>
      <c r="GU10" s="118">
        <f t="shared" ref="GU10" si="32">(GU6/GI6-1)*10^2</f>
        <v>-1.5857284440039754</v>
      </c>
      <c r="GV10" s="118">
        <f t="shared" ref="GV10" si="33">(GV6/GJ6-1)*10^2</f>
        <v>-0.69721115537848544</v>
      </c>
      <c r="GW10" s="118">
        <f t="shared" ref="GW10" si="34">(GW6/GK6-1)*10^2</f>
        <v>-2.6577546906304872</v>
      </c>
      <c r="GX10" s="118">
        <f t="shared" ref="GX10:JI10" si="35">(GX6/GL6-1)*10^2</f>
        <v>-2.2695503224974045</v>
      </c>
      <c r="GY10" s="118">
        <f t="shared" si="35"/>
        <v>-3.3727280369524992</v>
      </c>
      <c r="GZ10" s="118">
        <f t="shared" si="35"/>
        <v>-1.8913056416267726</v>
      </c>
      <c r="HA10" s="118">
        <f t="shared" si="35"/>
        <v>-0.85589972808018944</v>
      </c>
      <c r="HB10" s="118">
        <f t="shared" si="35"/>
        <v>-1.4845880066471584</v>
      </c>
      <c r="HC10" s="118">
        <f t="shared" si="35"/>
        <v>1.2325600641874601</v>
      </c>
      <c r="HD10" s="118">
        <f t="shared" si="35"/>
        <v>0.99815979842414748</v>
      </c>
      <c r="HE10" s="118">
        <f t="shared" si="35"/>
        <v>0.15702549545155708</v>
      </c>
      <c r="HF10" s="118">
        <f t="shared" si="35"/>
        <v>0.60515194218351276</v>
      </c>
      <c r="HG10" s="118">
        <f t="shared" si="35"/>
        <v>1.8109256615972402</v>
      </c>
      <c r="HH10" s="118">
        <f t="shared" si="35"/>
        <v>0.79915886006223236</v>
      </c>
      <c r="HI10" s="118">
        <f t="shared" si="35"/>
        <v>5.6429158961069925</v>
      </c>
      <c r="HJ10" s="118">
        <f t="shared" si="35"/>
        <v>6.3254510029400857</v>
      </c>
      <c r="HK10" s="118">
        <f t="shared" si="35"/>
        <v>8.1422855531121172</v>
      </c>
      <c r="HL10" s="118">
        <f t="shared" si="35"/>
        <v>6.0136842536356205</v>
      </c>
      <c r="HM10" s="118">
        <f t="shared" si="35"/>
        <v>8.9088045395259599</v>
      </c>
      <c r="HN10" s="118">
        <f t="shared" si="35"/>
        <v>9.8604472026002199</v>
      </c>
      <c r="HO10" s="118">
        <f t="shared" si="35"/>
        <v>9.8968460679009986</v>
      </c>
      <c r="HP10" s="118">
        <f t="shared" si="35"/>
        <v>10.732953646024711</v>
      </c>
      <c r="HQ10" s="118">
        <f t="shared" si="35"/>
        <v>13.307679762993097</v>
      </c>
      <c r="HR10" s="118">
        <f t="shared" si="35"/>
        <v>14.035717944576964</v>
      </c>
      <c r="HS10" s="118">
        <f t="shared" si="35"/>
        <v>16.571905231947582</v>
      </c>
      <c r="HT10" s="118">
        <f t="shared" si="35"/>
        <v>14.115052110115345</v>
      </c>
      <c r="HU10" s="118">
        <f t="shared" si="35"/>
        <v>12.601861897124644</v>
      </c>
      <c r="HV10" s="118">
        <f t="shared" si="35"/>
        <v>12.00983974994756</v>
      </c>
      <c r="HW10" s="118">
        <f t="shared" si="35"/>
        <v>11.011360747869503</v>
      </c>
      <c r="HX10" s="118">
        <f t="shared" si="35"/>
        <v>11.004610806689819</v>
      </c>
      <c r="HY10" s="118">
        <f t="shared" si="35"/>
        <v>9.4635204063544762</v>
      </c>
      <c r="HZ10" s="118">
        <f t="shared" si="35"/>
        <v>12.374972717254762</v>
      </c>
      <c r="IA10" s="118">
        <f t="shared" si="35"/>
        <v>13.696878309319249</v>
      </c>
      <c r="IB10" s="118">
        <f t="shared" si="35"/>
        <v>11.850090780982514</v>
      </c>
      <c r="IC10" s="118">
        <f t="shared" si="35"/>
        <v>10.965126973628415</v>
      </c>
      <c r="ID10" s="118">
        <f t="shared" si="35"/>
        <v>9.5386317258460362</v>
      </c>
      <c r="IE10" s="118">
        <f t="shared" si="35"/>
        <v>6.090867764749186</v>
      </c>
      <c r="IF10" s="118">
        <f t="shared" si="35"/>
        <v>7.4444904581143501</v>
      </c>
      <c r="IG10" s="118">
        <f t="shared" si="35"/>
        <v>7.4493089805786727</v>
      </c>
      <c r="IH10" s="118">
        <f t="shared" si="35"/>
        <v>8.4366750866370346</v>
      </c>
      <c r="II10" s="118">
        <f t="shared" si="35"/>
        <v>6.9432166905805115</v>
      </c>
      <c r="IJ10" s="118">
        <f t="shared" si="35"/>
        <v>7.568981592694235</v>
      </c>
      <c r="IK10" s="118">
        <f t="shared" si="35"/>
        <v>7.215980592047111</v>
      </c>
      <c r="IL10" s="118">
        <f t="shared" si="35"/>
        <v>6.6455161968700827</v>
      </c>
      <c r="IM10" s="118">
        <f t="shared" si="35"/>
        <v>6.3903632230696061</v>
      </c>
      <c r="IN10" s="118">
        <f t="shared" si="35"/>
        <v>4.1496082806696588</v>
      </c>
      <c r="IO10" s="118">
        <f t="shared" si="35"/>
        <v>2.0865515630528186</v>
      </c>
      <c r="IP10" s="118">
        <f t="shared" si="35"/>
        <v>1.0487266050652089</v>
      </c>
      <c r="IQ10" s="118">
        <f t="shared" si="35"/>
        <v>0.35022944120872701</v>
      </c>
      <c r="IR10" s="118">
        <f t="shared" si="35"/>
        <v>4.9347603370220705</v>
      </c>
      <c r="IS10" s="118">
        <f t="shared" si="35"/>
        <v>6.0373791687408085</v>
      </c>
      <c r="IT10" s="118">
        <f t="shared" si="35"/>
        <v>5.4156989381062282</v>
      </c>
      <c r="IU10" s="118">
        <f t="shared" si="35"/>
        <v>4.0067297634374999</v>
      </c>
      <c r="IV10" s="118">
        <f t="shared" si="35"/>
        <v>3.0902829502653217</v>
      </c>
      <c r="IW10" s="118">
        <f t="shared" si="35"/>
        <v>2.1207709653357609</v>
      </c>
      <c r="IX10" s="118">
        <f t="shared" si="35"/>
        <v>0.8971696737206214</v>
      </c>
      <c r="IY10" s="118">
        <f t="shared" si="35"/>
        <v>1.0367858928119977</v>
      </c>
      <c r="IZ10" s="118">
        <f t="shared" si="35"/>
        <v>1.8062297250224901</v>
      </c>
      <c r="JA10" s="118">
        <f t="shared" si="35"/>
        <v>2.4703699433658244</v>
      </c>
      <c r="JB10" s="118">
        <f t="shared" si="35"/>
        <v>3.4419387644989419</v>
      </c>
      <c r="JC10" s="118">
        <f t="shared" si="35"/>
        <v>4.0103627518651042</v>
      </c>
      <c r="JD10" s="118">
        <f t="shared" si="35"/>
        <v>3.4802784222737859</v>
      </c>
      <c r="JE10" s="118">
        <f t="shared" si="35"/>
        <v>3.0443192610505765</v>
      </c>
      <c r="JF10" s="118">
        <f t="shared" si="35"/>
        <v>1.9887808633507253</v>
      </c>
      <c r="JG10" s="118">
        <f t="shared" si="35"/>
        <v>2.4651753185967795</v>
      </c>
      <c r="JH10" s="118">
        <f t="shared" si="35"/>
        <v>4.5288534423554072</v>
      </c>
      <c r="JI10" s="118">
        <f t="shared" si="35"/>
        <v>5.4774851302539451</v>
      </c>
      <c r="JJ10" s="118">
        <f>(JJ6/IX6-1)*10^2</f>
        <v>7.9438825471977781</v>
      </c>
      <c r="JK10" s="118">
        <f>(JK6/IY6-1)*10^2</f>
        <v>7.1063670507451659</v>
      </c>
    </row>
    <row r="11" spans="1:277" s="31" customFormat="1" ht="15.6" x14ac:dyDescent="0.3">
      <c r="A11" s="108" t="s">
        <v>152</v>
      </c>
      <c r="B11" s="67"/>
      <c r="C11" s="67"/>
      <c r="D11" s="67"/>
      <c r="E11" s="67"/>
      <c r="F11" s="67"/>
      <c r="G11" s="68"/>
      <c r="H11" s="68"/>
      <c r="I11" s="68"/>
      <c r="J11" s="68"/>
      <c r="K11" s="68"/>
      <c r="L11" s="68"/>
      <c r="M11" s="69"/>
      <c r="N11" s="68"/>
      <c r="O11" s="68"/>
      <c r="P11" s="68"/>
      <c r="Q11" s="68"/>
      <c r="R11" s="68"/>
      <c r="S11" s="68"/>
      <c r="T11" s="68"/>
      <c r="U11" s="68"/>
      <c r="V11" s="68"/>
      <c r="W11" s="68"/>
      <c r="X11" s="68"/>
      <c r="Y11" s="69"/>
      <c r="Z11" s="68"/>
      <c r="AA11" s="68"/>
      <c r="AB11" s="68"/>
      <c r="AC11" s="68"/>
      <c r="AD11" s="68"/>
      <c r="AE11" s="68"/>
      <c r="AF11" s="68"/>
      <c r="AG11" s="68"/>
      <c r="AH11" s="68"/>
      <c r="AI11" s="68"/>
      <c r="AJ11" s="68"/>
      <c r="AK11" s="69"/>
      <c r="AL11" s="68"/>
      <c r="AM11" s="68"/>
      <c r="AN11" s="68"/>
      <c r="AO11" s="68"/>
      <c r="AP11" s="68"/>
      <c r="AQ11" s="68"/>
      <c r="AR11" s="68"/>
      <c r="AS11" s="68"/>
      <c r="AT11" s="68"/>
      <c r="AU11" s="68"/>
      <c r="AV11" s="68"/>
      <c r="AW11" s="69"/>
      <c r="AX11" s="68"/>
      <c r="AY11" s="68"/>
      <c r="AZ11" s="68"/>
      <c r="BA11" s="68"/>
      <c r="BB11" s="68"/>
      <c r="BC11" s="68"/>
      <c r="BD11" s="68"/>
      <c r="BE11" s="68"/>
      <c r="BF11" s="68"/>
      <c r="BG11" s="68"/>
      <c r="BH11" s="68"/>
      <c r="BI11" s="69"/>
      <c r="BJ11" s="68"/>
      <c r="BK11" s="68"/>
      <c r="BL11" s="68"/>
      <c r="BM11" s="68"/>
      <c r="BN11" s="68"/>
      <c r="BO11" s="68"/>
      <c r="BP11" s="68"/>
      <c r="BQ11" s="68"/>
      <c r="BR11" s="68"/>
      <c r="BS11" s="68"/>
      <c r="BT11" s="68"/>
      <c r="BU11" s="69"/>
      <c r="BV11" s="68"/>
      <c r="BW11" s="68"/>
      <c r="BX11" s="68"/>
      <c r="BY11" s="68"/>
      <c r="BZ11" s="68"/>
      <c r="CA11" s="68"/>
      <c r="CB11" s="68"/>
      <c r="CC11" s="68"/>
      <c r="CD11" s="68"/>
      <c r="CE11" s="68"/>
      <c r="CF11" s="68"/>
      <c r="CG11" s="69"/>
      <c r="CH11" s="68"/>
      <c r="CI11" s="68"/>
      <c r="CJ11" s="68"/>
      <c r="CK11" s="68"/>
      <c r="CL11" s="68"/>
      <c r="CM11" s="68"/>
      <c r="CN11" s="68"/>
      <c r="CO11" s="68"/>
      <c r="CP11" s="68"/>
      <c r="CQ11" s="68"/>
      <c r="CR11" s="68"/>
      <c r="CS11" s="69"/>
      <c r="CT11" s="68"/>
      <c r="CU11" s="70"/>
      <c r="CV11" s="70"/>
      <c r="CW11" s="70"/>
      <c r="CX11" s="70"/>
      <c r="CY11" s="70"/>
      <c r="CZ11" s="70"/>
      <c r="DA11" s="70"/>
      <c r="DB11" s="70"/>
      <c r="DC11" s="70"/>
      <c r="DD11" s="70"/>
      <c r="DE11" s="70"/>
      <c r="DF11" s="70"/>
      <c r="DG11" s="70"/>
      <c r="DH11" s="70"/>
      <c r="DI11" s="70"/>
      <c r="DJ11" s="70"/>
      <c r="DK11" s="70"/>
      <c r="DL11" s="70"/>
      <c r="DM11" s="70"/>
      <c r="DN11" s="70"/>
      <c r="DO11" s="70"/>
      <c r="DP11" s="70"/>
      <c r="DQ11" s="70"/>
      <c r="DR11" s="70"/>
      <c r="DS11" s="70"/>
      <c r="DT11" s="70"/>
      <c r="DU11" s="70"/>
      <c r="DV11" s="70"/>
      <c r="DW11" s="70"/>
      <c r="DX11" s="70"/>
      <c r="DY11" s="70"/>
      <c r="DZ11" s="70"/>
      <c r="EA11" s="70"/>
      <c r="EB11" s="70"/>
      <c r="EC11" s="70"/>
      <c r="ED11" s="70"/>
      <c r="EE11" s="70"/>
      <c r="EF11" s="70"/>
      <c r="EG11" s="70"/>
      <c r="EH11" s="70"/>
      <c r="EI11" s="70"/>
      <c r="EJ11" s="70"/>
      <c r="EK11" s="70"/>
      <c r="EL11" s="71"/>
      <c r="EM11" s="71"/>
      <c r="EN11" s="71"/>
      <c r="EO11" s="71"/>
      <c r="EP11" s="71"/>
      <c r="EQ11" s="71"/>
      <c r="ER11" s="71"/>
      <c r="ES11" s="71"/>
      <c r="ET11" s="71"/>
      <c r="EU11" s="71"/>
      <c r="EV11" s="71"/>
      <c r="EW11" s="71"/>
      <c r="EX11" s="71"/>
      <c r="EY11" s="71"/>
      <c r="EZ11" s="71"/>
      <c r="FA11" s="71"/>
      <c r="FB11" s="106"/>
      <c r="FC11" s="106"/>
      <c r="FD11" s="106"/>
      <c r="FE11" s="106"/>
      <c r="FF11" s="106"/>
      <c r="FG11" s="106"/>
      <c r="FH11" s="106"/>
      <c r="FI11" s="106"/>
      <c r="FJ11" s="106"/>
      <c r="FK11" s="106"/>
      <c r="FL11" s="106"/>
      <c r="FM11" s="106"/>
      <c r="FN11" s="106"/>
      <c r="FO11" s="106"/>
      <c r="FP11" s="106"/>
      <c r="FQ11" s="106"/>
      <c r="FR11" s="106"/>
      <c r="FS11" s="106"/>
      <c r="FT11" s="106"/>
      <c r="FU11" s="106"/>
      <c r="FV11" s="106"/>
      <c r="FW11"/>
      <c r="FX11"/>
      <c r="FY11" s="106"/>
      <c r="FZ11" s="106"/>
      <c r="GA11" s="106"/>
      <c r="GB11" s="106"/>
      <c r="GC11" s="106"/>
      <c r="GD11" s="106"/>
      <c r="GE11" s="106"/>
      <c r="GF11" s="106"/>
      <c r="GG11" s="106"/>
      <c r="GH11" s="106"/>
      <c r="GI11" s="106"/>
      <c r="GJ11" s="106"/>
      <c r="GK11" s="106"/>
      <c r="GL11" s="106"/>
      <c r="GM11" s="106"/>
      <c r="GN11" s="106"/>
      <c r="GO11" s="106"/>
      <c r="GP11" s="106"/>
      <c r="GQ11" s="106"/>
      <c r="GR11" s="106"/>
      <c r="GS11" s="106"/>
      <c r="GT11" s="106"/>
      <c r="GU11" s="106"/>
      <c r="GV11" s="106"/>
      <c r="GW11" s="106"/>
      <c r="GX11" s="119">
        <f t="shared" ref="GX11:JI11" si="36">(GX6/GW6-1)*100</f>
        <v>0</v>
      </c>
      <c r="GY11" s="119">
        <f t="shared" si="36"/>
        <v>-0.83306988309918006</v>
      </c>
      <c r="GZ11" s="119">
        <f t="shared" si="36"/>
        <v>1.734985855801785</v>
      </c>
      <c r="HA11" s="119">
        <f t="shared" si="36"/>
        <v>0.25333939719212051</v>
      </c>
      <c r="HB11" s="119">
        <f t="shared" si="36"/>
        <v>-1.0315792101953769</v>
      </c>
      <c r="HC11" s="119">
        <f t="shared" si="36"/>
        <v>1.5200450794155662</v>
      </c>
      <c r="HD11" s="119">
        <f t="shared" si="36"/>
        <v>0.27540720649161798</v>
      </c>
      <c r="HE11" s="119">
        <f t="shared" si="36"/>
        <v>-0.93309156465937182</v>
      </c>
      <c r="HF11" s="119">
        <f t="shared" si="36"/>
        <v>1.0574284756164287</v>
      </c>
      <c r="HG11" s="119">
        <f t="shared" si="36"/>
        <v>1.0967114701193603</v>
      </c>
      <c r="HH11" s="119">
        <f t="shared" si="36"/>
        <v>-0.59495372407627478</v>
      </c>
      <c r="HI11" s="119">
        <f t="shared" si="36"/>
        <v>3.0431540503204069</v>
      </c>
      <c r="HJ11" s="119">
        <f t="shared" si="36"/>
        <v>0.64607749705083428</v>
      </c>
      <c r="HK11" s="119">
        <f t="shared" si="36"/>
        <v>0.86144354874035933</v>
      </c>
      <c r="HL11" s="119">
        <f t="shared" si="36"/>
        <v>-0.26749838972053297</v>
      </c>
      <c r="HM11" s="119">
        <f t="shared" si="36"/>
        <v>2.9911508284282462</v>
      </c>
      <c r="HN11" s="119">
        <f t="shared" si="36"/>
        <v>-0.16679539479244054</v>
      </c>
      <c r="HO11" s="119">
        <f t="shared" si="36"/>
        <v>1.5536806101298817</v>
      </c>
      <c r="HP11" s="119">
        <f t="shared" si="36"/>
        <v>1.038313794484047</v>
      </c>
      <c r="HQ11" s="119">
        <f t="shared" si="36"/>
        <v>1.3703795166879029</v>
      </c>
      <c r="HR11" s="119">
        <f t="shared" si="36"/>
        <v>1.706754863879123</v>
      </c>
      <c r="HS11" s="119">
        <f t="shared" si="36"/>
        <v>3.3451315182143393</v>
      </c>
      <c r="HT11" s="119">
        <f t="shared" si="36"/>
        <v>-2.6900005347373801</v>
      </c>
      <c r="HU11" s="119">
        <f t="shared" si="36"/>
        <v>1.6767795945283659</v>
      </c>
      <c r="HV11" s="119">
        <f t="shared" si="36"/>
        <v>0.1169147825018424</v>
      </c>
      <c r="HW11" s="119">
        <f t="shared" si="36"/>
        <v>-3.7656331480184768E-2</v>
      </c>
      <c r="HX11" s="119">
        <f t="shared" si="36"/>
        <v>-0.27356253049889423</v>
      </c>
      <c r="HY11" s="119">
        <f t="shared" si="36"/>
        <v>1.5613122594918316</v>
      </c>
      <c r="HZ11" s="119">
        <f t="shared" si="36"/>
        <v>2.4885149147373165</v>
      </c>
      <c r="IA11" s="119">
        <f t="shared" si="36"/>
        <v>2.7482916079988762</v>
      </c>
      <c r="IB11" s="119">
        <f t="shared" si="36"/>
        <v>-0.60285965349909931</v>
      </c>
      <c r="IC11" s="119">
        <f t="shared" si="36"/>
        <v>0.568331736631289</v>
      </c>
      <c r="ID11" s="119">
        <f t="shared" si="36"/>
        <v>0.39927920519609028</v>
      </c>
      <c r="IE11" s="119">
        <f t="shared" si="36"/>
        <v>9.2309984939320522E-2</v>
      </c>
      <c r="IF11" s="119">
        <f t="shared" si="36"/>
        <v>-1.4484137106988149</v>
      </c>
      <c r="IG11" s="119">
        <f t="shared" si="36"/>
        <v>1.681339454643016</v>
      </c>
      <c r="IH11" s="119">
        <f t="shared" si="36"/>
        <v>1.0369025352126915</v>
      </c>
      <c r="II11" s="119">
        <f t="shared" si="36"/>
        <v>-1.4144008814395148</v>
      </c>
      <c r="IJ11" s="119">
        <f t="shared" si="36"/>
        <v>0.3099742875660727</v>
      </c>
      <c r="IK11" s="119">
        <f t="shared" si="36"/>
        <v>1.2280261734490816</v>
      </c>
      <c r="IL11" s="119">
        <f t="shared" si="36"/>
        <v>1.9432039606185558</v>
      </c>
      <c r="IM11" s="119">
        <f t="shared" si="36"/>
        <v>2.5024628747185584</v>
      </c>
      <c r="IN11" s="119">
        <f t="shared" si="36"/>
        <v>-2.6963258918355049</v>
      </c>
      <c r="IO11" s="119">
        <f t="shared" si="36"/>
        <v>-1.423784948144402</v>
      </c>
      <c r="IP11" s="119">
        <f t="shared" si="36"/>
        <v>-0.62139272590311379</v>
      </c>
      <c r="IQ11" s="119">
        <f t="shared" si="36"/>
        <v>-0.59957596946338398</v>
      </c>
      <c r="IR11" s="119">
        <f t="shared" si="36"/>
        <v>3.0539456231123197</v>
      </c>
      <c r="IS11" s="119">
        <f t="shared" si="36"/>
        <v>2.7497724444072169</v>
      </c>
      <c r="IT11" s="119">
        <f t="shared" si="36"/>
        <v>0.4445393010107157</v>
      </c>
      <c r="IU11" s="119">
        <f t="shared" si="36"/>
        <v>-2.7320800471001827</v>
      </c>
      <c r="IV11" s="119">
        <f t="shared" si="36"/>
        <v>-0.57389886635689225</v>
      </c>
      <c r="IW11" s="119">
        <f t="shared" si="36"/>
        <v>0.27602777188031613</v>
      </c>
      <c r="IX11" s="119">
        <f t="shared" si="36"/>
        <v>0.72173025983794936</v>
      </c>
      <c r="IY11" s="119">
        <f t="shared" si="36"/>
        <v>2.6443004144672155</v>
      </c>
      <c r="IZ11" s="119">
        <f t="shared" si="36"/>
        <v>-1.9553115055170767</v>
      </c>
      <c r="JA11" s="119">
        <f t="shared" si="36"/>
        <v>-0.78071596145442568</v>
      </c>
      <c r="JB11" s="119">
        <f t="shared" si="36"/>
        <v>0.32086166791345239</v>
      </c>
      <c r="JC11" s="119">
        <f t="shared" si="36"/>
        <v>-5.3360517121958662E-2</v>
      </c>
      <c r="JD11" s="119">
        <f t="shared" si="36"/>
        <v>2.5287356321839205</v>
      </c>
      <c r="JE11" s="119">
        <f t="shared" si="36"/>
        <v>2.3168908819132916</v>
      </c>
      <c r="JF11" s="119">
        <f t="shared" si="36"/>
        <v>-0.58436815193573244</v>
      </c>
      <c r="JG11" s="119">
        <f t="shared" si="36"/>
        <v>-2.2777369581190254</v>
      </c>
      <c r="JH11" s="119">
        <f t="shared" si="36"/>
        <v>1.4285714285714235</v>
      </c>
      <c r="JI11" s="119">
        <f t="shared" si="36"/>
        <v>1.1860637509266025</v>
      </c>
      <c r="JJ11" s="119">
        <f>(JJ6/JI6-1)*100</f>
        <v>3.076923076923066</v>
      </c>
      <c r="JK11" s="119">
        <f>(JK6/JJ6-1)*100</f>
        <v>1.8479033404406708</v>
      </c>
    </row>
    <row r="12" spans="1:277" s="31" customFormat="1" ht="15.6" x14ac:dyDescent="0.3">
      <c r="A12" s="108"/>
      <c r="B12" s="67"/>
      <c r="C12" s="67"/>
      <c r="D12" s="67"/>
      <c r="E12" s="67"/>
      <c r="F12" s="67"/>
      <c r="G12" s="68"/>
      <c r="H12" s="68"/>
      <c r="I12" s="68"/>
      <c r="J12" s="68"/>
      <c r="K12" s="68"/>
      <c r="L12" s="68"/>
      <c r="M12" s="69"/>
      <c r="N12" s="68"/>
      <c r="O12" s="68"/>
      <c r="P12" s="68"/>
      <c r="Q12" s="68"/>
      <c r="R12" s="68"/>
      <c r="S12" s="68"/>
      <c r="T12" s="68"/>
      <c r="U12" s="68"/>
      <c r="V12" s="68"/>
      <c r="W12" s="68"/>
      <c r="X12" s="68"/>
      <c r="Y12" s="69"/>
      <c r="Z12" s="68"/>
      <c r="AA12" s="68"/>
      <c r="AB12" s="68"/>
      <c r="AC12" s="68"/>
      <c r="AD12" s="68"/>
      <c r="AE12" s="68"/>
      <c r="AF12" s="68"/>
      <c r="AG12" s="68"/>
      <c r="AH12" s="68"/>
      <c r="AI12" s="68"/>
      <c r="AJ12" s="68"/>
      <c r="AK12" s="69"/>
      <c r="AL12" s="68"/>
      <c r="AM12" s="68"/>
      <c r="AN12" s="68"/>
      <c r="AO12" s="68"/>
      <c r="AP12" s="68"/>
      <c r="AQ12" s="68"/>
      <c r="AR12" s="68"/>
      <c r="AS12" s="68"/>
      <c r="AT12" s="68"/>
      <c r="AU12" s="68"/>
      <c r="AV12" s="68"/>
      <c r="AW12" s="69"/>
      <c r="AX12" s="68"/>
      <c r="AY12" s="68"/>
      <c r="AZ12" s="68"/>
      <c r="BA12" s="68"/>
      <c r="BB12" s="68"/>
      <c r="BC12" s="68"/>
      <c r="BD12" s="68"/>
      <c r="BE12" s="68"/>
      <c r="BF12" s="68"/>
      <c r="BG12" s="68"/>
      <c r="BH12" s="68"/>
      <c r="BI12" s="69"/>
      <c r="BJ12" s="68"/>
      <c r="BK12" s="68"/>
      <c r="BL12" s="68"/>
      <c r="BM12" s="68"/>
      <c r="BN12" s="68"/>
      <c r="BO12" s="68"/>
      <c r="BP12" s="68"/>
      <c r="BQ12" s="68"/>
      <c r="BR12" s="68"/>
      <c r="BS12" s="68"/>
      <c r="BT12" s="68"/>
      <c r="BU12" s="69"/>
      <c r="BV12" s="68"/>
      <c r="BW12" s="68"/>
      <c r="BX12" s="68"/>
      <c r="BY12" s="68"/>
      <c r="BZ12" s="68"/>
      <c r="CA12" s="68"/>
      <c r="CB12" s="68"/>
      <c r="CC12" s="68"/>
      <c r="CD12" s="68"/>
      <c r="CE12" s="68"/>
      <c r="CF12" s="68"/>
      <c r="CG12" s="69"/>
      <c r="CH12" s="68"/>
      <c r="CI12" s="68"/>
      <c r="CJ12" s="68"/>
      <c r="CK12" s="68"/>
      <c r="CL12" s="68"/>
      <c r="CM12" s="68"/>
      <c r="CN12" s="68"/>
      <c r="CO12" s="68"/>
      <c r="CP12" s="68"/>
      <c r="CQ12" s="68"/>
      <c r="CR12" s="68"/>
      <c r="CS12" s="69"/>
      <c r="CT12" s="68"/>
      <c r="CU12" s="70"/>
      <c r="CV12" s="70"/>
      <c r="CW12" s="70"/>
      <c r="CX12" s="70"/>
      <c r="CY12" s="70"/>
      <c r="CZ12" s="70"/>
      <c r="DA12" s="70"/>
      <c r="DB12" s="70"/>
      <c r="DC12" s="70"/>
      <c r="DD12" s="70"/>
      <c r="DE12" s="70"/>
      <c r="DF12" s="70"/>
      <c r="DG12" s="70"/>
      <c r="DH12" s="70"/>
      <c r="DI12" s="70"/>
      <c r="DJ12" s="70"/>
      <c r="DK12" s="70"/>
      <c r="DL12" s="70"/>
      <c r="DM12" s="70"/>
      <c r="DN12" s="70"/>
      <c r="DO12" s="70"/>
      <c r="DP12" s="70"/>
      <c r="DQ12" s="70"/>
      <c r="DR12" s="70"/>
      <c r="DS12" s="70"/>
      <c r="DT12" s="70"/>
      <c r="DU12" s="70"/>
      <c r="DV12" s="70"/>
      <c r="DW12" s="70"/>
      <c r="DX12" s="70"/>
      <c r="DY12" s="70"/>
      <c r="DZ12" s="70"/>
      <c r="EA12" s="70"/>
      <c r="EB12" s="70"/>
      <c r="EC12" s="70"/>
      <c r="ED12" s="70"/>
      <c r="EE12" s="70"/>
      <c r="EF12" s="70"/>
      <c r="EG12" s="70"/>
      <c r="EH12" s="70"/>
      <c r="EI12" s="70"/>
      <c r="EJ12" s="70"/>
      <c r="EK12" s="70"/>
      <c r="EL12" s="71"/>
      <c r="EM12" s="71"/>
      <c r="EN12" s="71"/>
      <c r="EO12" s="71"/>
      <c r="EP12" s="71"/>
      <c r="EQ12" s="71"/>
      <c r="ER12" s="71"/>
      <c r="ES12" s="71"/>
      <c r="ET12" s="71"/>
      <c r="EU12" s="71"/>
      <c r="EV12" s="71"/>
      <c r="EW12" s="71"/>
      <c r="EX12" s="71"/>
      <c r="EY12" s="71"/>
      <c r="EZ12" s="71"/>
      <c r="FA12" s="71"/>
      <c r="FB12" s="106"/>
      <c r="FC12" s="106"/>
      <c r="FD12" s="106"/>
      <c r="FE12" s="106"/>
      <c r="FF12" s="106"/>
      <c r="FG12" s="106"/>
      <c r="FH12" s="106"/>
      <c r="FI12" s="106"/>
      <c r="FJ12" s="106"/>
      <c r="FK12" s="106"/>
      <c r="FL12" s="106"/>
      <c r="FM12" s="106"/>
      <c r="FN12" s="106"/>
      <c r="FO12" s="106"/>
      <c r="FP12" s="106"/>
      <c r="FQ12" s="106"/>
      <c r="FR12" s="106"/>
      <c r="FS12" s="106"/>
      <c r="FT12" s="106"/>
      <c r="FU12" s="106"/>
      <c r="FV12" s="106"/>
      <c r="FW12"/>
      <c r="FX12"/>
      <c r="FY12" s="106"/>
      <c r="FZ12" s="106"/>
      <c r="GA12" s="106"/>
      <c r="GB12" s="106"/>
      <c r="GC12" s="106"/>
      <c r="GD12" s="106"/>
      <c r="GE12" s="106"/>
      <c r="GF12" s="106"/>
      <c r="GG12" s="106"/>
      <c r="GH12" s="106"/>
      <c r="GI12" s="106"/>
      <c r="GJ12" s="106"/>
      <c r="GK12" s="106"/>
      <c r="GL12" s="106"/>
      <c r="GM12" s="106"/>
      <c r="GN12" s="106"/>
      <c r="GO12" s="106"/>
      <c r="GP12" s="106"/>
      <c r="GQ12" s="106"/>
      <c r="GR12" s="106"/>
      <c r="GS12" s="106"/>
      <c r="GT12" s="106"/>
      <c r="GU12" s="106"/>
      <c r="GV12" s="106"/>
      <c r="GW12" s="106"/>
      <c r="GX12" s="116"/>
      <c r="GY12" s="116"/>
      <c r="GZ12" s="116"/>
      <c r="HA12" s="116"/>
      <c r="HB12" s="116"/>
      <c r="HC12" s="116"/>
      <c r="HD12" s="116"/>
      <c r="HE12" s="116"/>
      <c r="HF12" s="116"/>
      <c r="HG12" s="116"/>
      <c r="HH12" s="116"/>
      <c r="HI12" s="116"/>
      <c r="HJ12" s="116"/>
      <c r="HK12" s="116"/>
      <c r="HL12" s="116"/>
      <c r="HM12" s="116"/>
      <c r="HN12" s="116"/>
      <c r="HO12" s="116"/>
      <c r="HP12" s="116"/>
      <c r="HQ12" s="116"/>
      <c r="HR12" s="116"/>
      <c r="HS12" s="116"/>
      <c r="HT12" s="116"/>
      <c r="HU12" s="116"/>
      <c r="HV12" s="116"/>
      <c r="HW12" s="116"/>
      <c r="HX12" s="116"/>
      <c r="HY12" s="116"/>
      <c r="HZ12" s="116"/>
      <c r="IA12" s="116"/>
      <c r="IB12" s="116"/>
      <c r="IC12" s="116"/>
      <c r="ID12" s="116"/>
      <c r="IE12" s="116"/>
      <c r="IF12" s="116"/>
      <c r="IG12" s="116"/>
      <c r="IH12" s="116"/>
      <c r="II12" s="116"/>
      <c r="IJ12" s="116"/>
      <c r="IK12" s="116"/>
      <c r="IL12" s="116"/>
      <c r="IM12" s="116"/>
      <c r="IN12" s="116"/>
      <c r="IO12" s="116"/>
      <c r="IP12" s="116"/>
      <c r="IQ12" s="116"/>
      <c r="IR12" s="116"/>
      <c r="IS12" s="116"/>
      <c r="IT12" s="116"/>
      <c r="IU12" s="116"/>
      <c r="IV12" s="116"/>
      <c r="IW12" s="116"/>
      <c r="IX12" s="116"/>
      <c r="IY12" s="116"/>
      <c r="IZ12" s="116"/>
      <c r="JA12" s="116"/>
      <c r="JB12" s="116"/>
      <c r="JC12" s="116"/>
      <c r="JD12" s="116"/>
      <c r="JE12" s="116"/>
      <c r="JF12" s="116"/>
      <c r="JG12" s="116"/>
      <c r="JH12" s="116"/>
      <c r="JI12" s="116"/>
      <c r="JJ12" s="116"/>
      <c r="JK12" s="116"/>
    </row>
    <row r="13" spans="1:277" s="31" customFormat="1" ht="15.6" x14ac:dyDescent="0.3">
      <c r="A13" s="108" t="s">
        <v>157</v>
      </c>
      <c r="B13" s="67"/>
      <c r="C13" s="67"/>
      <c r="D13" s="67"/>
      <c r="E13" s="67"/>
      <c r="F13" s="67"/>
      <c r="G13" s="68"/>
      <c r="H13" s="68"/>
      <c r="I13" s="68"/>
      <c r="J13" s="68"/>
      <c r="K13" s="68"/>
      <c r="L13" s="68"/>
      <c r="M13" s="69"/>
      <c r="N13" s="68"/>
      <c r="O13" s="68"/>
      <c r="P13" s="68"/>
      <c r="Q13" s="68"/>
      <c r="R13" s="68"/>
      <c r="S13" s="68"/>
      <c r="T13" s="68"/>
      <c r="U13" s="68"/>
      <c r="V13" s="68"/>
      <c r="W13" s="68"/>
      <c r="X13" s="68"/>
      <c r="Y13" s="69"/>
      <c r="Z13" s="68"/>
      <c r="AA13" s="68"/>
      <c r="AB13" s="68"/>
      <c r="AC13" s="68"/>
      <c r="AD13" s="68"/>
      <c r="AE13" s="68"/>
      <c r="AF13" s="68"/>
      <c r="AG13" s="68"/>
      <c r="AH13" s="68"/>
      <c r="AI13" s="68"/>
      <c r="AJ13" s="68"/>
      <c r="AK13" s="69"/>
      <c r="AL13" s="68"/>
      <c r="AM13" s="68"/>
      <c r="AN13" s="68"/>
      <c r="AO13" s="68"/>
      <c r="AP13" s="68"/>
      <c r="AQ13" s="68"/>
      <c r="AR13" s="68"/>
      <c r="AS13" s="68"/>
      <c r="AT13" s="68"/>
      <c r="AU13" s="68"/>
      <c r="AV13" s="68"/>
      <c r="AW13" s="69"/>
      <c r="AX13" s="68"/>
      <c r="AY13" s="68"/>
      <c r="AZ13" s="68"/>
      <c r="BA13" s="68"/>
      <c r="BB13" s="68"/>
      <c r="BC13" s="68"/>
      <c r="BD13" s="68"/>
      <c r="BE13" s="68"/>
      <c r="BF13" s="68"/>
      <c r="BG13" s="68"/>
      <c r="BH13" s="68"/>
      <c r="BI13" s="69"/>
      <c r="BJ13" s="68"/>
      <c r="BK13" s="68"/>
      <c r="BL13" s="68"/>
      <c r="BM13" s="68"/>
      <c r="BN13" s="68"/>
      <c r="BO13" s="68"/>
      <c r="BP13" s="68"/>
      <c r="BQ13" s="68"/>
      <c r="BR13" s="68"/>
      <c r="BS13" s="68"/>
      <c r="BT13" s="68"/>
      <c r="BU13" s="69"/>
      <c r="BV13" s="68"/>
      <c r="BW13" s="68"/>
      <c r="BX13" s="68"/>
      <c r="BY13" s="68"/>
      <c r="BZ13" s="68"/>
      <c r="CA13" s="68"/>
      <c r="CB13" s="68"/>
      <c r="CC13" s="68"/>
      <c r="CD13" s="68"/>
      <c r="CE13" s="68"/>
      <c r="CF13" s="68"/>
      <c r="CG13" s="69"/>
      <c r="CH13" s="68"/>
      <c r="CI13" s="68"/>
      <c r="CJ13" s="68"/>
      <c r="CK13" s="68"/>
      <c r="CL13" s="68"/>
      <c r="CM13" s="68"/>
      <c r="CN13" s="68"/>
      <c r="CO13" s="68"/>
      <c r="CP13" s="68"/>
      <c r="CQ13" s="68"/>
      <c r="CR13" s="68"/>
      <c r="CS13" s="69"/>
      <c r="CT13" s="68"/>
      <c r="CU13" s="70"/>
      <c r="CV13" s="70"/>
      <c r="CW13" s="70"/>
      <c r="CX13" s="70"/>
      <c r="CY13" s="70"/>
      <c r="CZ13" s="70"/>
      <c r="DA13" s="70"/>
      <c r="DB13" s="70"/>
      <c r="DC13" s="70"/>
      <c r="DD13" s="70"/>
      <c r="DE13" s="70"/>
      <c r="DF13" s="70"/>
      <c r="DG13" s="70"/>
      <c r="DH13" s="70"/>
      <c r="DI13" s="70"/>
      <c r="DJ13" s="70"/>
      <c r="DK13" s="70"/>
      <c r="DL13" s="70"/>
      <c r="DM13" s="70"/>
      <c r="DN13" s="70"/>
      <c r="DO13" s="70"/>
      <c r="DP13" s="70"/>
      <c r="DQ13" s="70"/>
      <c r="DR13" s="70"/>
      <c r="DS13" s="70"/>
      <c r="DT13" s="70"/>
      <c r="DU13" s="70"/>
      <c r="DV13" s="70"/>
      <c r="DW13" s="70"/>
      <c r="DX13" s="70"/>
      <c r="DY13" s="70"/>
      <c r="DZ13" s="70"/>
      <c r="EA13" s="70"/>
      <c r="EB13" s="70"/>
      <c r="EC13" s="70"/>
      <c r="ED13" s="70"/>
      <c r="EE13" s="70"/>
      <c r="EF13" s="70"/>
      <c r="EG13" s="70"/>
      <c r="EH13" s="70"/>
      <c r="EI13" s="70"/>
      <c r="EJ13" s="70"/>
      <c r="EK13" s="70"/>
      <c r="EL13" s="71"/>
      <c r="EM13" s="71"/>
      <c r="EN13" s="71"/>
      <c r="EO13" s="71"/>
      <c r="EP13" s="71"/>
      <c r="EQ13" s="71"/>
      <c r="ER13" s="71"/>
      <c r="ES13" s="71"/>
      <c r="ET13" s="71"/>
      <c r="EU13" s="71"/>
      <c r="EV13" s="71"/>
      <c r="EW13" s="71"/>
      <c r="EX13" s="71"/>
      <c r="EY13" s="71"/>
      <c r="EZ13" s="71"/>
      <c r="FA13" s="71"/>
      <c r="FB13" s="106"/>
      <c r="FC13" s="106"/>
      <c r="FD13" s="106"/>
      <c r="FE13" s="106"/>
      <c r="FF13" s="106"/>
      <c r="FG13" s="106"/>
      <c r="FH13" s="106"/>
      <c r="FI13" s="106"/>
      <c r="FJ13" s="106"/>
      <c r="FK13" s="106"/>
      <c r="FL13" s="106"/>
      <c r="FM13" s="106"/>
      <c r="FN13" s="106"/>
      <c r="FO13" s="106"/>
      <c r="FP13" s="106"/>
      <c r="FQ13" s="106"/>
      <c r="FR13" s="106"/>
      <c r="FS13" s="106"/>
      <c r="FT13" s="106"/>
      <c r="FU13" s="106"/>
      <c r="FV13" s="106"/>
      <c r="FW13"/>
      <c r="FX13"/>
      <c r="FY13" s="106"/>
      <c r="FZ13" s="106"/>
      <c r="GA13" s="106"/>
      <c r="GB13" s="106"/>
      <c r="GC13" s="106"/>
      <c r="GD13" s="106"/>
      <c r="GE13" s="106"/>
      <c r="GF13" s="106"/>
      <c r="GG13" s="106"/>
      <c r="GH13" s="106"/>
      <c r="GI13" s="106"/>
      <c r="GJ13" s="106"/>
      <c r="GK13" s="106"/>
      <c r="GL13" s="106"/>
      <c r="GM13" s="106"/>
      <c r="GN13" s="106"/>
      <c r="GO13" s="106"/>
      <c r="GP13" s="106"/>
      <c r="GQ13" s="106"/>
      <c r="GR13" s="106"/>
      <c r="GS13" s="106"/>
      <c r="GT13" s="106"/>
      <c r="GU13" s="106"/>
      <c r="GV13" s="106"/>
      <c r="GW13" s="106"/>
      <c r="GX13" s="86">
        <f t="shared" ref="GX13:JI13" si="37">(GX17/GL17-1)*100</f>
        <v>-4.7480503772057041</v>
      </c>
      <c r="GY13" s="86">
        <f t="shared" si="37"/>
        <v>-3.8701279352394868</v>
      </c>
      <c r="GZ13" s="86">
        <f t="shared" si="37"/>
        <v>-2.6856679509418391</v>
      </c>
      <c r="HA13" s="86">
        <f t="shared" si="37"/>
        <v>-2.0353905837657726</v>
      </c>
      <c r="HB13" s="86">
        <f t="shared" si="37"/>
        <v>-0.67590702488498078</v>
      </c>
      <c r="HC13" s="86">
        <f t="shared" si="37"/>
        <v>0.63804242604503791</v>
      </c>
      <c r="HD13" s="86">
        <f t="shared" si="37"/>
        <v>-1.0955541261691737</v>
      </c>
      <c r="HE13" s="86">
        <f t="shared" si="37"/>
        <v>-1.2792243219680532</v>
      </c>
      <c r="HF13" s="86">
        <f t="shared" si="37"/>
        <v>-1.0880316518298683</v>
      </c>
      <c r="HG13" s="86">
        <f t="shared" si="37"/>
        <v>-0.68780634014721231</v>
      </c>
      <c r="HH13" s="86">
        <f t="shared" si="37"/>
        <v>0.4455643024172673</v>
      </c>
      <c r="HI13" s="86">
        <f t="shared" si="37"/>
        <v>7.1909997254027358</v>
      </c>
      <c r="HJ13" s="86">
        <f t="shared" si="37"/>
        <v>7.0922488136074158</v>
      </c>
      <c r="HK13" s="86">
        <f t="shared" si="37"/>
        <v>6.815585550844383</v>
      </c>
      <c r="HL13" s="86">
        <f t="shared" si="37"/>
        <v>6.6955192542658137</v>
      </c>
      <c r="HM13" s="86">
        <f t="shared" si="37"/>
        <v>9.0774366376850537</v>
      </c>
      <c r="HN13" s="86">
        <f t="shared" si="37"/>
        <v>9.8665379164620148</v>
      </c>
      <c r="HO13" s="86">
        <f t="shared" si="37"/>
        <v>10.862519059870612</v>
      </c>
      <c r="HP13" s="86">
        <f t="shared" si="37"/>
        <v>12.873974089545204</v>
      </c>
      <c r="HQ13" s="86">
        <f t="shared" si="37"/>
        <v>11.808636554707164</v>
      </c>
      <c r="HR13" s="86">
        <f t="shared" si="37"/>
        <v>10.546448869918091</v>
      </c>
      <c r="HS13" s="86">
        <f t="shared" si="37"/>
        <v>9.2047499141908453</v>
      </c>
      <c r="HT13" s="86">
        <f t="shared" si="37"/>
        <v>7.9669395251618758</v>
      </c>
      <c r="HU13" s="86">
        <f t="shared" si="37"/>
        <v>6.7512150720929975</v>
      </c>
      <c r="HV13" s="86">
        <f t="shared" si="37"/>
        <v>6.4379932693510167</v>
      </c>
      <c r="HW13" s="86">
        <f t="shared" si="37"/>
        <v>6.9091209117624119</v>
      </c>
      <c r="HX13" s="86">
        <f t="shared" si="37"/>
        <v>6.0334100965602655</v>
      </c>
      <c r="HY13" s="86">
        <f t="shared" si="37"/>
        <v>3.300723350168111</v>
      </c>
      <c r="HZ13" s="86">
        <f t="shared" si="37"/>
        <v>2.7345973630191533</v>
      </c>
      <c r="IA13" s="86">
        <f t="shared" si="37"/>
        <v>3.7041073444368244</v>
      </c>
      <c r="IB13" s="86">
        <f t="shared" si="37"/>
        <v>1.7582458398200274</v>
      </c>
      <c r="IC13" s="86">
        <f t="shared" si="37"/>
        <v>2.5696520589632232</v>
      </c>
      <c r="ID13" s="86">
        <f t="shared" si="37"/>
        <v>4.6862461510174258</v>
      </c>
      <c r="IE13" s="86">
        <f t="shared" si="37"/>
        <v>5.3145269970650055</v>
      </c>
      <c r="IF13" s="86">
        <f t="shared" si="37"/>
        <v>5.0760446845466989</v>
      </c>
      <c r="IG13" s="86">
        <f t="shared" si="37"/>
        <v>4.4395934938355364</v>
      </c>
      <c r="IH13" s="86">
        <f t="shared" si="37"/>
        <v>4.3174636754148343</v>
      </c>
      <c r="II13" s="86">
        <f t="shared" si="37"/>
        <v>3.5451959819248202</v>
      </c>
      <c r="IJ13" s="86">
        <f t="shared" si="37"/>
        <v>3.4295747101066976</v>
      </c>
      <c r="IK13" s="86">
        <f t="shared" si="37"/>
        <v>3.3590716959059685</v>
      </c>
      <c r="IL13" s="86">
        <f t="shared" si="37"/>
        <v>3.2089233227006186</v>
      </c>
      <c r="IM13" s="86">
        <f t="shared" si="37"/>
        <v>1.8022251822946478</v>
      </c>
      <c r="IN13" s="86">
        <f t="shared" si="37"/>
        <v>1.252310392732614</v>
      </c>
      <c r="IO13" s="86">
        <f t="shared" si="37"/>
        <v>1.3267700548199812</v>
      </c>
      <c r="IP13" s="86">
        <f t="shared" si="37"/>
        <v>0.59244026095761626</v>
      </c>
      <c r="IQ13" s="86">
        <f t="shared" si="37"/>
        <v>-6.8454805358653115E-2</v>
      </c>
      <c r="IR13" s="86">
        <f t="shared" si="37"/>
        <v>1.0765126195342312</v>
      </c>
      <c r="IS13" s="86">
        <f t="shared" si="37"/>
        <v>5.2559271673344288</v>
      </c>
      <c r="IT13" s="86">
        <f t="shared" si="37"/>
        <v>3.4734343561925396</v>
      </c>
      <c r="IU13" s="86">
        <f t="shared" si="37"/>
        <v>3.2095629613392296</v>
      </c>
      <c r="IV13" s="86">
        <f t="shared" si="37"/>
        <v>3.0624273823622872</v>
      </c>
      <c r="IW13" s="86">
        <f t="shared" si="37"/>
        <v>3.1564765573454778</v>
      </c>
      <c r="IX13" s="86">
        <f t="shared" si="37"/>
        <v>3.5873873620833718</v>
      </c>
      <c r="IY13" s="86">
        <f t="shared" si="37"/>
        <v>3.0071875649395396</v>
      </c>
      <c r="IZ13" s="86">
        <f t="shared" si="37"/>
        <v>3.82586051424747</v>
      </c>
      <c r="JA13" s="86">
        <f t="shared" si="37"/>
        <v>3.9352073900426054</v>
      </c>
      <c r="JB13" s="86">
        <f t="shared" si="37"/>
        <v>3.4811705908746937</v>
      </c>
      <c r="JC13" s="86">
        <f t="shared" si="37"/>
        <v>4.0449951134574391</v>
      </c>
      <c r="JD13" s="86">
        <f t="shared" si="37"/>
        <v>7.9905069890777725</v>
      </c>
      <c r="JE13" s="86">
        <f t="shared" si="37"/>
        <v>5.5072193071911357</v>
      </c>
      <c r="JF13" s="86">
        <f t="shared" si="37"/>
        <v>6.0018307641906965</v>
      </c>
      <c r="JG13" s="86">
        <f t="shared" si="37"/>
        <v>4.6893421340141295</v>
      </c>
      <c r="JH13" s="86">
        <f t="shared" si="37"/>
        <v>6.9132957168584586</v>
      </c>
      <c r="JI13" s="86">
        <f t="shared" si="37"/>
        <v>8.8816670250301719</v>
      </c>
      <c r="JJ13" s="86">
        <f>(JJ17/IX17-1)*100</f>
        <v>11.718529318103021</v>
      </c>
      <c r="JK13" s="86">
        <f>(JK17/IY17-1)*100</f>
        <v>13.128695692556525</v>
      </c>
    </row>
    <row r="14" spans="1:277" s="31" customFormat="1" ht="15.6" x14ac:dyDescent="0.3">
      <c r="A14" s="108" t="s">
        <v>158</v>
      </c>
      <c r="B14" s="67"/>
      <c r="C14" s="67"/>
      <c r="D14" s="67"/>
      <c r="E14" s="67"/>
      <c r="F14" s="67"/>
      <c r="G14" s="68"/>
      <c r="H14" s="68"/>
      <c r="I14" s="68"/>
      <c r="J14" s="68"/>
      <c r="K14" s="68"/>
      <c r="L14" s="68"/>
      <c r="M14" s="69"/>
      <c r="N14" s="68"/>
      <c r="O14" s="68"/>
      <c r="P14" s="68"/>
      <c r="Q14" s="68"/>
      <c r="R14" s="68"/>
      <c r="S14" s="68"/>
      <c r="T14" s="68"/>
      <c r="U14" s="68"/>
      <c r="V14" s="68"/>
      <c r="W14" s="68"/>
      <c r="X14" s="68"/>
      <c r="Y14" s="69"/>
      <c r="Z14" s="68"/>
      <c r="AA14" s="68"/>
      <c r="AB14" s="68"/>
      <c r="AC14" s="68"/>
      <c r="AD14" s="68"/>
      <c r="AE14" s="68"/>
      <c r="AF14" s="68"/>
      <c r="AG14" s="68"/>
      <c r="AH14" s="68"/>
      <c r="AI14" s="68"/>
      <c r="AJ14" s="68"/>
      <c r="AK14" s="69"/>
      <c r="AL14" s="68"/>
      <c r="AM14" s="68"/>
      <c r="AN14" s="68"/>
      <c r="AO14" s="68"/>
      <c r="AP14" s="68"/>
      <c r="AQ14" s="68"/>
      <c r="AR14" s="68"/>
      <c r="AS14" s="68"/>
      <c r="AT14" s="68"/>
      <c r="AU14" s="68"/>
      <c r="AV14" s="68"/>
      <c r="AW14" s="69"/>
      <c r="AX14" s="68"/>
      <c r="AY14" s="68"/>
      <c r="AZ14" s="68"/>
      <c r="BA14" s="68"/>
      <c r="BB14" s="68"/>
      <c r="BC14" s="68"/>
      <c r="BD14" s="68"/>
      <c r="BE14" s="68"/>
      <c r="BF14" s="68"/>
      <c r="BG14" s="68"/>
      <c r="BH14" s="68"/>
      <c r="BI14" s="69"/>
      <c r="BJ14" s="68"/>
      <c r="BK14" s="68"/>
      <c r="BL14" s="68"/>
      <c r="BM14" s="68"/>
      <c r="BN14" s="68"/>
      <c r="BO14" s="68"/>
      <c r="BP14" s="68"/>
      <c r="BQ14" s="68"/>
      <c r="BR14" s="68"/>
      <c r="BS14" s="68"/>
      <c r="BT14" s="68"/>
      <c r="BU14" s="69"/>
      <c r="BV14" s="68"/>
      <c r="BW14" s="68"/>
      <c r="BX14" s="68"/>
      <c r="BY14" s="68"/>
      <c r="BZ14" s="68"/>
      <c r="CA14" s="68"/>
      <c r="CB14" s="68"/>
      <c r="CC14" s="68"/>
      <c r="CD14" s="68"/>
      <c r="CE14" s="68"/>
      <c r="CF14" s="68"/>
      <c r="CG14" s="69"/>
      <c r="CH14" s="68"/>
      <c r="CI14" s="68"/>
      <c r="CJ14" s="68"/>
      <c r="CK14" s="68"/>
      <c r="CL14" s="68"/>
      <c r="CM14" s="68"/>
      <c r="CN14" s="68"/>
      <c r="CO14" s="68"/>
      <c r="CP14" s="68"/>
      <c r="CQ14" s="68"/>
      <c r="CR14" s="68"/>
      <c r="CS14" s="69"/>
      <c r="CT14" s="68"/>
      <c r="CU14" s="70"/>
      <c r="CV14" s="70"/>
      <c r="CW14" s="70"/>
      <c r="CX14" s="70"/>
      <c r="CY14" s="70"/>
      <c r="CZ14" s="70"/>
      <c r="DA14" s="70"/>
      <c r="DB14" s="70"/>
      <c r="DC14" s="70"/>
      <c r="DD14" s="70"/>
      <c r="DE14" s="70"/>
      <c r="DF14" s="70"/>
      <c r="DG14" s="70"/>
      <c r="DH14" s="70"/>
      <c r="DI14" s="70"/>
      <c r="DJ14" s="70"/>
      <c r="DK14" s="70"/>
      <c r="DL14" s="70"/>
      <c r="DM14" s="70"/>
      <c r="DN14" s="70"/>
      <c r="DO14" s="70"/>
      <c r="DP14" s="70"/>
      <c r="DQ14" s="70"/>
      <c r="DR14" s="70"/>
      <c r="DS14" s="70"/>
      <c r="DT14" s="70"/>
      <c r="DU14" s="70"/>
      <c r="DV14" s="70"/>
      <c r="DW14" s="70"/>
      <c r="DX14" s="70"/>
      <c r="DY14" s="70"/>
      <c r="DZ14" s="70"/>
      <c r="EA14" s="70"/>
      <c r="EB14" s="70"/>
      <c r="EC14" s="70"/>
      <c r="ED14" s="70"/>
      <c r="EE14" s="70"/>
      <c r="EF14" s="70"/>
      <c r="EG14" s="70"/>
      <c r="EH14" s="70"/>
      <c r="EI14" s="70"/>
      <c r="EJ14" s="70"/>
      <c r="EK14" s="70"/>
      <c r="EL14" s="71"/>
      <c r="EM14" s="71"/>
      <c r="EN14" s="71"/>
      <c r="EO14" s="71"/>
      <c r="EP14" s="71"/>
      <c r="EQ14" s="71"/>
      <c r="ER14" s="71"/>
      <c r="ES14" s="71"/>
      <c r="ET14" s="71"/>
      <c r="EU14" s="71"/>
      <c r="EV14" s="71"/>
      <c r="EW14" s="71"/>
      <c r="EX14" s="71"/>
      <c r="EY14" s="71"/>
      <c r="EZ14" s="71"/>
      <c r="FA14" s="71"/>
      <c r="FB14" s="106"/>
      <c r="FC14" s="106"/>
      <c r="FD14" s="106"/>
      <c r="FE14" s="106"/>
      <c r="FF14" s="106"/>
      <c r="FG14" s="106"/>
      <c r="FH14" s="106"/>
      <c r="FI14" s="106"/>
      <c r="FJ14" s="106"/>
      <c r="FK14" s="106"/>
      <c r="FL14" s="106"/>
      <c r="FM14" s="106"/>
      <c r="FN14" s="106"/>
      <c r="FO14" s="106"/>
      <c r="FP14" s="106"/>
      <c r="FQ14" s="106"/>
      <c r="FR14" s="106"/>
      <c r="FS14" s="106"/>
      <c r="FT14" s="106"/>
      <c r="FU14" s="106"/>
      <c r="FV14" s="106"/>
      <c r="FW14"/>
      <c r="FX14"/>
      <c r="FY14" s="106"/>
      <c r="FZ14" s="106"/>
      <c r="GA14" s="106"/>
      <c r="GB14" s="106"/>
      <c r="GC14" s="106"/>
      <c r="GD14" s="106"/>
      <c r="GE14" s="106"/>
      <c r="GF14" s="106"/>
      <c r="GG14" s="106"/>
      <c r="GH14" s="106"/>
      <c r="GI14" s="106"/>
      <c r="GJ14" s="106"/>
      <c r="GK14" s="106"/>
      <c r="GL14" s="106"/>
      <c r="GM14" s="106"/>
      <c r="GN14" s="106"/>
      <c r="GO14" s="106"/>
      <c r="GP14" s="106"/>
      <c r="GQ14" s="106"/>
      <c r="GR14" s="106"/>
      <c r="GS14" s="106"/>
      <c r="GT14" s="106"/>
      <c r="GU14" s="106"/>
      <c r="GV14" s="106"/>
      <c r="GW14" s="106"/>
      <c r="GX14" s="86">
        <f t="shared" ref="GX14:JI14" si="38">(GX18/GL18-1)*100</f>
        <v>0.45012125622179155</v>
      </c>
      <c r="GY14" s="86">
        <f t="shared" si="38"/>
        <v>-2.9549981187869778</v>
      </c>
      <c r="GZ14" s="86">
        <f t="shared" si="38"/>
        <v>-0.95903173785241158</v>
      </c>
      <c r="HA14" s="86">
        <f t="shared" si="38"/>
        <v>0.56249689587610785</v>
      </c>
      <c r="HB14" s="86">
        <f t="shared" si="38"/>
        <v>-2.4494703409960517</v>
      </c>
      <c r="HC14" s="86">
        <f t="shared" si="38"/>
        <v>1.8540761739875622</v>
      </c>
      <c r="HD14" s="86">
        <f t="shared" si="38"/>
        <v>3.5098798997987402</v>
      </c>
      <c r="HE14" s="86">
        <f t="shared" si="38"/>
        <v>2.0347597045188959</v>
      </c>
      <c r="HF14" s="86">
        <f t="shared" si="38"/>
        <v>2.6694045174537884</v>
      </c>
      <c r="HG14" s="86">
        <f t="shared" si="38"/>
        <v>4.8701495541515483</v>
      </c>
      <c r="HH14" s="86">
        <f t="shared" si="38"/>
        <v>1.6037679942030758</v>
      </c>
      <c r="HI14" s="86">
        <f t="shared" si="38"/>
        <v>4.0746438841428922</v>
      </c>
      <c r="HJ14" s="86">
        <f t="shared" si="38"/>
        <v>5.5486535695271177</v>
      </c>
      <c r="HK14" s="86">
        <f t="shared" si="38"/>
        <v>9.5378727352172668</v>
      </c>
      <c r="HL14" s="86">
        <f t="shared" si="38"/>
        <v>5.30224309702374</v>
      </c>
      <c r="HM14" s="86">
        <f t="shared" si="38"/>
        <v>8.731355823301822</v>
      </c>
      <c r="HN14" s="86">
        <f t="shared" si="38"/>
        <v>9.8538746575257861</v>
      </c>
      <c r="HO14" s="86">
        <f t="shared" si="38"/>
        <v>8.8845649303160847</v>
      </c>
      <c r="HP14" s="86">
        <f t="shared" si="38"/>
        <v>8.5023917190002685</v>
      </c>
      <c r="HQ14" s="86">
        <f t="shared" si="38"/>
        <v>14.916635228799802</v>
      </c>
      <c r="HR14" s="86">
        <f t="shared" si="38"/>
        <v>17.730076482851985</v>
      </c>
      <c r="HS14" s="86">
        <f t="shared" si="38"/>
        <v>24.29410019374496</v>
      </c>
      <c r="HT14" s="86">
        <f t="shared" si="38"/>
        <v>20.794290873096255</v>
      </c>
      <c r="HU14" s="86">
        <f t="shared" si="38"/>
        <v>18.706278829293677</v>
      </c>
      <c r="HV14" s="86">
        <f t="shared" si="38"/>
        <v>17.736895363336401</v>
      </c>
      <c r="HW14" s="86">
        <f t="shared" si="38"/>
        <v>15.219359601388295</v>
      </c>
      <c r="HX14" s="86">
        <f t="shared" si="38"/>
        <v>16.260298508719771</v>
      </c>
      <c r="HY14" s="86">
        <f t="shared" si="38"/>
        <v>15.969169051491372</v>
      </c>
      <c r="HZ14" s="86">
        <f t="shared" si="38"/>
        <v>22.779189190878757</v>
      </c>
      <c r="IA14" s="86">
        <f t="shared" si="38"/>
        <v>24.362235752571792</v>
      </c>
      <c r="IB14" s="86">
        <f t="shared" si="38"/>
        <v>22.787602831920296</v>
      </c>
      <c r="IC14" s="86">
        <f t="shared" si="38"/>
        <v>19.732461763715214</v>
      </c>
      <c r="ID14" s="86">
        <f t="shared" si="38"/>
        <v>14.362742293046239</v>
      </c>
      <c r="IE14" s="86">
        <f t="shared" si="38"/>
        <v>6.8058320414085216</v>
      </c>
      <c r="IF14" s="86">
        <f t="shared" si="38"/>
        <v>9.7443058954730599</v>
      </c>
      <c r="IG14" s="86">
        <f t="shared" si="38"/>
        <v>10.273310230140797</v>
      </c>
      <c r="IH14" s="86">
        <f t="shared" si="38"/>
        <v>12.264309396149686</v>
      </c>
      <c r="II14" s="86">
        <f t="shared" si="38"/>
        <v>10.177439143917422</v>
      </c>
      <c r="IJ14" s="86">
        <f t="shared" si="38"/>
        <v>11.560311861991579</v>
      </c>
      <c r="IK14" s="86">
        <f t="shared" si="38"/>
        <v>10.842691476660416</v>
      </c>
      <c r="IL14" s="86">
        <f t="shared" si="38"/>
        <v>3.8394844450087229</v>
      </c>
      <c r="IM14" s="86">
        <f t="shared" si="38"/>
        <v>10.473871065427032</v>
      </c>
      <c r="IN14" s="86">
        <f t="shared" si="38"/>
        <v>6.751901417341033</v>
      </c>
      <c r="IO14" s="86">
        <f t="shared" si="38"/>
        <v>2.7662527249190161</v>
      </c>
      <c r="IP14" s="86">
        <f t="shared" si="38"/>
        <v>1.4639716777639311</v>
      </c>
      <c r="IQ14" s="86">
        <f t="shared" si="38"/>
        <v>0.73042924145370058</v>
      </c>
      <c r="IR14" s="86">
        <f t="shared" si="38"/>
        <v>6.9271628972579213</v>
      </c>
      <c r="IS14" s="86">
        <f t="shared" si="38"/>
        <v>6.731822018373701</v>
      </c>
      <c r="IT14" s="86">
        <f t="shared" si="38"/>
        <v>7.0927259495314088</v>
      </c>
      <c r="IU14" s="86">
        <f t="shared" si="38"/>
        <v>4.730658585401315</v>
      </c>
      <c r="IV14" s="86">
        <f t="shared" si="38"/>
        <v>3.1151845119574029</v>
      </c>
      <c r="IW14" s="86">
        <f t="shared" si="38"/>
        <v>1.2126338748632115</v>
      </c>
      <c r="IX14" s="86">
        <f t="shared" si="38"/>
        <v>4.2245164054879325</v>
      </c>
      <c r="IY14" s="86">
        <f t="shared" si="38"/>
        <v>-0.57924397872938238</v>
      </c>
      <c r="IZ14" s="86">
        <f t="shared" si="38"/>
        <v>8.5691316934255468E-2</v>
      </c>
      <c r="JA14" s="86">
        <f t="shared" si="38"/>
        <v>1.1782810155501533</v>
      </c>
      <c r="JB14" s="86">
        <f t="shared" si="38"/>
        <v>3.4065423698478536</v>
      </c>
      <c r="JC14" s="86">
        <f t="shared" si="38"/>
        <v>3.9089282512687396</v>
      </c>
      <c r="JD14" s="86">
        <f t="shared" si="38"/>
        <v>1.3057063535765412</v>
      </c>
      <c r="JE14" s="86">
        <f t="shared" si="38"/>
        <v>0.91336928526017935</v>
      </c>
      <c r="JF14" s="86">
        <f t="shared" si="38"/>
        <v>-2.0550277261371708</v>
      </c>
      <c r="JG14" s="86">
        <f t="shared" si="38"/>
        <v>0.46816510318059557</v>
      </c>
      <c r="JH14" s="86">
        <f t="shared" si="38"/>
        <v>2.4813006841841956</v>
      </c>
      <c r="JI14" s="86">
        <f t="shared" si="38"/>
        <v>2.4929002163776692</v>
      </c>
      <c r="JJ14" s="86">
        <f>(JJ18/IX18-1)*100</f>
        <v>4.4928755942230225</v>
      </c>
      <c r="JK14" s="86">
        <f>(JK18/IY18-1)*100</f>
        <v>1.9408768701447032</v>
      </c>
    </row>
    <row r="15" spans="1:277" s="31" customFormat="1" ht="15.6" x14ac:dyDescent="0.3">
      <c r="A15" s="108"/>
      <c r="B15" s="67"/>
      <c r="C15" s="67"/>
      <c r="D15" s="67"/>
      <c r="E15" s="67"/>
      <c r="F15" s="67"/>
      <c r="G15" s="68"/>
      <c r="H15" s="68"/>
      <c r="I15" s="68"/>
      <c r="J15" s="68"/>
      <c r="K15" s="68"/>
      <c r="L15" s="68"/>
      <c r="M15" s="69"/>
      <c r="N15" s="68"/>
      <c r="O15" s="68"/>
      <c r="P15" s="68"/>
      <c r="Q15" s="68"/>
      <c r="R15" s="68"/>
      <c r="S15" s="68"/>
      <c r="T15" s="68"/>
      <c r="U15" s="68"/>
      <c r="V15" s="68"/>
      <c r="W15" s="68"/>
      <c r="X15" s="68"/>
      <c r="Y15" s="69"/>
      <c r="Z15" s="68"/>
      <c r="AA15" s="68"/>
      <c r="AB15" s="68"/>
      <c r="AC15" s="68"/>
      <c r="AD15" s="68"/>
      <c r="AE15" s="68"/>
      <c r="AF15" s="68"/>
      <c r="AG15" s="68"/>
      <c r="AH15" s="68"/>
      <c r="AI15" s="68"/>
      <c r="AJ15" s="68"/>
      <c r="AK15" s="69"/>
      <c r="AL15" s="68"/>
      <c r="AM15" s="68"/>
      <c r="AN15" s="68"/>
      <c r="AO15" s="68"/>
      <c r="AP15" s="68"/>
      <c r="AQ15" s="68"/>
      <c r="AR15" s="68"/>
      <c r="AS15" s="68"/>
      <c r="AT15" s="68"/>
      <c r="AU15" s="68"/>
      <c r="AV15" s="68"/>
      <c r="AW15" s="69"/>
      <c r="AX15" s="68"/>
      <c r="AY15" s="68"/>
      <c r="AZ15" s="68"/>
      <c r="BA15" s="68"/>
      <c r="BB15" s="68"/>
      <c r="BC15" s="68"/>
      <c r="BD15" s="68"/>
      <c r="BE15" s="68"/>
      <c r="BF15" s="68"/>
      <c r="BG15" s="68"/>
      <c r="BH15" s="68"/>
      <c r="BI15" s="69"/>
      <c r="BJ15" s="68"/>
      <c r="BK15" s="68"/>
      <c r="BL15" s="68"/>
      <c r="BM15" s="68"/>
      <c r="BN15" s="68"/>
      <c r="BO15" s="68"/>
      <c r="BP15" s="68"/>
      <c r="BQ15" s="68"/>
      <c r="BR15" s="68"/>
      <c r="BS15" s="68"/>
      <c r="BT15" s="68"/>
      <c r="BU15" s="69"/>
      <c r="BV15" s="68"/>
      <c r="BW15" s="68"/>
      <c r="BX15" s="68"/>
      <c r="BY15" s="68"/>
      <c r="BZ15" s="68"/>
      <c r="CA15" s="68"/>
      <c r="CB15" s="68"/>
      <c r="CC15" s="68"/>
      <c r="CD15" s="68"/>
      <c r="CE15" s="68"/>
      <c r="CF15" s="68"/>
      <c r="CG15" s="69"/>
      <c r="CH15" s="68"/>
      <c r="CI15" s="68"/>
      <c r="CJ15" s="68"/>
      <c r="CK15" s="68"/>
      <c r="CL15" s="68"/>
      <c r="CM15" s="68"/>
      <c r="CN15" s="68"/>
      <c r="CO15" s="68"/>
      <c r="CP15" s="68"/>
      <c r="CQ15" s="68"/>
      <c r="CR15" s="68"/>
      <c r="CS15" s="69"/>
      <c r="CT15" s="68"/>
      <c r="CU15" s="70"/>
      <c r="CV15" s="70"/>
      <c r="CW15" s="70"/>
      <c r="CX15" s="70"/>
      <c r="CY15" s="70"/>
      <c r="CZ15" s="70"/>
      <c r="DA15" s="70"/>
      <c r="DB15" s="70"/>
      <c r="DC15" s="70"/>
      <c r="DD15" s="70"/>
      <c r="DE15" s="70"/>
      <c r="DF15" s="70"/>
      <c r="DG15" s="70"/>
      <c r="DH15" s="70"/>
      <c r="DI15" s="70"/>
      <c r="DJ15" s="70"/>
      <c r="DK15" s="70"/>
      <c r="DL15" s="70"/>
      <c r="DM15" s="70"/>
      <c r="DN15" s="70"/>
      <c r="DO15" s="70"/>
      <c r="DP15" s="70"/>
      <c r="DQ15" s="70"/>
      <c r="DR15" s="70"/>
      <c r="DS15" s="70"/>
      <c r="DT15" s="70"/>
      <c r="DU15" s="70"/>
      <c r="DV15" s="70"/>
      <c r="DW15" s="70"/>
      <c r="DX15" s="70"/>
      <c r="DY15" s="70"/>
      <c r="DZ15" s="70"/>
      <c r="EA15" s="70"/>
      <c r="EB15" s="70"/>
      <c r="EC15" s="70"/>
      <c r="ED15" s="70"/>
      <c r="EE15" s="70"/>
      <c r="EF15" s="70"/>
      <c r="EG15" s="70"/>
      <c r="EH15" s="70"/>
      <c r="EI15" s="70"/>
      <c r="EJ15" s="70"/>
      <c r="EK15" s="70"/>
      <c r="EL15" s="71"/>
      <c r="EM15" s="71"/>
      <c r="EN15" s="71"/>
      <c r="EO15" s="71"/>
      <c r="EP15" s="71"/>
      <c r="EQ15" s="71"/>
      <c r="ER15" s="71"/>
      <c r="ES15" s="71"/>
      <c r="ET15" s="71"/>
      <c r="EU15" s="71"/>
      <c r="EV15" s="71"/>
      <c r="EW15" s="71"/>
      <c r="EX15" s="71"/>
      <c r="EY15" s="71"/>
      <c r="EZ15" s="71"/>
      <c r="FA15" s="71"/>
      <c r="FB15" s="106"/>
      <c r="FC15" s="106"/>
      <c r="FD15" s="106"/>
      <c r="FE15" s="106"/>
      <c r="FF15" s="106"/>
      <c r="FG15" s="106"/>
      <c r="FH15" s="106"/>
      <c r="FI15" s="106"/>
      <c r="FJ15" s="106"/>
      <c r="FK15" s="106"/>
      <c r="FL15" s="106"/>
      <c r="FM15" s="106"/>
      <c r="FN15" s="106"/>
      <c r="FO15" s="106"/>
      <c r="FP15" s="106"/>
      <c r="FQ15" s="106"/>
      <c r="FR15" s="106"/>
      <c r="FS15" s="106"/>
      <c r="FT15" s="106"/>
      <c r="FU15" s="106"/>
      <c r="FV15" s="106"/>
      <c r="FW15"/>
      <c r="FX15"/>
      <c r="FY15" s="106"/>
      <c r="FZ15" s="106"/>
      <c r="GA15" s="106"/>
      <c r="GB15" s="106"/>
      <c r="GC15" s="106"/>
      <c r="GD15" s="106"/>
      <c r="GE15" s="106"/>
      <c r="GF15" s="106"/>
      <c r="GG15" s="106"/>
      <c r="GH15" s="106"/>
      <c r="GI15" s="106"/>
      <c r="GJ15" s="106"/>
      <c r="GK15" s="106"/>
      <c r="GL15" s="106"/>
      <c r="GM15" s="106"/>
      <c r="GN15" s="106"/>
      <c r="GO15" s="106"/>
      <c r="GP15" s="106"/>
      <c r="GQ15" s="106"/>
      <c r="GR15" s="106"/>
      <c r="GS15" s="106"/>
      <c r="GT15" s="106"/>
      <c r="GU15" s="106"/>
      <c r="GV15" s="106"/>
      <c r="GW15" s="106"/>
      <c r="GX15" s="86"/>
      <c r="GY15" s="86"/>
      <c r="GZ15" s="86"/>
      <c r="HA15" s="86"/>
      <c r="HB15" s="86"/>
      <c r="HC15" s="86"/>
      <c r="HD15" s="86"/>
      <c r="HE15" s="86"/>
      <c r="HF15" s="86"/>
      <c r="HG15" s="86"/>
      <c r="HH15" s="86"/>
      <c r="HI15" s="86"/>
      <c r="HJ15" s="86"/>
      <c r="HK15" s="86"/>
      <c r="HL15" s="86"/>
      <c r="HM15" s="86"/>
      <c r="HN15" s="86"/>
      <c r="HO15" s="86"/>
      <c r="HP15" s="86"/>
      <c r="HQ15" s="86"/>
      <c r="HR15" s="86"/>
      <c r="HS15" s="86"/>
      <c r="HT15" s="86"/>
      <c r="HU15" s="86"/>
      <c r="HV15" s="86"/>
      <c r="HW15" s="86"/>
      <c r="HX15" s="86"/>
      <c r="HY15" s="86"/>
      <c r="HZ15" s="86"/>
      <c r="IA15" s="86"/>
      <c r="IB15" s="86"/>
      <c r="IC15" s="86"/>
      <c r="ID15" s="86"/>
      <c r="IE15" s="86"/>
      <c r="IF15" s="86"/>
      <c r="IG15" s="86"/>
      <c r="IH15" s="86"/>
      <c r="II15" s="86"/>
      <c r="IJ15" s="86"/>
      <c r="IK15" s="86"/>
      <c r="IL15" s="86"/>
      <c r="IM15" s="86"/>
      <c r="IN15" s="86"/>
      <c r="IO15" s="86"/>
      <c r="IP15" s="86"/>
      <c r="IQ15" s="86"/>
      <c r="IR15" s="86"/>
      <c r="IS15" s="86"/>
      <c r="IT15" s="86"/>
      <c r="IU15" s="86"/>
      <c r="IV15" s="86"/>
      <c r="IW15" s="86"/>
      <c r="IX15" s="86"/>
      <c r="IY15" s="86"/>
      <c r="IZ15" s="86"/>
      <c r="JA15" s="86"/>
      <c r="JB15" s="86"/>
      <c r="JC15" s="86"/>
      <c r="JD15" s="86"/>
      <c r="JE15" s="86"/>
      <c r="JF15" s="86"/>
      <c r="JG15" s="86"/>
      <c r="JH15" s="86"/>
      <c r="JI15" s="86"/>
      <c r="JJ15" s="86"/>
      <c r="JK15" s="86"/>
    </row>
    <row r="16" spans="1:277" s="31" customFormat="1" ht="15.6" x14ac:dyDescent="0.3">
      <c r="A16" s="81" t="s">
        <v>137</v>
      </c>
      <c r="B16" s="67"/>
      <c r="C16" s="67"/>
      <c r="D16" s="67"/>
      <c r="E16" s="67"/>
      <c r="F16" s="67"/>
      <c r="G16" s="68"/>
      <c r="H16" s="68"/>
      <c r="I16" s="68"/>
      <c r="J16" s="68"/>
      <c r="K16" s="68"/>
      <c r="L16" s="68"/>
      <c r="M16" s="69"/>
      <c r="N16" s="68"/>
      <c r="O16" s="68"/>
      <c r="P16" s="68"/>
      <c r="Q16" s="68"/>
      <c r="R16" s="68"/>
      <c r="S16" s="68"/>
      <c r="T16" s="68"/>
      <c r="U16" s="68"/>
      <c r="V16" s="68"/>
      <c r="W16" s="68"/>
      <c r="X16" s="68"/>
      <c r="Y16" s="69"/>
      <c r="Z16" s="68"/>
      <c r="AA16" s="68"/>
      <c r="AB16" s="68"/>
      <c r="AC16" s="68"/>
      <c r="AD16" s="68"/>
      <c r="AE16" s="68"/>
      <c r="AF16" s="68"/>
      <c r="AG16" s="68"/>
      <c r="AH16" s="68"/>
      <c r="AI16" s="68"/>
      <c r="AJ16" s="68"/>
      <c r="AK16" s="69"/>
      <c r="AL16" s="68"/>
      <c r="AM16" s="68"/>
      <c r="AN16" s="68"/>
      <c r="AO16" s="68"/>
      <c r="AP16" s="68"/>
      <c r="AQ16" s="68"/>
      <c r="AR16" s="68"/>
      <c r="AS16" s="68"/>
      <c r="AT16" s="68"/>
      <c r="AU16" s="68"/>
      <c r="AV16" s="68"/>
      <c r="AW16" s="69"/>
      <c r="AX16" s="68"/>
      <c r="AY16" s="68"/>
      <c r="AZ16" s="68"/>
      <c r="BA16" s="68"/>
      <c r="BB16" s="68"/>
      <c r="BC16" s="68"/>
      <c r="BD16" s="68"/>
      <c r="BE16" s="68"/>
      <c r="BF16" s="68"/>
      <c r="BG16" s="68"/>
      <c r="BH16" s="68"/>
      <c r="BI16" s="69"/>
      <c r="BJ16" s="68"/>
      <c r="BK16" s="68"/>
      <c r="BL16" s="68"/>
      <c r="BM16" s="68"/>
      <c r="BN16" s="68"/>
      <c r="BO16" s="68"/>
      <c r="BP16" s="68"/>
      <c r="BQ16" s="68"/>
      <c r="BR16" s="68"/>
      <c r="BS16" s="68"/>
      <c r="BT16" s="68"/>
      <c r="BU16" s="69"/>
      <c r="BV16" s="68"/>
      <c r="BW16" s="68"/>
      <c r="BX16" s="68"/>
      <c r="BY16" s="68"/>
      <c r="BZ16" s="68"/>
      <c r="CA16" s="68"/>
      <c r="CB16" s="68"/>
      <c r="CC16" s="68"/>
      <c r="CD16" s="68"/>
      <c r="CE16" s="68"/>
      <c r="CF16" s="68"/>
      <c r="CG16" s="69"/>
      <c r="CH16" s="68"/>
      <c r="CI16" s="68"/>
      <c r="CJ16" s="68"/>
      <c r="CK16" s="68"/>
      <c r="CL16" s="68"/>
      <c r="CM16" s="68"/>
      <c r="CN16" s="68"/>
      <c r="CO16" s="68"/>
      <c r="CP16" s="68"/>
      <c r="CQ16" s="68"/>
      <c r="CR16" s="68"/>
      <c r="CS16" s="69"/>
      <c r="CT16" s="68"/>
      <c r="CU16" s="70"/>
      <c r="CV16" s="70"/>
      <c r="CW16" s="70"/>
      <c r="CX16" s="70"/>
      <c r="CY16" s="70"/>
      <c r="CZ16" s="70"/>
      <c r="DA16" s="70"/>
      <c r="DB16" s="70"/>
      <c r="DC16" s="70"/>
      <c r="DD16" s="70"/>
      <c r="DE16" s="70"/>
      <c r="DF16" s="70"/>
      <c r="DG16" s="70"/>
      <c r="DH16" s="70"/>
      <c r="DI16" s="70"/>
      <c r="DJ16" s="70"/>
      <c r="DK16" s="70"/>
      <c r="DL16" s="70"/>
      <c r="DM16" s="70"/>
      <c r="DN16" s="70"/>
      <c r="DO16" s="70"/>
      <c r="DP16" s="70"/>
      <c r="DQ16" s="70"/>
      <c r="DR16" s="70"/>
      <c r="DS16" s="70"/>
      <c r="DT16" s="70"/>
      <c r="DU16" s="70"/>
      <c r="DV16" s="70"/>
      <c r="DW16" s="70"/>
      <c r="DX16" s="70"/>
      <c r="DY16" s="70"/>
      <c r="DZ16" s="70"/>
      <c r="EA16" s="70"/>
      <c r="EB16" s="70"/>
      <c r="EC16" s="70"/>
      <c r="ED16" s="70"/>
      <c r="EE16" s="70"/>
      <c r="EF16" s="70"/>
      <c r="EG16" s="70"/>
      <c r="EH16" s="70"/>
      <c r="EI16" s="70"/>
      <c r="EJ16" s="70"/>
      <c r="EK16" s="70"/>
      <c r="EL16" s="71"/>
      <c r="EM16" s="71"/>
      <c r="EN16" s="71"/>
      <c r="EO16" s="71"/>
      <c r="EP16" s="71"/>
      <c r="EQ16" s="71"/>
      <c r="ER16" s="71"/>
      <c r="ES16" s="71"/>
      <c r="ET16" s="71"/>
      <c r="EU16" s="71"/>
      <c r="EV16" s="71"/>
      <c r="EW16" s="71"/>
      <c r="EX16" s="71"/>
      <c r="EY16" s="71"/>
      <c r="EZ16" s="71"/>
      <c r="FA16" s="71"/>
      <c r="FB16" s="106"/>
      <c r="FC16" s="106"/>
      <c r="FD16" s="106"/>
      <c r="FE16" s="106"/>
      <c r="FF16" s="106"/>
      <c r="FG16" s="106"/>
      <c r="FH16" s="106"/>
      <c r="FI16" s="106"/>
      <c r="FJ16" s="106"/>
      <c r="FK16" s="106"/>
      <c r="FL16" s="106"/>
      <c r="FM16" s="106"/>
      <c r="FN16" s="106"/>
      <c r="FO16" s="106"/>
      <c r="FP16" s="106"/>
      <c r="FQ16" s="106"/>
      <c r="FR16" s="106"/>
      <c r="FS16" s="106"/>
      <c r="FT16" s="106"/>
      <c r="FU16" s="106"/>
      <c r="FV16" s="10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s="78"/>
      <c r="IF16" s="78"/>
      <c r="IG16" s="78"/>
      <c r="IH16" s="80"/>
      <c r="II16" s="78"/>
      <c r="IJ16" s="78"/>
      <c r="IK16" s="78"/>
      <c r="IL16" s="78"/>
      <c r="IM16" s="78"/>
      <c r="IN16" s="78"/>
      <c r="IO16" s="78"/>
      <c r="IP16" s="78"/>
      <c r="IQ16" s="78"/>
      <c r="IR16" s="78"/>
      <c r="IS16" s="78"/>
      <c r="IT16" s="78"/>
      <c r="IU16" s="12"/>
      <c r="IV16" s="12"/>
      <c r="IW16" s="12"/>
      <c r="IX16"/>
      <c r="IY16" s="12"/>
      <c r="IZ16" s="12"/>
      <c r="JA16"/>
      <c r="JB16"/>
      <c r="JC16"/>
      <c r="JD16"/>
      <c r="JE16"/>
      <c r="JF16"/>
      <c r="JG16"/>
      <c r="JH16"/>
      <c r="JI16"/>
      <c r="JJ16"/>
      <c r="JK16"/>
    </row>
    <row r="17" spans="1:275" s="31" customFormat="1" ht="15.6" x14ac:dyDescent="0.3">
      <c r="A17" s="82" t="s">
        <v>138</v>
      </c>
      <c r="B17" s="67"/>
      <c r="C17" s="67"/>
      <c r="D17" s="67"/>
      <c r="E17" s="67"/>
      <c r="F17" s="67"/>
      <c r="G17" s="68"/>
      <c r="H17" s="68"/>
      <c r="I17" s="68"/>
      <c r="J17" s="68"/>
      <c r="K17" s="68"/>
      <c r="L17" s="68"/>
      <c r="M17" s="69"/>
      <c r="N17" s="68"/>
      <c r="O17" s="68"/>
      <c r="P17" s="68"/>
      <c r="Q17" s="68"/>
      <c r="R17" s="68"/>
      <c r="S17" s="68"/>
      <c r="T17" s="68"/>
      <c r="U17" s="68"/>
      <c r="V17" s="68"/>
      <c r="W17" s="68"/>
      <c r="X17" s="68"/>
      <c r="Y17" s="69"/>
      <c r="Z17" s="68"/>
      <c r="AA17" s="68"/>
      <c r="AB17" s="68"/>
      <c r="AC17" s="68"/>
      <c r="AD17" s="68"/>
      <c r="AE17" s="68"/>
      <c r="AF17" s="68"/>
      <c r="AG17" s="68"/>
      <c r="AH17" s="68"/>
      <c r="AI17" s="68"/>
      <c r="AJ17" s="68"/>
      <c r="AK17" s="69"/>
      <c r="AL17" s="68"/>
      <c r="AM17" s="68"/>
      <c r="AN17" s="68"/>
      <c r="AO17" s="68"/>
      <c r="AP17" s="68"/>
      <c r="AQ17" s="68"/>
      <c r="AR17" s="68"/>
      <c r="AS17" s="68"/>
      <c r="AT17" s="68"/>
      <c r="AU17" s="68"/>
      <c r="AV17" s="68"/>
      <c r="AW17" s="69"/>
      <c r="AX17" s="68"/>
      <c r="AY17" s="68"/>
      <c r="AZ17" s="68"/>
      <c r="BA17" s="68"/>
      <c r="BB17" s="68"/>
      <c r="BC17" s="68"/>
      <c r="BD17" s="68"/>
      <c r="BE17" s="68"/>
      <c r="BF17" s="68"/>
      <c r="BG17" s="68"/>
      <c r="BH17" s="68"/>
      <c r="BI17" s="69"/>
      <c r="BJ17" s="68"/>
      <c r="BK17" s="68"/>
      <c r="BL17" s="68"/>
      <c r="BM17" s="68"/>
      <c r="BN17" s="68"/>
      <c r="BO17" s="68"/>
      <c r="BP17" s="68"/>
      <c r="BQ17" s="68"/>
      <c r="BR17" s="68"/>
      <c r="BS17" s="68"/>
      <c r="BT17" s="68"/>
      <c r="BU17" s="69"/>
      <c r="BV17" s="68"/>
      <c r="BW17" s="68"/>
      <c r="BX17" s="68"/>
      <c r="BY17" s="68"/>
      <c r="BZ17" s="68"/>
      <c r="CA17" s="68"/>
      <c r="CB17" s="68"/>
      <c r="CC17" s="68"/>
      <c r="CD17" s="68"/>
      <c r="CE17" s="68"/>
      <c r="CF17" s="68"/>
      <c r="CG17" s="69"/>
      <c r="CH17" s="68"/>
      <c r="CI17" s="68"/>
      <c r="CJ17" s="68"/>
      <c r="CK17" s="68"/>
      <c r="CL17" s="68"/>
      <c r="CM17" s="68"/>
      <c r="CN17" s="68"/>
      <c r="CO17" s="68"/>
      <c r="CP17" s="68"/>
      <c r="CQ17" s="68"/>
      <c r="CR17" s="68"/>
      <c r="CS17" s="69"/>
      <c r="CT17" s="68"/>
      <c r="CU17" s="70"/>
      <c r="CV17" s="70"/>
      <c r="CW17" s="70"/>
      <c r="CX17" s="70"/>
      <c r="CY17" s="70"/>
      <c r="CZ17" s="70"/>
      <c r="DA17" s="70"/>
      <c r="DB17" s="70"/>
      <c r="DC17" s="70"/>
      <c r="DD17" s="70"/>
      <c r="DE17" s="70"/>
      <c r="DF17" s="70"/>
      <c r="DG17" s="70"/>
      <c r="DH17" s="70"/>
      <c r="DI17" s="70"/>
      <c r="DJ17" s="70"/>
      <c r="DK17" s="70"/>
      <c r="DL17" s="70"/>
      <c r="DM17" s="70"/>
      <c r="DN17" s="70"/>
      <c r="DO17" s="70"/>
      <c r="DP17" s="70"/>
      <c r="DQ17" s="70"/>
      <c r="DR17" s="70"/>
      <c r="DS17" s="70"/>
      <c r="DT17" s="70"/>
      <c r="DU17" s="70"/>
      <c r="DV17" s="70"/>
      <c r="DW17" s="70"/>
      <c r="DX17" s="70"/>
      <c r="DY17" s="70"/>
      <c r="DZ17" s="70"/>
      <c r="EA17" s="70"/>
      <c r="EB17" s="70"/>
      <c r="EC17" s="70"/>
      <c r="ED17" s="70"/>
      <c r="EE17" s="70"/>
      <c r="EF17" s="70"/>
      <c r="EG17" s="70"/>
      <c r="EH17" s="70"/>
      <c r="EI17" s="70"/>
      <c r="EJ17" s="70"/>
      <c r="EK17" s="70"/>
      <c r="EL17" s="71"/>
      <c r="EM17" s="71"/>
      <c r="EN17" s="71"/>
      <c r="EO17" s="71"/>
      <c r="EP17" s="71"/>
      <c r="EQ17" s="71"/>
      <c r="ER17" s="71"/>
      <c r="ES17" s="71"/>
      <c r="ET17" s="71"/>
      <c r="EU17" s="71"/>
      <c r="EV17" s="71"/>
      <c r="EW17" s="71"/>
      <c r="EX17" s="71"/>
      <c r="EY17" s="71"/>
      <c r="EZ17" s="71"/>
      <c r="FA17" s="71"/>
      <c r="FB17" s="54">
        <v>88.8</v>
      </c>
      <c r="FC17" s="54">
        <v>90.4</v>
      </c>
      <c r="FD17" s="54">
        <v>90.9</v>
      </c>
      <c r="FE17" s="54">
        <v>90.8</v>
      </c>
      <c r="FF17" s="54">
        <v>91</v>
      </c>
      <c r="FG17" s="54">
        <v>91.6</v>
      </c>
      <c r="FH17" s="54">
        <v>92.9</v>
      </c>
      <c r="FI17" s="54">
        <v>94.1</v>
      </c>
      <c r="FJ17" s="54">
        <v>94.9</v>
      </c>
      <c r="FK17" s="54">
        <v>95.7</v>
      </c>
      <c r="FL17" s="54">
        <v>95.5</v>
      </c>
      <c r="FM17" s="54">
        <v>95.9</v>
      </c>
      <c r="FN17" s="54">
        <v>97</v>
      </c>
      <c r="FO17" s="54">
        <v>97.7</v>
      </c>
      <c r="FP17" s="54">
        <v>97.6</v>
      </c>
      <c r="FQ17" s="54">
        <v>97.4</v>
      </c>
      <c r="FR17" s="54">
        <v>97.8</v>
      </c>
      <c r="FS17" s="54">
        <v>98.2</v>
      </c>
      <c r="FT17" s="54">
        <v>99.2</v>
      </c>
      <c r="FU17" s="54">
        <v>99.3</v>
      </c>
      <c r="FV17" s="54">
        <v>100</v>
      </c>
      <c r="FW17">
        <v>100.3</v>
      </c>
      <c r="FX17">
        <v>99.9</v>
      </c>
      <c r="FY17" s="54">
        <v>98.7</v>
      </c>
      <c r="FZ17" s="54">
        <v>97.3</v>
      </c>
      <c r="GA17" s="54">
        <v>96.8</v>
      </c>
      <c r="GB17" s="54">
        <v>97.1</v>
      </c>
      <c r="GC17" s="54">
        <v>97.7</v>
      </c>
      <c r="GD17" s="54">
        <v>99.5</v>
      </c>
      <c r="GE17" s="54">
        <v>100.1</v>
      </c>
      <c r="GF17" s="54">
        <v>100.3</v>
      </c>
      <c r="GG17" s="54">
        <v>101.1</v>
      </c>
      <c r="GH17" s="54">
        <v>101.6</v>
      </c>
      <c r="GI17" s="54">
        <v>101.8</v>
      </c>
      <c r="GJ17" s="54">
        <v>101</v>
      </c>
      <c r="GK17" s="54">
        <v>100.7</v>
      </c>
      <c r="GL17" s="54">
        <v>100.7</v>
      </c>
      <c r="GM17" s="54">
        <v>100.8</v>
      </c>
      <c r="GN17" s="54">
        <v>100.9</v>
      </c>
      <c r="GO17" s="54">
        <v>100.9</v>
      </c>
      <c r="GP17" s="54">
        <v>99.7</v>
      </c>
      <c r="GQ17" s="54">
        <v>98.5</v>
      </c>
      <c r="GR17" s="54">
        <v>100.2</v>
      </c>
      <c r="GS17" s="54">
        <v>100.9</v>
      </c>
      <c r="GT17" s="54">
        <v>101.1</v>
      </c>
      <c r="GU17" s="54">
        <v>101.3</v>
      </c>
      <c r="GV17" s="54">
        <v>101.3</v>
      </c>
      <c r="GW17" s="54">
        <v>95.918713270153859</v>
      </c>
      <c r="GX17" s="54">
        <v>95.918713270153859</v>
      </c>
      <c r="GY17" s="54">
        <v>96.898911041278595</v>
      </c>
      <c r="GZ17" s="54">
        <v>98.190161037499692</v>
      </c>
      <c r="HA17" s="54">
        <v>98.846290900980335</v>
      </c>
      <c r="HB17" s="54">
        <v>99.026120696189679</v>
      </c>
      <c r="HC17" s="54">
        <v>99.12847178965437</v>
      </c>
      <c r="HD17" s="54">
        <v>99.102254765578493</v>
      </c>
      <c r="HE17" s="54">
        <v>99.609262659134245</v>
      </c>
      <c r="HF17" s="54">
        <v>100</v>
      </c>
      <c r="HG17" s="54">
        <v>100.60325217743087</v>
      </c>
      <c r="HH17" s="54">
        <v>101.75135663834868</v>
      </c>
      <c r="HI17" s="54">
        <v>102.81622767802045</v>
      </c>
      <c r="HJ17" s="54">
        <v>102.72150707408385</v>
      </c>
      <c r="HK17" s="54">
        <v>103.50313922113352</v>
      </c>
      <c r="HL17" s="54">
        <v>104.76450217556008</v>
      </c>
      <c r="HM17" s="54">
        <v>107.81900032621867</v>
      </c>
      <c r="HN17" s="54">
        <v>108.79657044188068</v>
      </c>
      <c r="HO17" s="54">
        <v>109.89632093156403</v>
      </c>
      <c r="HP17" s="54">
        <v>111.86065336625416</v>
      </c>
      <c r="HQ17" s="54">
        <v>111.37175846137504</v>
      </c>
      <c r="HR17" s="54">
        <v>110.54644886991809</v>
      </c>
      <c r="HS17" s="54">
        <v>109.86352994590615</v>
      </c>
      <c r="HT17" s="54">
        <v>109.85782568775771</v>
      </c>
      <c r="HU17" s="54">
        <v>109.75757233757643</v>
      </c>
      <c r="HV17" s="54">
        <v>109.33471078568928</v>
      </c>
      <c r="HW17" s="54">
        <v>110.65429625739142</v>
      </c>
      <c r="HX17" s="54">
        <v>111.08537422743143</v>
      </c>
      <c r="HY17" s="54">
        <v>111.37780724590401</v>
      </c>
      <c r="HZ17" s="54">
        <v>111.77171858823962</v>
      </c>
      <c r="IA17" s="54">
        <v>113.96699862645596</v>
      </c>
      <c r="IB17" s="54">
        <v>113.82743865046181</v>
      </c>
      <c r="IC17" s="54">
        <v>114.2336251457813</v>
      </c>
      <c r="ID17" s="54">
        <v>115.72692757517109</v>
      </c>
      <c r="IE17" s="54">
        <v>115.70225690480993</v>
      </c>
      <c r="IF17" s="54">
        <v>115.43425800913971</v>
      </c>
      <c r="IG17" s="54">
        <v>114.63036237806732</v>
      </c>
      <c r="IH17" s="48">
        <v>114.05519720848127</v>
      </c>
      <c r="II17" s="78">
        <v>114.57720792213564</v>
      </c>
      <c r="IJ17" s="78">
        <v>114.89513012856281</v>
      </c>
      <c r="IK17" s="78">
        <v>115.11906764462188</v>
      </c>
      <c r="IL17" s="78">
        <v>115.35838733420096</v>
      </c>
      <c r="IM17" s="78">
        <v>116.02094057520733</v>
      </c>
      <c r="IN17" s="78">
        <v>115.25291149446288</v>
      </c>
      <c r="IO17" s="78">
        <v>115.74924267675084</v>
      </c>
      <c r="IP17" s="78">
        <v>116.41254048689567</v>
      </c>
      <c r="IQ17" s="78">
        <v>115.62305315005017</v>
      </c>
      <c r="IR17" s="78">
        <v>116.67692236387381</v>
      </c>
      <c r="IS17" s="80">
        <v>120.65525073631005</v>
      </c>
      <c r="IT17" s="79">
        <v>118.01682961334382</v>
      </c>
      <c r="IU17" s="12">
        <v>118.25463554974114</v>
      </c>
      <c r="IV17" s="12">
        <v>118.41371005462071</v>
      </c>
      <c r="IW17" s="12">
        <v>118.75277402785906</v>
      </c>
      <c r="IX17" s="12">
        <v>119.49673954253126</v>
      </c>
      <c r="IY17" s="12">
        <v>119.50990787291087</v>
      </c>
      <c r="IZ17" s="12">
        <v>119.66232712685012</v>
      </c>
      <c r="JA17" s="12">
        <v>120.30421542848468</v>
      </c>
      <c r="JB17" s="12">
        <v>120.46505961041557</v>
      </c>
      <c r="JC17">
        <v>120.3</v>
      </c>
      <c r="JD17" s="12">
        <v>126</v>
      </c>
      <c r="JE17">
        <v>127.3</v>
      </c>
      <c r="JF17">
        <v>125.1</v>
      </c>
      <c r="JG17">
        <v>123.8</v>
      </c>
      <c r="JH17">
        <v>126.6</v>
      </c>
      <c r="JI17">
        <v>129.30000000000001</v>
      </c>
      <c r="JJ17" s="31">
        <v>133.5</v>
      </c>
      <c r="JK17" s="31">
        <v>135.19999999999999</v>
      </c>
      <c r="JM17">
        <v>133.5</v>
      </c>
    </row>
    <row r="18" spans="1:275" s="31" customFormat="1" ht="15.6" x14ac:dyDescent="0.3">
      <c r="A18" s="82" t="s">
        <v>139</v>
      </c>
      <c r="B18" s="67"/>
      <c r="C18" s="67"/>
      <c r="D18" s="67"/>
      <c r="E18" s="67"/>
      <c r="F18" s="67"/>
      <c r="G18" s="68"/>
      <c r="H18" s="68"/>
      <c r="I18" s="68"/>
      <c r="J18" s="68"/>
      <c r="K18" s="68"/>
      <c r="L18" s="68"/>
      <c r="M18" s="69"/>
      <c r="N18" s="68"/>
      <c r="O18" s="68"/>
      <c r="P18" s="68"/>
      <c r="Q18" s="68"/>
      <c r="R18" s="68"/>
      <c r="S18" s="68"/>
      <c r="T18" s="68"/>
      <c r="U18" s="68"/>
      <c r="V18" s="68"/>
      <c r="W18" s="68"/>
      <c r="X18" s="68"/>
      <c r="Y18" s="69"/>
      <c r="Z18" s="68"/>
      <c r="AA18" s="68"/>
      <c r="AB18" s="68"/>
      <c r="AC18" s="68"/>
      <c r="AD18" s="68"/>
      <c r="AE18" s="68"/>
      <c r="AF18" s="68"/>
      <c r="AG18" s="68"/>
      <c r="AH18" s="68"/>
      <c r="AI18" s="68"/>
      <c r="AJ18" s="68"/>
      <c r="AK18" s="69"/>
      <c r="AL18" s="68"/>
      <c r="AM18" s="68"/>
      <c r="AN18" s="68"/>
      <c r="AO18" s="68"/>
      <c r="AP18" s="68"/>
      <c r="AQ18" s="68"/>
      <c r="AR18" s="68"/>
      <c r="AS18" s="68"/>
      <c r="AT18" s="68"/>
      <c r="AU18" s="68"/>
      <c r="AV18" s="68"/>
      <c r="AW18" s="69"/>
      <c r="AX18" s="68"/>
      <c r="AY18" s="68"/>
      <c r="AZ18" s="68"/>
      <c r="BA18" s="68"/>
      <c r="BB18" s="68"/>
      <c r="BC18" s="68"/>
      <c r="BD18" s="68"/>
      <c r="BE18" s="68"/>
      <c r="BF18" s="68"/>
      <c r="BG18" s="68"/>
      <c r="BH18" s="68"/>
      <c r="BI18" s="69"/>
      <c r="BJ18" s="68"/>
      <c r="BK18" s="68"/>
      <c r="BL18" s="68"/>
      <c r="BM18" s="68"/>
      <c r="BN18" s="68"/>
      <c r="BO18" s="68"/>
      <c r="BP18" s="68"/>
      <c r="BQ18" s="68"/>
      <c r="BR18" s="68"/>
      <c r="BS18" s="68"/>
      <c r="BT18" s="68"/>
      <c r="BU18" s="69"/>
      <c r="BV18" s="68"/>
      <c r="BW18" s="68"/>
      <c r="BX18" s="68"/>
      <c r="BY18" s="68"/>
      <c r="BZ18" s="68"/>
      <c r="CA18" s="68"/>
      <c r="CB18" s="68"/>
      <c r="CC18" s="68"/>
      <c r="CD18" s="68"/>
      <c r="CE18" s="68"/>
      <c r="CF18" s="68"/>
      <c r="CG18" s="69"/>
      <c r="CH18" s="68"/>
      <c r="CI18" s="68"/>
      <c r="CJ18" s="68"/>
      <c r="CK18" s="68"/>
      <c r="CL18" s="68"/>
      <c r="CM18" s="68"/>
      <c r="CN18" s="68"/>
      <c r="CO18" s="68"/>
      <c r="CP18" s="68"/>
      <c r="CQ18" s="68"/>
      <c r="CR18" s="68"/>
      <c r="CS18" s="69"/>
      <c r="CT18" s="68"/>
      <c r="CU18" s="70"/>
      <c r="CV18" s="70"/>
      <c r="CW18" s="70"/>
      <c r="CX18" s="70"/>
      <c r="CY18" s="70"/>
      <c r="CZ18" s="70"/>
      <c r="DA18" s="70"/>
      <c r="DB18" s="70"/>
      <c r="DC18" s="70"/>
      <c r="DD18" s="70"/>
      <c r="DE18" s="70"/>
      <c r="DF18" s="70"/>
      <c r="DG18" s="70"/>
      <c r="DH18" s="70"/>
      <c r="DI18" s="70"/>
      <c r="DJ18" s="70"/>
      <c r="DK18" s="70"/>
      <c r="DL18" s="70"/>
      <c r="DM18" s="70"/>
      <c r="DN18" s="70"/>
      <c r="DO18" s="70"/>
      <c r="DP18" s="70"/>
      <c r="DQ18" s="70"/>
      <c r="DR18" s="70"/>
      <c r="DS18" s="70"/>
      <c r="DT18" s="70"/>
      <c r="DU18" s="70"/>
      <c r="DV18" s="70"/>
      <c r="DW18" s="70"/>
      <c r="DX18" s="70"/>
      <c r="DY18" s="70"/>
      <c r="DZ18" s="70"/>
      <c r="EA18" s="70"/>
      <c r="EB18" s="70"/>
      <c r="EC18" s="70"/>
      <c r="ED18" s="70"/>
      <c r="EE18" s="70"/>
      <c r="EF18" s="70"/>
      <c r="EG18" s="70"/>
      <c r="EH18" s="70"/>
      <c r="EI18" s="70"/>
      <c r="EJ18" s="70"/>
      <c r="EK18" s="70"/>
      <c r="EL18" s="71"/>
      <c r="EM18" s="71"/>
      <c r="EN18" s="71"/>
      <c r="EO18" s="71"/>
      <c r="EP18" s="71"/>
      <c r="EQ18" s="71"/>
      <c r="ER18" s="71"/>
      <c r="ES18" s="71"/>
      <c r="ET18" s="71"/>
      <c r="EU18" s="71"/>
      <c r="EV18" s="71"/>
      <c r="EW18" s="71"/>
      <c r="EX18" s="71"/>
      <c r="EY18" s="71"/>
      <c r="EZ18" s="71"/>
      <c r="FA18" s="71"/>
      <c r="FB18" s="54">
        <v>91.7</v>
      </c>
      <c r="FC18" s="54">
        <v>97.5</v>
      </c>
      <c r="FD18" s="54">
        <v>97.6</v>
      </c>
      <c r="FE18" s="54">
        <v>98.9</v>
      </c>
      <c r="FF18" s="54">
        <v>99.3</v>
      </c>
      <c r="FG18" s="54">
        <v>100.2</v>
      </c>
      <c r="FH18" s="54">
        <v>97.8</v>
      </c>
      <c r="FI18" s="54">
        <v>95.9</v>
      </c>
      <c r="FJ18" s="54">
        <v>94.6</v>
      </c>
      <c r="FK18" s="54">
        <v>93.6</v>
      </c>
      <c r="FL18" s="54">
        <v>92.6</v>
      </c>
      <c r="FM18" s="54">
        <v>93.6</v>
      </c>
      <c r="FN18" s="54">
        <v>94.2</v>
      </c>
      <c r="FO18" s="54">
        <v>95.6</v>
      </c>
      <c r="FP18" s="54">
        <v>99.3</v>
      </c>
      <c r="FQ18" s="54">
        <v>100</v>
      </c>
      <c r="FR18" s="54">
        <v>98.2</v>
      </c>
      <c r="FS18" s="54">
        <v>97.8</v>
      </c>
      <c r="FT18" s="54">
        <v>102.1</v>
      </c>
      <c r="FU18" s="54">
        <v>102.2</v>
      </c>
      <c r="FV18" s="54">
        <v>100</v>
      </c>
      <c r="FW18">
        <v>101.1</v>
      </c>
      <c r="FX18">
        <v>100.8</v>
      </c>
      <c r="FY18" s="54">
        <v>100.3</v>
      </c>
      <c r="FZ18" s="54">
        <v>102.8</v>
      </c>
      <c r="GA18" s="54">
        <v>103.7</v>
      </c>
      <c r="GB18" s="54">
        <v>104.3</v>
      </c>
      <c r="GC18" s="54">
        <v>99.9</v>
      </c>
      <c r="GD18" s="54">
        <v>99.7</v>
      </c>
      <c r="GE18" s="54">
        <v>99.4</v>
      </c>
      <c r="GF18" s="54">
        <v>99.6</v>
      </c>
      <c r="GG18" s="54">
        <v>99.6</v>
      </c>
      <c r="GH18" s="54">
        <v>98.9</v>
      </c>
      <c r="GI18" s="54">
        <v>99.8</v>
      </c>
      <c r="GJ18" s="54">
        <v>99.7</v>
      </c>
      <c r="GK18" s="54">
        <v>100.4</v>
      </c>
      <c r="GL18" s="54">
        <v>99.8</v>
      </c>
      <c r="GM18" s="54">
        <v>100.5</v>
      </c>
      <c r="GN18" s="54">
        <v>100.6</v>
      </c>
      <c r="GO18" s="54">
        <v>98.9</v>
      </c>
      <c r="GP18" s="54">
        <v>99.6</v>
      </c>
      <c r="GQ18" s="54">
        <v>98.3</v>
      </c>
      <c r="GR18" s="54">
        <v>97.3</v>
      </c>
      <c r="GS18" s="54">
        <v>96.3</v>
      </c>
      <c r="GT18" s="54">
        <v>97.4</v>
      </c>
      <c r="GU18" s="54">
        <v>96.9</v>
      </c>
      <c r="GV18" s="54">
        <v>97.6</v>
      </c>
      <c r="GW18" s="54">
        <v>100.24922101370935</v>
      </c>
      <c r="GX18" s="54">
        <v>100.24922101370935</v>
      </c>
      <c r="GY18" s="54">
        <v>97.53022689061909</v>
      </c>
      <c r="GZ18" s="54">
        <v>99.635214071720469</v>
      </c>
      <c r="HA18" s="54">
        <v>99.456309430021477</v>
      </c>
      <c r="HB18" s="54">
        <v>97.160327540367931</v>
      </c>
      <c r="HC18" s="54">
        <v>100.12255687902977</v>
      </c>
      <c r="HD18" s="54">
        <v>100.71511314250418</v>
      </c>
      <c r="HE18" s="54">
        <v>98.259473595451695</v>
      </c>
      <c r="HF18" s="54">
        <v>100</v>
      </c>
      <c r="HG18" s="54">
        <v>101.61917491797286</v>
      </c>
      <c r="HH18" s="54">
        <v>99.165277562342197</v>
      </c>
      <c r="HI18" s="54">
        <v>104.33401976664535</v>
      </c>
      <c r="HJ18" s="54">
        <v>105.81170299390965</v>
      </c>
      <c r="HK18" s="54">
        <v>106.832535809815</v>
      </c>
      <c r="HL18" s="54">
        <v>104.9181153320431</v>
      </c>
      <c r="HM18" s="54">
        <v>108.14019369508074</v>
      </c>
      <c r="HN18" s="54">
        <v>106.73438443303729</v>
      </c>
      <c r="HO18" s="54">
        <v>109.01801045483982</v>
      </c>
      <c r="HP18" s="54">
        <v>109.2783065821142</v>
      </c>
      <c r="HQ18" s="54">
        <v>112.91648084942408</v>
      </c>
      <c r="HR18" s="54">
        <v>117.73007648285198</v>
      </c>
      <c r="HS18" s="54">
        <v>126.30663908860214</v>
      </c>
      <c r="HT18" s="54">
        <v>119.78599382376889</v>
      </c>
      <c r="HU18" s="54">
        <v>123.85103241800441</v>
      </c>
      <c r="HV18" s="54">
        <v>124.57941403610369</v>
      </c>
      <c r="HW18" s="54">
        <v>123.09176360599265</v>
      </c>
      <c r="HX18" s="54">
        <v>121.97811407475621</v>
      </c>
      <c r="HY18" s="54">
        <v>125.4092840388584</v>
      </c>
      <c r="HZ18" s="54">
        <v>131.04761179475869</v>
      </c>
      <c r="IA18" s="54">
        <v>135.57723517461127</v>
      </c>
      <c r="IB18" s="54">
        <v>134.18021306749461</v>
      </c>
      <c r="IC18" s="54">
        <v>135.19768225796949</v>
      </c>
      <c r="ID18" s="54">
        <v>134.63934396949026</v>
      </c>
      <c r="IE18" s="54">
        <v>134.90285680212045</v>
      </c>
      <c r="IF18" s="54">
        <v>131.45830748188939</v>
      </c>
      <c r="IG18" s="54">
        <v>136.57463320153826</v>
      </c>
      <c r="IH18" s="48">
        <v>139.85821881740176</v>
      </c>
      <c r="II18" s="54">
        <v>135.61935293816725</v>
      </c>
      <c r="IJ18" s="78">
        <v>136.07916446517387</v>
      </c>
      <c r="IK18" s="78">
        <v>139.00702579028055</v>
      </c>
      <c r="IL18" s="78">
        <v>136.07916446517387</v>
      </c>
      <c r="IM18" s="78">
        <v>149.77741998087083</v>
      </c>
      <c r="IN18" s="78">
        <v>143.23992877538998</v>
      </c>
      <c r="IO18" s="78">
        <v>138.93759182745794</v>
      </c>
      <c r="IP18" s="78">
        <v>136.61042583233075</v>
      </c>
      <c r="IQ18" s="78">
        <v>135.88822671575954</v>
      </c>
      <c r="IR18" s="78">
        <v>140.56463858313808</v>
      </c>
      <c r="IS18" s="80">
        <v>145.76859443091254</v>
      </c>
      <c r="IT18" s="79">
        <v>149.77797899601603</v>
      </c>
      <c r="IU18" s="12">
        <v>142.03504150140236</v>
      </c>
      <c r="IV18" s="12">
        <v>140.31828152059401</v>
      </c>
      <c r="IW18" s="12">
        <v>140.69267207345334</v>
      </c>
      <c r="IX18" s="12">
        <v>141.82785109245606</v>
      </c>
      <c r="IY18" s="12">
        <v>148.90984329413541</v>
      </c>
      <c r="IZ18" s="12">
        <v>143.36267295673332</v>
      </c>
      <c r="JA18" s="12">
        <v>140.57466709542342</v>
      </c>
      <c r="JB18" s="12">
        <v>141.26411786993867</v>
      </c>
      <c r="JC18">
        <v>141.19999999999999</v>
      </c>
      <c r="JD18">
        <v>142.4</v>
      </c>
      <c r="JE18">
        <v>147.1</v>
      </c>
      <c r="JF18">
        <v>146.69999999999999</v>
      </c>
      <c r="JG18">
        <v>142.69999999999999</v>
      </c>
      <c r="JH18">
        <v>143.80000000000001</v>
      </c>
      <c r="JI18">
        <v>144.19999999999999</v>
      </c>
      <c r="JJ18">
        <v>148.19999999999999</v>
      </c>
      <c r="JK18" s="31">
        <v>151.80000000000001</v>
      </c>
      <c r="JO18" s="31">
        <v>2021</v>
      </c>
    </row>
    <row r="19" spans="1:275" s="31" customFormat="1" ht="15.6" x14ac:dyDescent="0.3">
      <c r="A19" s="64"/>
      <c r="B19" s="67"/>
      <c r="C19" s="67"/>
      <c r="D19" s="67"/>
      <c r="E19" s="67"/>
      <c r="F19" s="67"/>
      <c r="G19" s="68"/>
      <c r="H19" s="68"/>
      <c r="I19" s="68"/>
      <c r="J19" s="68"/>
      <c r="K19" s="68"/>
      <c r="L19" s="68"/>
      <c r="M19" s="69"/>
      <c r="N19" s="68"/>
      <c r="O19" s="68"/>
      <c r="P19" s="68"/>
      <c r="Q19" s="68"/>
      <c r="R19" s="68"/>
      <c r="S19" s="68"/>
      <c r="T19" s="68"/>
      <c r="U19" s="68"/>
      <c r="V19" s="68"/>
      <c r="W19" s="68"/>
      <c r="X19" s="68"/>
      <c r="Y19" s="69"/>
      <c r="Z19" s="68"/>
      <c r="AA19" s="68"/>
      <c r="AB19" s="68"/>
      <c r="AC19" s="68"/>
      <c r="AD19" s="68"/>
      <c r="AE19" s="68"/>
      <c r="AF19" s="68"/>
      <c r="AG19" s="68"/>
      <c r="AH19" s="68"/>
      <c r="AI19" s="68"/>
      <c r="AJ19" s="68"/>
      <c r="AK19" s="69"/>
      <c r="AL19" s="68"/>
      <c r="AM19" s="68"/>
      <c r="AN19" s="68"/>
      <c r="AO19" s="68"/>
      <c r="AP19" s="68"/>
      <c r="AQ19" s="68"/>
      <c r="AR19" s="68"/>
      <c r="AS19" s="68"/>
      <c r="AT19" s="68"/>
      <c r="AU19" s="68"/>
      <c r="AV19" s="68"/>
      <c r="AW19" s="69"/>
      <c r="AX19" s="68"/>
      <c r="AY19" s="68"/>
      <c r="AZ19" s="68"/>
      <c r="BA19" s="68"/>
      <c r="BB19" s="68"/>
      <c r="BC19" s="68"/>
      <c r="BD19" s="68"/>
      <c r="BE19" s="68"/>
      <c r="BF19" s="68"/>
      <c r="BG19" s="68"/>
      <c r="BH19" s="68"/>
      <c r="BI19" s="69"/>
      <c r="BJ19" s="68"/>
      <c r="BK19" s="68"/>
      <c r="BL19" s="68"/>
      <c r="BM19" s="68"/>
      <c r="BN19" s="68"/>
      <c r="BO19" s="68"/>
      <c r="BP19" s="68"/>
      <c r="BQ19" s="68"/>
      <c r="BR19" s="68"/>
      <c r="BS19" s="68"/>
      <c r="BT19" s="68"/>
      <c r="BU19" s="69"/>
      <c r="BV19" s="68"/>
      <c r="BW19" s="68"/>
      <c r="BX19" s="68"/>
      <c r="BY19" s="68"/>
      <c r="BZ19" s="68"/>
      <c r="CA19" s="68"/>
      <c r="CB19" s="68"/>
      <c r="CC19" s="68"/>
      <c r="CD19" s="68"/>
      <c r="CE19" s="68"/>
      <c r="CF19" s="68"/>
      <c r="CG19" s="69"/>
      <c r="CH19" s="68"/>
      <c r="CI19" s="68"/>
      <c r="CJ19" s="68"/>
      <c r="CK19" s="68"/>
      <c r="CL19" s="68"/>
      <c r="CM19" s="68"/>
      <c r="CN19" s="68"/>
      <c r="CO19" s="68"/>
      <c r="CP19" s="68"/>
      <c r="CQ19" s="68"/>
      <c r="CR19" s="68"/>
      <c r="CS19" s="69"/>
      <c r="CT19" s="68"/>
      <c r="CU19" s="70"/>
      <c r="CV19" s="70"/>
      <c r="CW19" s="70"/>
      <c r="CX19" s="70"/>
      <c r="CY19" s="70"/>
      <c r="CZ19" s="70"/>
      <c r="DA19" s="70"/>
      <c r="DB19" s="70"/>
      <c r="DC19" s="70"/>
      <c r="DD19" s="70"/>
      <c r="DE19" s="70"/>
      <c r="DF19" s="70"/>
      <c r="DG19" s="70"/>
      <c r="DH19" s="70"/>
      <c r="DI19" s="70"/>
      <c r="DJ19" s="70"/>
      <c r="DK19" s="70"/>
      <c r="DL19" s="70"/>
      <c r="DM19" s="70"/>
      <c r="DN19" s="70"/>
      <c r="DO19" s="70"/>
      <c r="DP19" s="70"/>
      <c r="DQ19" s="70"/>
      <c r="DR19" s="70"/>
      <c r="DS19" s="70"/>
      <c r="DT19" s="70"/>
      <c r="DU19" s="70"/>
      <c r="DV19" s="70"/>
      <c r="DW19" s="70"/>
      <c r="DX19" s="70"/>
      <c r="DY19" s="70"/>
      <c r="DZ19" s="70"/>
      <c r="EA19" s="70"/>
      <c r="EB19" s="70"/>
      <c r="EC19" s="70"/>
      <c r="ED19" s="70"/>
      <c r="EE19" s="70"/>
      <c r="EF19" s="70"/>
      <c r="EG19" s="70"/>
      <c r="EH19" s="70"/>
      <c r="EI19" s="70"/>
      <c r="EJ19" s="70"/>
      <c r="EK19" s="70"/>
      <c r="EL19" s="71"/>
      <c r="EM19" s="71"/>
      <c r="EN19" s="71"/>
      <c r="EO19" s="71"/>
      <c r="EP19" s="71"/>
      <c r="EQ19" s="71"/>
      <c r="ER19" s="71"/>
      <c r="ES19" s="71"/>
      <c r="ET19" s="71"/>
      <c r="EU19" s="71"/>
      <c r="EV19" s="71"/>
      <c r="EW19" s="71"/>
      <c r="EX19" s="71"/>
      <c r="EY19" s="71"/>
      <c r="EZ19" s="71"/>
      <c r="FA19" s="71"/>
      <c r="FB19" s="101"/>
      <c r="FC19" s="101"/>
      <c r="FD19" s="102"/>
      <c r="FE19" s="101"/>
      <c r="FF19" s="101"/>
      <c r="FG19" s="101"/>
      <c r="FH19" s="101"/>
      <c r="FI19" s="101"/>
      <c r="FJ19" s="102"/>
      <c r="FK19" s="101"/>
      <c r="FL19" s="101"/>
      <c r="FM19" s="101"/>
      <c r="FN19" s="101"/>
      <c r="FO19" s="101"/>
      <c r="FP19" s="101"/>
      <c r="FQ19" s="102"/>
      <c r="FR19" s="102"/>
      <c r="FS19" s="102"/>
      <c r="FT19" s="103"/>
      <c r="FU19" s="104"/>
      <c r="FV19" s="104"/>
      <c r="FW19" s="59"/>
      <c r="FX19" s="59"/>
      <c r="FY19" s="103"/>
      <c r="FZ19" s="103"/>
      <c r="GA19" s="104"/>
      <c r="GB19" s="104"/>
      <c r="GC19" s="104"/>
      <c r="GD19" s="105"/>
      <c r="GE19" s="105"/>
      <c r="GF19" s="105"/>
      <c r="GG19"/>
      <c r="GH19" s="12"/>
      <c r="GI19" s="12"/>
      <c r="GJ19"/>
      <c r="GK19"/>
      <c r="GL19" s="61"/>
      <c r="GM19"/>
      <c r="GN19"/>
      <c r="GO19"/>
      <c r="GP19"/>
      <c r="GQ19"/>
      <c r="GR19"/>
      <c r="GS19" s="61"/>
      <c r="GT19" s="12"/>
      <c r="GU19"/>
      <c r="GV19" s="62"/>
      <c r="GW19" s="61"/>
      <c r="GX19"/>
      <c r="GY19"/>
      <c r="GZ19"/>
      <c r="HA19"/>
      <c r="HB19"/>
      <c r="HC19"/>
      <c r="HD19"/>
      <c r="HE19"/>
      <c r="HF19"/>
      <c r="HG19"/>
      <c r="HH19"/>
      <c r="HI19"/>
      <c r="HJ19"/>
      <c r="HK19"/>
      <c r="HL19"/>
      <c r="HM19"/>
      <c r="HN19"/>
      <c r="HO19" s="12"/>
      <c r="HP19"/>
      <c r="HQ19"/>
      <c r="HR19"/>
      <c r="HS19"/>
      <c r="HT19"/>
      <c r="HU19"/>
      <c r="HV19"/>
      <c r="HW19"/>
      <c r="HX19"/>
      <c r="HY19"/>
      <c r="HZ19"/>
      <c r="IA19" s="12"/>
      <c r="IB19"/>
      <c r="IC19"/>
      <c r="ID19"/>
      <c r="IE19"/>
      <c r="IF19"/>
      <c r="IG19"/>
      <c r="IH19"/>
      <c r="II19"/>
      <c r="IJ19"/>
      <c r="IK19"/>
      <c r="IL19"/>
      <c r="IM19"/>
      <c r="IN19"/>
      <c r="IO19"/>
      <c r="IP19"/>
      <c r="IQ19"/>
      <c r="IR19"/>
      <c r="IS19"/>
      <c r="IT19"/>
      <c r="IU19"/>
      <c r="IV19"/>
      <c r="IW19"/>
      <c r="IX19" s="12"/>
      <c r="IY19"/>
      <c r="IZ19"/>
      <c r="JA19"/>
      <c r="JB19"/>
      <c r="JC19"/>
      <c r="JD19"/>
      <c r="JE19"/>
      <c r="JF19"/>
      <c r="JG19"/>
      <c r="JH19"/>
      <c r="JI19"/>
      <c r="JJ19"/>
      <c r="JK19"/>
    </row>
    <row r="20" spans="1:275" s="31" customFormat="1" ht="15.6" x14ac:dyDescent="0.3">
      <c r="A20" s="64" t="s">
        <v>155</v>
      </c>
      <c r="B20" s="67"/>
      <c r="C20" s="67"/>
      <c r="D20" s="67"/>
      <c r="E20" s="67"/>
      <c r="F20" s="67"/>
      <c r="G20" s="68"/>
      <c r="H20" s="68"/>
      <c r="I20" s="68"/>
      <c r="J20" s="68"/>
      <c r="K20" s="68"/>
      <c r="L20" s="68"/>
      <c r="M20" s="69"/>
      <c r="N20" s="68"/>
      <c r="O20" s="68"/>
      <c r="P20" s="68"/>
      <c r="Q20" s="68"/>
      <c r="R20" s="68"/>
      <c r="S20" s="68"/>
      <c r="T20" s="68"/>
      <c r="U20" s="68"/>
      <c r="V20" s="68"/>
      <c r="W20" s="68"/>
      <c r="X20" s="68"/>
      <c r="Y20" s="69"/>
      <c r="Z20" s="68"/>
      <c r="AA20" s="68"/>
      <c r="AB20" s="68"/>
      <c r="AC20" s="68"/>
      <c r="AD20" s="68"/>
      <c r="AE20" s="68"/>
      <c r="AF20" s="68"/>
      <c r="AG20" s="68"/>
      <c r="AH20" s="68"/>
      <c r="AI20" s="68"/>
      <c r="AJ20" s="68"/>
      <c r="AK20" s="69"/>
      <c r="AL20" s="68"/>
      <c r="AM20" s="68"/>
      <c r="AN20" s="68"/>
      <c r="AO20" s="68"/>
      <c r="AP20" s="68"/>
      <c r="AQ20" s="68"/>
      <c r="AR20" s="68"/>
      <c r="AS20" s="68"/>
      <c r="AT20" s="68"/>
      <c r="AU20" s="68"/>
      <c r="AV20" s="68"/>
      <c r="AW20" s="69"/>
      <c r="AX20" s="68"/>
      <c r="AY20" s="68"/>
      <c r="AZ20" s="68"/>
      <c r="BA20" s="68"/>
      <c r="BB20" s="68"/>
      <c r="BC20" s="68"/>
      <c r="BD20" s="68"/>
      <c r="BE20" s="68"/>
      <c r="BF20" s="68"/>
      <c r="BG20" s="68"/>
      <c r="BH20" s="68"/>
      <c r="BI20" s="69"/>
      <c r="BJ20" s="68"/>
      <c r="BK20" s="68"/>
      <c r="BL20" s="68"/>
      <c r="BM20" s="68"/>
      <c r="BN20" s="68"/>
      <c r="BO20" s="68"/>
      <c r="BP20" s="68"/>
      <c r="BQ20" s="68"/>
      <c r="BR20" s="68"/>
      <c r="BS20" s="68"/>
      <c r="BT20" s="68"/>
      <c r="BU20" s="69"/>
      <c r="BV20" s="68"/>
      <c r="BW20" s="68"/>
      <c r="BX20" s="68"/>
      <c r="BY20" s="68"/>
      <c r="BZ20" s="68"/>
      <c r="CA20" s="68"/>
      <c r="CB20" s="68"/>
      <c r="CC20" s="68"/>
      <c r="CD20" s="68"/>
      <c r="CE20" s="68"/>
      <c r="CF20" s="68"/>
      <c r="CG20" s="69"/>
      <c r="CH20" s="68"/>
      <c r="CI20" s="68"/>
      <c r="CJ20" s="68"/>
      <c r="CK20" s="68"/>
      <c r="CL20" s="68"/>
      <c r="CM20" s="68"/>
      <c r="CN20" s="68"/>
      <c r="CO20" s="68"/>
      <c r="CP20" s="68"/>
      <c r="CQ20" s="68"/>
      <c r="CR20" s="68"/>
      <c r="CS20" s="69"/>
      <c r="CT20" s="68"/>
      <c r="CU20" s="70"/>
      <c r="CV20" s="70"/>
      <c r="CW20" s="70"/>
      <c r="CX20" s="70"/>
      <c r="CY20" s="70"/>
      <c r="CZ20" s="70"/>
      <c r="DA20" s="70"/>
      <c r="DB20" s="70"/>
      <c r="DC20" s="70"/>
      <c r="DD20" s="70"/>
      <c r="DE20" s="70"/>
      <c r="DF20" s="70"/>
      <c r="DG20" s="70"/>
      <c r="DH20" s="70"/>
      <c r="DI20" s="70"/>
      <c r="DJ20" s="70"/>
      <c r="DK20" s="70"/>
      <c r="DL20" s="70"/>
      <c r="DM20" s="70"/>
      <c r="DN20" s="70"/>
      <c r="DO20" s="70"/>
      <c r="DP20" s="70"/>
      <c r="DQ20" s="70"/>
      <c r="DR20" s="70"/>
      <c r="DS20" s="70"/>
      <c r="DT20" s="70"/>
      <c r="DU20" s="70"/>
      <c r="DV20" s="70"/>
      <c r="DW20" s="70"/>
      <c r="DX20" s="70"/>
      <c r="DY20" s="70"/>
      <c r="DZ20" s="70"/>
      <c r="EA20" s="70"/>
      <c r="EB20" s="70"/>
      <c r="EC20" s="70"/>
      <c r="ED20" s="70"/>
      <c r="EE20" s="70"/>
      <c r="EF20" s="70"/>
      <c r="EG20" s="70"/>
      <c r="EH20" s="70"/>
      <c r="EI20" s="70"/>
      <c r="EJ20" s="70"/>
      <c r="EK20" s="70"/>
      <c r="EL20" s="71"/>
      <c r="EM20" s="71"/>
      <c r="EN20" s="71"/>
      <c r="EO20" s="71"/>
      <c r="EP20" s="71"/>
      <c r="EQ20" s="71"/>
      <c r="ER20" s="71"/>
      <c r="ES20" s="71"/>
      <c r="ET20" s="71"/>
      <c r="EU20" s="71"/>
      <c r="EV20" s="71"/>
      <c r="EW20" s="71"/>
      <c r="EX20" s="71"/>
      <c r="EY20" s="71"/>
      <c r="EZ20" s="71"/>
      <c r="FA20" s="71"/>
      <c r="FB20" s="101"/>
      <c r="FC20" s="101"/>
      <c r="FD20" s="102"/>
      <c r="FE20" s="101"/>
      <c r="FF20" s="101"/>
      <c r="FG20" s="101"/>
      <c r="FH20" s="101"/>
      <c r="FI20" s="101"/>
      <c r="FJ20" s="102"/>
      <c r="FK20" s="101"/>
      <c r="FL20" s="101"/>
      <c r="FM20" s="101"/>
      <c r="FN20" s="101"/>
      <c r="FO20" s="101"/>
      <c r="FP20" s="101"/>
      <c r="FQ20" s="102"/>
      <c r="FR20" s="102"/>
      <c r="FS20" s="102"/>
      <c r="FT20" s="103"/>
      <c r="FU20" s="104"/>
      <c r="FV20" s="104"/>
      <c r="FW20" s="59"/>
      <c r="FX20" s="59"/>
      <c r="FY20" s="103"/>
      <c r="FZ20" s="103"/>
      <c r="GA20" s="104"/>
      <c r="GB20" s="104"/>
      <c r="GC20" s="104"/>
      <c r="GD20" s="105"/>
      <c r="GE20" s="105"/>
      <c r="GF20" s="105"/>
      <c r="GG20"/>
      <c r="GH20" s="12"/>
      <c r="GI20" s="12"/>
      <c r="GJ20"/>
      <c r="GK20"/>
      <c r="GL20" s="61"/>
      <c r="GM20"/>
      <c r="GN20"/>
      <c r="GO20"/>
      <c r="GP20"/>
      <c r="GQ20"/>
      <c r="GR20"/>
      <c r="GS20" s="61"/>
      <c r="GT20" s="12"/>
      <c r="GU20"/>
      <c r="GV20" s="62"/>
      <c r="GW20" s="61"/>
      <c r="GX20"/>
      <c r="GY20"/>
      <c r="GZ20"/>
      <c r="HA20"/>
      <c r="HB20"/>
      <c r="HC20"/>
      <c r="HD20"/>
      <c r="HE20"/>
      <c r="HF20"/>
      <c r="HG20"/>
      <c r="HH20"/>
      <c r="HI20"/>
      <c r="HJ20"/>
      <c r="HK20"/>
      <c r="HL20"/>
      <c r="HM20"/>
      <c r="HN20"/>
      <c r="HO20" s="12"/>
      <c r="HP20"/>
      <c r="HQ20"/>
      <c r="HR20"/>
      <c r="HS20"/>
      <c r="HT20"/>
      <c r="HU20"/>
      <c r="HV20"/>
      <c r="HW20"/>
      <c r="HX20"/>
      <c r="HY20"/>
      <c r="HZ20"/>
      <c r="IA20" s="12"/>
      <c r="IB20"/>
      <c r="IC20"/>
      <c r="ID20"/>
      <c r="IE20"/>
      <c r="IF20"/>
      <c r="IG20"/>
      <c r="IH20"/>
      <c r="II20"/>
      <c r="IJ20"/>
      <c r="IK20"/>
      <c r="IL20"/>
      <c r="IM20"/>
      <c r="IN20"/>
      <c r="IO20"/>
      <c r="IP20"/>
      <c r="IQ20"/>
      <c r="IR20"/>
      <c r="IS20"/>
      <c r="IT20"/>
      <c r="IU20"/>
      <c r="IV20"/>
      <c r="IW20"/>
      <c r="IX20" s="12"/>
      <c r="IY20"/>
      <c r="IZ20"/>
      <c r="JA20"/>
      <c r="JB20"/>
      <c r="JC20"/>
      <c r="JD20"/>
      <c r="JE20"/>
      <c r="JF20"/>
      <c r="JG20"/>
      <c r="JH20"/>
      <c r="JI20"/>
      <c r="JJ20"/>
      <c r="JK20"/>
    </row>
    <row r="21" spans="1:275" s="31" customFormat="1" ht="15.6" x14ac:dyDescent="0.3">
      <c r="A21" s="83" t="s">
        <v>140</v>
      </c>
      <c r="B21" s="67"/>
      <c r="C21" s="67"/>
      <c r="D21" s="67"/>
      <c r="E21" s="67"/>
      <c r="F21" s="67"/>
      <c r="G21" s="68"/>
      <c r="H21" s="68"/>
      <c r="I21" s="68"/>
      <c r="J21" s="68"/>
      <c r="K21" s="68"/>
      <c r="L21" s="68"/>
      <c r="M21" s="69"/>
      <c r="N21" s="68"/>
      <c r="O21" s="68"/>
      <c r="P21" s="68"/>
      <c r="Q21" s="68"/>
      <c r="R21" s="68"/>
      <c r="S21" s="68"/>
      <c r="T21" s="68"/>
      <c r="U21" s="68"/>
      <c r="V21" s="68"/>
      <c r="W21" s="68"/>
      <c r="X21" s="68"/>
      <c r="Y21" s="69"/>
      <c r="Z21" s="68"/>
      <c r="AA21" s="68"/>
      <c r="AB21" s="68"/>
      <c r="AC21" s="68"/>
      <c r="AD21" s="68"/>
      <c r="AE21" s="68"/>
      <c r="AF21" s="68"/>
      <c r="AG21" s="68"/>
      <c r="AH21" s="68"/>
      <c r="AI21" s="68"/>
      <c r="AJ21" s="68"/>
      <c r="AK21" s="69"/>
      <c r="AL21" s="68"/>
      <c r="AM21" s="68"/>
      <c r="AN21" s="68"/>
      <c r="AO21" s="68"/>
      <c r="AP21" s="68"/>
      <c r="AQ21" s="68"/>
      <c r="AR21" s="68"/>
      <c r="AS21" s="68"/>
      <c r="AT21" s="68"/>
      <c r="AU21" s="68"/>
      <c r="AV21" s="68"/>
      <c r="AW21" s="69"/>
      <c r="AX21" s="68"/>
      <c r="AY21" s="68"/>
      <c r="AZ21" s="68"/>
      <c r="BA21" s="68"/>
      <c r="BB21" s="68"/>
      <c r="BC21" s="68"/>
      <c r="BD21" s="68"/>
      <c r="BE21" s="68"/>
      <c r="BF21" s="68"/>
      <c r="BG21" s="68"/>
      <c r="BH21" s="68"/>
      <c r="BI21" s="69"/>
      <c r="BJ21" s="68"/>
      <c r="BK21" s="68"/>
      <c r="BL21" s="68"/>
      <c r="BM21" s="68"/>
      <c r="BN21" s="68"/>
      <c r="BO21" s="68"/>
      <c r="BP21" s="68"/>
      <c r="BQ21" s="68"/>
      <c r="BR21" s="68"/>
      <c r="BS21" s="68"/>
      <c r="BT21" s="68"/>
      <c r="BU21" s="69"/>
      <c r="BV21" s="68"/>
      <c r="BW21" s="68"/>
      <c r="BX21" s="68"/>
      <c r="BY21" s="68"/>
      <c r="BZ21" s="68"/>
      <c r="CA21" s="68"/>
      <c r="CB21" s="68"/>
      <c r="CC21" s="68"/>
      <c r="CD21" s="68"/>
      <c r="CE21" s="68"/>
      <c r="CF21" s="68"/>
      <c r="CG21" s="69"/>
      <c r="CH21" s="68"/>
      <c r="CI21" s="68"/>
      <c r="CJ21" s="68"/>
      <c r="CK21" s="68"/>
      <c r="CL21" s="68"/>
      <c r="CM21" s="68"/>
      <c r="CN21" s="68"/>
      <c r="CO21" s="68"/>
      <c r="CP21" s="68"/>
      <c r="CQ21" s="68"/>
      <c r="CR21" s="68"/>
      <c r="CS21" s="69"/>
      <c r="CT21" s="68"/>
      <c r="CU21" s="70"/>
      <c r="CV21" s="70"/>
      <c r="CW21" s="70"/>
      <c r="CX21" s="70"/>
      <c r="CY21" s="70"/>
      <c r="CZ21" s="70"/>
      <c r="DA21" s="70"/>
      <c r="DB21" s="70"/>
      <c r="DC21" s="70"/>
      <c r="DD21" s="70"/>
      <c r="DE21" s="70"/>
      <c r="DF21" s="70"/>
      <c r="DG21" s="70"/>
      <c r="DH21" s="70"/>
      <c r="DI21" s="70"/>
      <c r="DJ21" s="70"/>
      <c r="DK21" s="70"/>
      <c r="DL21" s="70"/>
      <c r="DM21" s="70"/>
      <c r="DN21" s="70"/>
      <c r="DO21" s="70"/>
      <c r="DP21" s="70"/>
      <c r="DQ21" s="70"/>
      <c r="DR21" s="70"/>
      <c r="DS21" s="70"/>
      <c r="DT21" s="70"/>
      <c r="DU21" s="70"/>
      <c r="DV21" s="70"/>
      <c r="DW21" s="70"/>
      <c r="DX21" s="70"/>
      <c r="DY21" s="70"/>
      <c r="DZ21" s="70"/>
      <c r="EA21" s="70"/>
      <c r="EB21" s="70"/>
      <c r="EC21" s="70"/>
      <c r="ED21" s="70"/>
      <c r="EE21" s="70"/>
      <c r="EF21" s="70"/>
      <c r="EG21" s="70"/>
      <c r="EH21" s="70"/>
      <c r="EI21" s="70"/>
      <c r="EJ21" s="70"/>
      <c r="EK21" s="70"/>
      <c r="EL21" s="71"/>
      <c r="EM21" s="71"/>
      <c r="EN21" s="71"/>
      <c r="EO21" s="71"/>
      <c r="EP21" s="71"/>
      <c r="EQ21" s="71"/>
      <c r="ER21" s="71"/>
      <c r="ES21" s="71"/>
      <c r="ET21" s="71"/>
      <c r="EU21" s="71"/>
      <c r="EV21" s="71"/>
      <c r="EW21" s="71"/>
      <c r="EX21" s="71"/>
      <c r="EY21" s="71"/>
      <c r="EZ21" s="71"/>
      <c r="FA21" s="71"/>
      <c r="FB21" s="101"/>
      <c r="FC21" s="101"/>
      <c r="FD21" s="102"/>
      <c r="FE21" s="101"/>
      <c r="FF21" s="101"/>
      <c r="FG21" s="101"/>
      <c r="FH21" s="101"/>
      <c r="FI21" s="101"/>
      <c r="FJ21" s="87">
        <v>94.3</v>
      </c>
      <c r="FK21" s="87">
        <v>93.9</v>
      </c>
      <c r="FL21" s="87">
        <v>91.8</v>
      </c>
      <c r="FM21" s="87">
        <v>92.7</v>
      </c>
      <c r="FN21" s="87">
        <v>94.1</v>
      </c>
      <c r="FO21" s="87">
        <v>96.3</v>
      </c>
      <c r="FP21" s="87">
        <v>100.4</v>
      </c>
      <c r="FQ21" s="87">
        <v>100.8</v>
      </c>
      <c r="FR21" s="87">
        <v>98.7</v>
      </c>
      <c r="FS21" s="87">
        <v>97.6</v>
      </c>
      <c r="FT21" s="87">
        <v>101.2</v>
      </c>
      <c r="FU21" s="87">
        <v>100.8</v>
      </c>
      <c r="FV21" s="87">
        <v>100</v>
      </c>
      <c r="FW21" s="88">
        <v>101.2</v>
      </c>
      <c r="FX21" s="88">
        <v>99.8</v>
      </c>
      <c r="FY21" s="88">
        <v>99</v>
      </c>
      <c r="FZ21" s="88">
        <v>100.1</v>
      </c>
      <c r="GA21" s="88">
        <v>101.1</v>
      </c>
      <c r="GB21" s="88">
        <v>102.2</v>
      </c>
      <c r="GC21" s="88">
        <v>98.1</v>
      </c>
      <c r="GD21" s="88">
        <v>99.5</v>
      </c>
      <c r="GE21" s="88">
        <v>99.6</v>
      </c>
      <c r="GF21" s="88">
        <v>100.8</v>
      </c>
      <c r="GG21" s="88">
        <v>102.2</v>
      </c>
      <c r="GH21" s="88">
        <v>102</v>
      </c>
      <c r="GI21" s="88">
        <v>102.8</v>
      </c>
      <c r="GJ21" s="88">
        <v>100.7</v>
      </c>
      <c r="GK21" s="88">
        <v>101.4</v>
      </c>
      <c r="GL21" s="88">
        <v>100.5</v>
      </c>
      <c r="GM21" s="88">
        <v>101.6</v>
      </c>
      <c r="GN21" s="88">
        <v>102.3</v>
      </c>
      <c r="GO21" s="88">
        <v>102.8</v>
      </c>
      <c r="GP21" s="88">
        <v>104</v>
      </c>
      <c r="GQ21" s="88">
        <v>102.6</v>
      </c>
      <c r="GR21" s="88">
        <v>103.5</v>
      </c>
      <c r="GS21" s="88">
        <v>102.1</v>
      </c>
      <c r="GT21" s="88">
        <v>102.9</v>
      </c>
      <c r="GU21" s="88">
        <v>102.8</v>
      </c>
      <c r="GV21" s="88">
        <v>103.2</v>
      </c>
      <c r="GW21" s="88">
        <v>105.2</v>
      </c>
      <c r="GX21" s="88">
        <v>42.260864509366662</v>
      </c>
      <c r="GY21" s="88">
        <v>41.120719883212622</v>
      </c>
      <c r="GZ21" s="88">
        <v>42.480649540713628</v>
      </c>
      <c r="HA21" s="88">
        <v>42.45164846502243</v>
      </c>
      <c r="HB21" s="88">
        <v>41.159528067268653</v>
      </c>
      <c r="HC21" s="88">
        <v>42.812331135931871</v>
      </c>
      <c r="HD21" s="88">
        <v>42.756259235584011</v>
      </c>
      <c r="HE21" s="88">
        <v>41.708855008933973</v>
      </c>
      <c r="HF21" s="109">
        <v>42.60820357297964</v>
      </c>
      <c r="HG21" s="88">
        <v>43.637565465345332</v>
      </c>
      <c r="HH21" s="88">
        <v>42.455233168268165</v>
      </c>
      <c r="HI21" s="88">
        <v>45.162595207825206</v>
      </c>
      <c r="HJ21" s="88">
        <v>45.704498515836143</v>
      </c>
      <c r="HK21" s="88">
        <v>46.298751575344674</v>
      </c>
      <c r="HL21" s="88">
        <v>45.322759367595332</v>
      </c>
      <c r="HM21" s="88">
        <v>47.335215841914021</v>
      </c>
      <c r="HN21" s="88">
        <v>46.409909486919602</v>
      </c>
      <c r="HO21" s="88">
        <v>47.447362248697992</v>
      </c>
      <c r="HP21" s="88">
        <v>46.586861214604653</v>
      </c>
      <c r="HQ21" s="88">
        <v>48.423364252723125</v>
      </c>
      <c r="HR21" s="88">
        <v>49.308024055340745</v>
      </c>
      <c r="HS21" s="88">
        <v>52.52167892325604</v>
      </c>
      <c r="HT21" s="88">
        <v>49.095360443571735</v>
      </c>
      <c r="HU21" s="88">
        <v>51.001231291719151</v>
      </c>
      <c r="HV21" s="88">
        <v>52.17717610969752</v>
      </c>
      <c r="HW21" s="88">
        <v>52.184483562993755</v>
      </c>
      <c r="HX21" s="88">
        <v>51.840365004163779</v>
      </c>
      <c r="HY21" s="88">
        <v>52.813362015911942</v>
      </c>
      <c r="HZ21" s="88">
        <v>53.957741480926693</v>
      </c>
      <c r="IA21" s="88">
        <v>56.467318508170969</v>
      </c>
      <c r="IB21" s="88">
        <v>56.043983393253953</v>
      </c>
      <c r="IC21" s="88">
        <v>56.476214439101007</v>
      </c>
      <c r="ID21" s="88">
        <v>56.196019454475568</v>
      </c>
      <c r="IE21" s="88">
        <v>55.060667449731888</v>
      </c>
      <c r="IF21" s="88">
        <v>53.441299729517112</v>
      </c>
      <c r="IG21" s="88">
        <v>55.90448980531373</v>
      </c>
      <c r="IH21" s="89">
        <v>57.168305030899113</v>
      </c>
      <c r="II21" s="88">
        <v>55.383394408636725</v>
      </c>
      <c r="IJ21" s="88">
        <v>55.52974113523377</v>
      </c>
      <c r="IK21" s="88">
        <v>57.670926975834639</v>
      </c>
      <c r="IL21" s="88">
        <v>59.949124115867903</v>
      </c>
      <c r="IM21" s="88">
        <v>63.125226735696856</v>
      </c>
      <c r="IN21" s="88">
        <v>59.858991381619667</v>
      </c>
      <c r="IO21" s="89">
        <v>58.109035599953344</v>
      </c>
      <c r="IP21" s="88">
        <v>57.138607246116919</v>
      </c>
      <c r="IQ21" s="88">
        <v>56.39309210618665</v>
      </c>
      <c r="IR21" s="88">
        <v>59.621100624533547</v>
      </c>
      <c r="IS21" s="88">
        <v>61.181107984805472</v>
      </c>
      <c r="IT21" s="88">
        <v>61.351121528980151</v>
      </c>
      <c r="IU21" s="88">
        <v>57.206953344228353</v>
      </c>
      <c r="IV21" s="88">
        <v>56.159040226780029</v>
      </c>
      <c r="IW21" s="88">
        <v>55.853162081340415</v>
      </c>
      <c r="IX21" s="88">
        <v>56.495351753000001</v>
      </c>
      <c r="IY21" s="88">
        <v>59.833205535545602</v>
      </c>
      <c r="IZ21" s="88">
        <v>57.834474176690144</v>
      </c>
      <c r="JA21" s="88">
        <v>56.692947994695643</v>
      </c>
      <c r="JB21" s="90">
        <v>57.228650523520599</v>
      </c>
      <c r="JC21" s="91">
        <v>56.7</v>
      </c>
      <c r="JD21" s="91">
        <v>57.4</v>
      </c>
      <c r="JE21" s="91">
        <v>60</v>
      </c>
      <c r="JF21" s="91">
        <v>59</v>
      </c>
      <c r="JG21" s="91">
        <v>56.5</v>
      </c>
      <c r="JH21" s="91">
        <v>56.9</v>
      </c>
      <c r="JI21" s="90">
        <v>57</v>
      </c>
      <c r="JJ21" s="91">
        <v>57.7</v>
      </c>
      <c r="JK21" s="92">
        <v>59.3</v>
      </c>
      <c r="JM21" s="84">
        <f>JK21/(JO21/10^2)</f>
        <v>139.20187793427229</v>
      </c>
      <c r="JO21" s="31">
        <v>42.6</v>
      </c>
    </row>
    <row r="22" spans="1:275" s="31" customFormat="1" ht="15.6" x14ac:dyDescent="0.3">
      <c r="A22" s="83" t="s">
        <v>141</v>
      </c>
      <c r="B22" s="67"/>
      <c r="C22" s="67"/>
      <c r="D22" s="67"/>
      <c r="E22" s="67"/>
      <c r="F22" s="67"/>
      <c r="G22" s="68"/>
      <c r="H22" s="68"/>
      <c r="I22" s="68"/>
      <c r="J22" s="68"/>
      <c r="K22" s="68"/>
      <c r="L22" s="68"/>
      <c r="M22" s="69"/>
      <c r="N22" s="68"/>
      <c r="O22" s="68"/>
      <c r="P22" s="68"/>
      <c r="Q22" s="68"/>
      <c r="R22" s="68"/>
      <c r="S22" s="68"/>
      <c r="T22" s="68"/>
      <c r="U22" s="68"/>
      <c r="V22" s="68"/>
      <c r="W22" s="68"/>
      <c r="X22" s="68"/>
      <c r="Y22" s="69"/>
      <c r="Z22" s="68"/>
      <c r="AA22" s="68"/>
      <c r="AB22" s="68"/>
      <c r="AC22" s="68"/>
      <c r="AD22" s="68"/>
      <c r="AE22" s="68"/>
      <c r="AF22" s="68"/>
      <c r="AG22" s="68"/>
      <c r="AH22" s="68"/>
      <c r="AI22" s="68"/>
      <c r="AJ22" s="68"/>
      <c r="AK22" s="69"/>
      <c r="AL22" s="68"/>
      <c r="AM22" s="68"/>
      <c r="AN22" s="68"/>
      <c r="AO22" s="68"/>
      <c r="AP22" s="68"/>
      <c r="AQ22" s="68"/>
      <c r="AR22" s="68"/>
      <c r="AS22" s="68"/>
      <c r="AT22" s="68"/>
      <c r="AU22" s="68"/>
      <c r="AV22" s="68"/>
      <c r="AW22" s="69"/>
      <c r="AX22" s="68"/>
      <c r="AY22" s="68"/>
      <c r="AZ22" s="68"/>
      <c r="BA22" s="68"/>
      <c r="BB22" s="68"/>
      <c r="BC22" s="68"/>
      <c r="BD22" s="68"/>
      <c r="BE22" s="68"/>
      <c r="BF22" s="68"/>
      <c r="BG22" s="68"/>
      <c r="BH22" s="68"/>
      <c r="BI22" s="69"/>
      <c r="BJ22" s="68"/>
      <c r="BK22" s="68"/>
      <c r="BL22" s="68"/>
      <c r="BM22" s="68"/>
      <c r="BN22" s="68"/>
      <c r="BO22" s="68"/>
      <c r="BP22" s="68"/>
      <c r="BQ22" s="68"/>
      <c r="BR22" s="68"/>
      <c r="BS22" s="68"/>
      <c r="BT22" s="68"/>
      <c r="BU22" s="69"/>
      <c r="BV22" s="68"/>
      <c r="BW22" s="68"/>
      <c r="BX22" s="68"/>
      <c r="BY22" s="68"/>
      <c r="BZ22" s="68"/>
      <c r="CA22" s="68"/>
      <c r="CB22" s="68"/>
      <c r="CC22" s="68"/>
      <c r="CD22" s="68"/>
      <c r="CE22" s="68"/>
      <c r="CF22" s="68"/>
      <c r="CG22" s="69"/>
      <c r="CH22" s="68"/>
      <c r="CI22" s="68"/>
      <c r="CJ22" s="68"/>
      <c r="CK22" s="68"/>
      <c r="CL22" s="68"/>
      <c r="CM22" s="68"/>
      <c r="CN22" s="68"/>
      <c r="CO22" s="68"/>
      <c r="CP22" s="68"/>
      <c r="CQ22" s="68"/>
      <c r="CR22" s="68"/>
      <c r="CS22" s="69"/>
      <c r="CT22" s="68"/>
      <c r="CU22" s="70"/>
      <c r="CV22" s="70"/>
      <c r="CW22" s="70"/>
      <c r="CX22" s="70"/>
      <c r="CY22" s="70"/>
      <c r="CZ22" s="70"/>
      <c r="DA22" s="70"/>
      <c r="DB22" s="70"/>
      <c r="DC22" s="70"/>
      <c r="DD22" s="70"/>
      <c r="DE22" s="70"/>
      <c r="DF22" s="70"/>
      <c r="DG22" s="70"/>
      <c r="DH22" s="70"/>
      <c r="DI22" s="70"/>
      <c r="DJ22" s="70"/>
      <c r="DK22" s="70"/>
      <c r="DL22" s="70"/>
      <c r="DM22" s="70"/>
      <c r="DN22" s="70"/>
      <c r="DO22" s="70"/>
      <c r="DP22" s="70"/>
      <c r="DQ22" s="70"/>
      <c r="DR22" s="70"/>
      <c r="DS22" s="70"/>
      <c r="DT22" s="70"/>
      <c r="DU22" s="70"/>
      <c r="DV22" s="70"/>
      <c r="DW22" s="70"/>
      <c r="DX22" s="70"/>
      <c r="DY22" s="70"/>
      <c r="DZ22" s="70"/>
      <c r="EA22" s="70"/>
      <c r="EB22" s="70"/>
      <c r="EC22" s="70"/>
      <c r="ED22" s="70"/>
      <c r="EE22" s="70"/>
      <c r="EF22" s="70"/>
      <c r="EG22" s="70"/>
      <c r="EH22" s="70"/>
      <c r="EI22" s="70"/>
      <c r="EJ22" s="70"/>
      <c r="EK22" s="70"/>
      <c r="EL22" s="71"/>
      <c r="EM22" s="71"/>
      <c r="EN22" s="71"/>
      <c r="EO22" s="71"/>
      <c r="EP22" s="71"/>
      <c r="EQ22" s="71"/>
      <c r="ER22" s="71"/>
      <c r="ES22" s="71"/>
      <c r="ET22" s="71"/>
      <c r="EU22" s="71"/>
      <c r="EV22" s="71"/>
      <c r="EW22" s="71"/>
      <c r="EX22" s="71"/>
      <c r="EY22" s="71"/>
      <c r="EZ22" s="71"/>
      <c r="FA22" s="71"/>
      <c r="FB22" s="101"/>
      <c r="FC22" s="101"/>
      <c r="FD22" s="102"/>
      <c r="FE22" s="101"/>
      <c r="FF22" s="101"/>
      <c r="FG22" s="101"/>
      <c r="FH22" s="101"/>
      <c r="FI22" s="101"/>
      <c r="FJ22" s="87">
        <v>85.1</v>
      </c>
      <c r="FK22" s="87">
        <v>85.6</v>
      </c>
      <c r="FL22" s="87">
        <v>85.8</v>
      </c>
      <c r="FM22" s="87">
        <v>86.2</v>
      </c>
      <c r="FN22" s="87">
        <v>85.8</v>
      </c>
      <c r="FO22" s="87">
        <v>85.8</v>
      </c>
      <c r="FP22" s="87">
        <v>86.2</v>
      </c>
      <c r="FQ22" s="87">
        <v>87.1</v>
      </c>
      <c r="FR22" s="87">
        <v>88.4</v>
      </c>
      <c r="FS22" s="87">
        <v>91</v>
      </c>
      <c r="FT22" s="87">
        <v>96.7</v>
      </c>
      <c r="FU22" s="87">
        <v>99.3</v>
      </c>
      <c r="FV22" s="87">
        <v>100</v>
      </c>
      <c r="FW22" s="88">
        <v>99.6</v>
      </c>
      <c r="FX22" s="93">
        <v>99.8</v>
      </c>
      <c r="FY22" s="88">
        <v>99.6</v>
      </c>
      <c r="FZ22" s="88">
        <v>100.1</v>
      </c>
      <c r="GA22" s="88">
        <v>100.2</v>
      </c>
      <c r="GB22" s="88">
        <v>99.7</v>
      </c>
      <c r="GC22" s="88">
        <v>98.1</v>
      </c>
      <c r="GD22" s="88">
        <v>97.7</v>
      </c>
      <c r="GE22" s="88">
        <v>97.2</v>
      </c>
      <c r="GF22" s="88">
        <v>97.5</v>
      </c>
      <c r="GG22" s="88">
        <v>97.3</v>
      </c>
      <c r="GH22" s="88">
        <v>96.8</v>
      </c>
      <c r="GI22" s="88">
        <v>96.5</v>
      </c>
      <c r="GJ22" s="88">
        <v>96.6</v>
      </c>
      <c r="GK22" s="88">
        <v>95.1</v>
      </c>
      <c r="GL22" s="88">
        <v>95.5</v>
      </c>
      <c r="GM22" s="88">
        <v>94.7</v>
      </c>
      <c r="GN22" s="88">
        <v>94.7</v>
      </c>
      <c r="GO22" s="88">
        <v>93.9</v>
      </c>
      <c r="GP22" s="88">
        <v>95.5</v>
      </c>
      <c r="GQ22" s="88">
        <v>99.4</v>
      </c>
      <c r="GR22" s="88">
        <v>100.3</v>
      </c>
      <c r="GS22" s="88">
        <v>100.3</v>
      </c>
      <c r="GT22" s="88">
        <v>100.4</v>
      </c>
      <c r="GU22" s="88">
        <v>100</v>
      </c>
      <c r="GV22" s="88">
        <v>100.1</v>
      </c>
      <c r="GW22" s="88">
        <v>100.3</v>
      </c>
      <c r="GX22" s="88">
        <v>5.6918377142302399</v>
      </c>
      <c r="GY22" s="88">
        <v>5.6901778093673228</v>
      </c>
      <c r="GZ22" s="88">
        <v>5.6928127972010438</v>
      </c>
      <c r="HA22" s="88">
        <v>5.6918252832001155</v>
      </c>
      <c r="HB22" s="88">
        <v>5.6933655156356426</v>
      </c>
      <c r="HC22" s="88">
        <v>5.5391991969535503</v>
      </c>
      <c r="HD22" s="88">
        <v>5.540996511688304</v>
      </c>
      <c r="HE22" s="88">
        <v>5.5428057353136477</v>
      </c>
      <c r="HF22" s="109">
        <v>5.5985062449813539</v>
      </c>
      <c r="HG22" s="88">
        <v>5.4460122056590343</v>
      </c>
      <c r="HH22" s="88">
        <v>5.4439240176665198</v>
      </c>
      <c r="HI22" s="88">
        <v>5.5286313823769611</v>
      </c>
      <c r="HJ22" s="88">
        <v>5.4653846741339889</v>
      </c>
      <c r="HK22" s="88">
        <v>5.4729646837142569</v>
      </c>
      <c r="HL22" s="88">
        <v>5.5617396504412593</v>
      </c>
      <c r="HM22" s="88">
        <v>5.5633521168827365</v>
      </c>
      <c r="HN22" s="88">
        <v>5.6256677057529654</v>
      </c>
      <c r="HO22" s="88">
        <v>5.6724781660668473</v>
      </c>
      <c r="HP22" s="88">
        <v>5.734255048668679</v>
      </c>
      <c r="HQ22" s="88">
        <v>5.7311749868840351</v>
      </c>
      <c r="HR22" s="88">
        <v>5.7279616511473233</v>
      </c>
      <c r="HS22" s="88">
        <v>5.7203537954348427</v>
      </c>
      <c r="HT22" s="88">
        <v>5.7324998239282774</v>
      </c>
      <c r="HU22" s="88">
        <v>5.7430098898874746</v>
      </c>
      <c r="HV22" s="88">
        <v>5.7309259493954681</v>
      </c>
      <c r="HW22" s="88">
        <v>5.6444391907691598</v>
      </c>
      <c r="HX22" s="88">
        <v>5.7029064208101881</v>
      </c>
      <c r="HY22" s="88">
        <v>5.706837074836808</v>
      </c>
      <c r="HZ22" s="88">
        <v>5.6960557920926229</v>
      </c>
      <c r="IA22" s="88">
        <v>5.7035632126787075</v>
      </c>
      <c r="IB22" s="88">
        <v>5.7304807105209976</v>
      </c>
      <c r="IC22" s="88">
        <v>5.7374316125234275</v>
      </c>
      <c r="ID22" s="88">
        <v>5.73800656403158</v>
      </c>
      <c r="IE22" s="88">
        <v>6.0269462142339005</v>
      </c>
      <c r="IF22" s="88">
        <v>5.9681568786567745</v>
      </c>
      <c r="IG22" s="88">
        <v>5.961529498373741</v>
      </c>
      <c r="IH22" s="89">
        <v>5.9682425869862108</v>
      </c>
      <c r="II22" s="88">
        <v>5.9648339884842798</v>
      </c>
      <c r="IJ22" s="88">
        <v>5.9626691046962161</v>
      </c>
      <c r="IK22" s="88">
        <v>5.9491480194500568</v>
      </c>
      <c r="IL22" s="88">
        <v>5.9616724875351199</v>
      </c>
      <c r="IM22" s="88">
        <v>6.0453964156346824</v>
      </c>
      <c r="IN22" s="88">
        <v>6.8731411765541974</v>
      </c>
      <c r="IO22" s="89">
        <v>6.9846157663902115</v>
      </c>
      <c r="IP22" s="88">
        <v>6.9814198190365602</v>
      </c>
      <c r="IQ22" s="88">
        <v>7.2495198054709427</v>
      </c>
      <c r="IR22" s="88">
        <v>7.2312375726928551</v>
      </c>
      <c r="IS22" s="88">
        <v>7.2372124932776742</v>
      </c>
      <c r="IT22" s="88">
        <v>7.4035606726747147</v>
      </c>
      <c r="IU22" s="88">
        <v>7.8507200141150646</v>
      </c>
      <c r="IV22" s="88">
        <v>7.8293763976384225</v>
      </c>
      <c r="IW22" s="88">
        <v>7.9077209704913347</v>
      </c>
      <c r="IX22" s="88">
        <v>7.9915733470000001</v>
      </c>
      <c r="IY22" s="88">
        <v>8.2342695251998084</v>
      </c>
      <c r="IZ22" s="88">
        <v>8.3326599151925702</v>
      </c>
      <c r="JA22" s="88">
        <v>8.3409728031231012</v>
      </c>
      <c r="JB22" s="90">
        <v>8.3385841662027413</v>
      </c>
      <c r="JC22" s="91">
        <v>8.5</v>
      </c>
      <c r="JD22" s="91">
        <v>8.6</v>
      </c>
      <c r="JE22" s="91">
        <v>8.8000000000000007</v>
      </c>
      <c r="JF22" s="91">
        <v>8.8000000000000007</v>
      </c>
      <c r="JG22" s="91">
        <v>8.9</v>
      </c>
      <c r="JH22" s="91">
        <v>8.9</v>
      </c>
      <c r="JI22" s="90">
        <v>9</v>
      </c>
      <c r="JJ22" s="91">
        <v>9</v>
      </c>
      <c r="JK22" s="92">
        <v>9</v>
      </c>
      <c r="JM22" s="84">
        <f t="shared" ref="JM22:JM32" si="39">JK22/(JO22/10^2)</f>
        <v>160.71428571428572</v>
      </c>
      <c r="JO22" s="31">
        <v>5.6</v>
      </c>
    </row>
    <row r="23" spans="1:275" s="31" customFormat="1" ht="15.6" x14ac:dyDescent="0.3">
      <c r="A23" s="83" t="s">
        <v>142</v>
      </c>
      <c r="B23" s="67"/>
      <c r="C23" s="67"/>
      <c r="D23" s="67"/>
      <c r="E23" s="67"/>
      <c r="F23" s="67"/>
      <c r="G23" s="68"/>
      <c r="H23" s="68"/>
      <c r="I23" s="68"/>
      <c r="J23" s="68"/>
      <c r="K23" s="68"/>
      <c r="L23" s="68"/>
      <c r="M23" s="69"/>
      <c r="N23" s="68"/>
      <c r="O23" s="68"/>
      <c r="P23" s="68"/>
      <c r="Q23" s="68"/>
      <c r="R23" s="68"/>
      <c r="S23" s="68"/>
      <c r="T23" s="68"/>
      <c r="U23" s="68"/>
      <c r="V23" s="68"/>
      <c r="W23" s="68"/>
      <c r="X23" s="68"/>
      <c r="Y23" s="69"/>
      <c r="Z23" s="68"/>
      <c r="AA23" s="68"/>
      <c r="AB23" s="68"/>
      <c r="AC23" s="68"/>
      <c r="AD23" s="68"/>
      <c r="AE23" s="68"/>
      <c r="AF23" s="68"/>
      <c r="AG23" s="68"/>
      <c r="AH23" s="68"/>
      <c r="AI23" s="68"/>
      <c r="AJ23" s="68"/>
      <c r="AK23" s="69"/>
      <c r="AL23" s="68"/>
      <c r="AM23" s="68"/>
      <c r="AN23" s="68"/>
      <c r="AO23" s="68"/>
      <c r="AP23" s="68"/>
      <c r="AQ23" s="68"/>
      <c r="AR23" s="68"/>
      <c r="AS23" s="68"/>
      <c r="AT23" s="68"/>
      <c r="AU23" s="68"/>
      <c r="AV23" s="68"/>
      <c r="AW23" s="69"/>
      <c r="AX23" s="68"/>
      <c r="AY23" s="68"/>
      <c r="AZ23" s="68"/>
      <c r="BA23" s="68"/>
      <c r="BB23" s="68"/>
      <c r="BC23" s="68"/>
      <c r="BD23" s="68"/>
      <c r="BE23" s="68"/>
      <c r="BF23" s="68"/>
      <c r="BG23" s="68"/>
      <c r="BH23" s="68"/>
      <c r="BI23" s="69"/>
      <c r="BJ23" s="68"/>
      <c r="BK23" s="68"/>
      <c r="BL23" s="68"/>
      <c r="BM23" s="68"/>
      <c r="BN23" s="68"/>
      <c r="BO23" s="68"/>
      <c r="BP23" s="68"/>
      <c r="BQ23" s="68"/>
      <c r="BR23" s="68"/>
      <c r="BS23" s="68"/>
      <c r="BT23" s="68"/>
      <c r="BU23" s="69"/>
      <c r="BV23" s="68"/>
      <c r="BW23" s="68"/>
      <c r="BX23" s="68"/>
      <c r="BY23" s="68"/>
      <c r="BZ23" s="68"/>
      <c r="CA23" s="68"/>
      <c r="CB23" s="68"/>
      <c r="CC23" s="68"/>
      <c r="CD23" s="68"/>
      <c r="CE23" s="68"/>
      <c r="CF23" s="68"/>
      <c r="CG23" s="69"/>
      <c r="CH23" s="68"/>
      <c r="CI23" s="68"/>
      <c r="CJ23" s="68"/>
      <c r="CK23" s="68"/>
      <c r="CL23" s="68"/>
      <c r="CM23" s="68"/>
      <c r="CN23" s="68"/>
      <c r="CO23" s="68"/>
      <c r="CP23" s="68"/>
      <c r="CQ23" s="68"/>
      <c r="CR23" s="68"/>
      <c r="CS23" s="69"/>
      <c r="CT23" s="68"/>
      <c r="CU23" s="70"/>
      <c r="CV23" s="70"/>
      <c r="CW23" s="70"/>
      <c r="CX23" s="70"/>
      <c r="CY23" s="70"/>
      <c r="CZ23" s="70"/>
      <c r="DA23" s="70"/>
      <c r="DB23" s="70"/>
      <c r="DC23" s="70"/>
      <c r="DD23" s="70"/>
      <c r="DE23" s="70"/>
      <c r="DF23" s="70"/>
      <c r="DG23" s="70"/>
      <c r="DH23" s="70"/>
      <c r="DI23" s="70"/>
      <c r="DJ23" s="70"/>
      <c r="DK23" s="70"/>
      <c r="DL23" s="70"/>
      <c r="DM23" s="70"/>
      <c r="DN23" s="70"/>
      <c r="DO23" s="70"/>
      <c r="DP23" s="70"/>
      <c r="DQ23" s="70"/>
      <c r="DR23" s="70"/>
      <c r="DS23" s="70"/>
      <c r="DT23" s="70"/>
      <c r="DU23" s="70"/>
      <c r="DV23" s="70"/>
      <c r="DW23" s="70"/>
      <c r="DX23" s="70"/>
      <c r="DY23" s="70"/>
      <c r="DZ23" s="70"/>
      <c r="EA23" s="70"/>
      <c r="EB23" s="70"/>
      <c r="EC23" s="70"/>
      <c r="ED23" s="70"/>
      <c r="EE23" s="70"/>
      <c r="EF23" s="70"/>
      <c r="EG23" s="70"/>
      <c r="EH23" s="70"/>
      <c r="EI23" s="70"/>
      <c r="EJ23" s="70"/>
      <c r="EK23" s="70"/>
      <c r="EL23" s="71"/>
      <c r="EM23" s="71"/>
      <c r="EN23" s="71"/>
      <c r="EO23" s="71"/>
      <c r="EP23" s="71"/>
      <c r="EQ23" s="71"/>
      <c r="ER23" s="71"/>
      <c r="ES23" s="71"/>
      <c r="ET23" s="71"/>
      <c r="EU23" s="71"/>
      <c r="EV23" s="71"/>
      <c r="EW23" s="71"/>
      <c r="EX23" s="71"/>
      <c r="EY23" s="71"/>
      <c r="EZ23" s="71"/>
      <c r="FA23" s="71"/>
      <c r="FB23" s="101"/>
      <c r="FC23" s="101"/>
      <c r="FD23" s="102"/>
      <c r="FE23" s="101"/>
      <c r="FF23" s="101"/>
      <c r="FG23" s="101"/>
      <c r="FH23" s="101"/>
      <c r="FI23" s="101"/>
      <c r="FJ23" s="87">
        <v>95</v>
      </c>
      <c r="FK23" s="87">
        <v>96</v>
      </c>
      <c r="FL23" s="87">
        <v>96.1</v>
      </c>
      <c r="FM23" s="87">
        <v>96.1</v>
      </c>
      <c r="FN23" s="87">
        <v>98.2</v>
      </c>
      <c r="FO23" s="87">
        <v>98.2</v>
      </c>
      <c r="FP23" s="87">
        <v>98.2</v>
      </c>
      <c r="FQ23" s="87">
        <v>98.2</v>
      </c>
      <c r="FR23" s="87">
        <v>98.2</v>
      </c>
      <c r="FS23" s="87">
        <v>97.8</v>
      </c>
      <c r="FT23" s="87">
        <v>99.2</v>
      </c>
      <c r="FU23" s="87">
        <v>99.6</v>
      </c>
      <c r="FV23" s="87">
        <v>100</v>
      </c>
      <c r="FW23" s="88">
        <v>100.1</v>
      </c>
      <c r="FX23" s="93">
        <v>100.3</v>
      </c>
      <c r="FY23" s="88">
        <v>100.3</v>
      </c>
      <c r="FZ23" s="88">
        <v>102.6</v>
      </c>
      <c r="GA23" s="88">
        <v>102.9</v>
      </c>
      <c r="GB23" s="88">
        <v>101.5</v>
      </c>
      <c r="GC23" s="88">
        <v>101.5</v>
      </c>
      <c r="GD23" s="88">
        <v>101.5</v>
      </c>
      <c r="GE23" s="88">
        <v>101.5</v>
      </c>
      <c r="GF23" s="88">
        <v>102.1</v>
      </c>
      <c r="GG23" s="88">
        <v>102.1</v>
      </c>
      <c r="GH23" s="88">
        <v>103.8</v>
      </c>
      <c r="GI23" s="88">
        <v>103.8</v>
      </c>
      <c r="GJ23" s="88">
        <v>103.9</v>
      </c>
      <c r="GK23" s="88">
        <v>104.3</v>
      </c>
      <c r="GL23" s="88">
        <v>105.5</v>
      </c>
      <c r="GM23" s="88">
        <v>106.1</v>
      </c>
      <c r="GN23" s="88">
        <v>106.1</v>
      </c>
      <c r="GO23" s="88">
        <v>106.5</v>
      </c>
      <c r="GP23" s="88">
        <v>108.8</v>
      </c>
      <c r="GQ23" s="88">
        <v>109.1</v>
      </c>
      <c r="GR23" s="88">
        <v>109.1</v>
      </c>
      <c r="GS23" s="88">
        <v>110.5</v>
      </c>
      <c r="GT23" s="88">
        <v>110.5</v>
      </c>
      <c r="GU23" s="88">
        <v>112.6</v>
      </c>
      <c r="GV23" s="88">
        <v>112.6</v>
      </c>
      <c r="GW23" s="88">
        <v>112.6</v>
      </c>
      <c r="GX23" s="88">
        <v>2.8412890353254463</v>
      </c>
      <c r="GY23" s="88">
        <v>2.8345267542105965</v>
      </c>
      <c r="GZ23" s="88">
        <v>2.8363481593510338</v>
      </c>
      <c r="HA23" s="88">
        <v>2.8363481593510338</v>
      </c>
      <c r="HB23" s="88">
        <v>2.8389322108057962</v>
      </c>
      <c r="HC23" s="88">
        <v>2.8389322108057962</v>
      </c>
      <c r="HD23" s="88">
        <v>2.8389322108057962</v>
      </c>
      <c r="HE23" s="88">
        <v>2.8394720929276875</v>
      </c>
      <c r="HF23" s="109">
        <v>2.8449003657431855</v>
      </c>
      <c r="HG23" s="88">
        <v>2.8449003657431855</v>
      </c>
      <c r="HH23" s="88">
        <v>2.8449003657431855</v>
      </c>
      <c r="HI23" s="88">
        <v>2.8449003657431855</v>
      </c>
      <c r="HJ23" s="88">
        <v>2.8535659663180475</v>
      </c>
      <c r="HK23" s="88">
        <v>2.8535659663180475</v>
      </c>
      <c r="HL23" s="88">
        <v>2.8535659663180475</v>
      </c>
      <c r="HM23" s="88">
        <v>2.8535659663180475</v>
      </c>
      <c r="HN23" s="88">
        <v>2.9064456503890623</v>
      </c>
      <c r="HO23" s="88">
        <v>2.9120446664544284</v>
      </c>
      <c r="HP23" s="88">
        <v>2.9169391897795816</v>
      </c>
      <c r="HQ23" s="88">
        <v>2.9161474008766395</v>
      </c>
      <c r="HR23" s="88">
        <v>2.9161474008766395</v>
      </c>
      <c r="HS23" s="88">
        <v>2.8878011993655748</v>
      </c>
      <c r="HT23" s="88">
        <v>2.8878011993655748</v>
      </c>
      <c r="HU23" s="88">
        <v>2.8862626785710099</v>
      </c>
      <c r="HV23" s="88">
        <v>2.8862626785710099</v>
      </c>
      <c r="HW23" s="88">
        <v>2.8817061295545376</v>
      </c>
      <c r="HX23" s="88">
        <v>2.8192464749657051</v>
      </c>
      <c r="HY23" s="88">
        <v>2.8694282854557072</v>
      </c>
      <c r="HZ23" s="88">
        <v>2.9778650912565889</v>
      </c>
      <c r="IA23" s="88">
        <v>3.118915802144993</v>
      </c>
      <c r="IB23" s="88">
        <v>3.122465647898562</v>
      </c>
      <c r="IC23" s="88">
        <v>3.1157212046599185</v>
      </c>
      <c r="ID23" s="88">
        <v>3.1273942096245753</v>
      </c>
      <c r="IE23" s="88">
        <v>3.0770363055082628</v>
      </c>
      <c r="IF23" s="88">
        <v>3.0770363055082628</v>
      </c>
      <c r="IG23" s="88">
        <v>3.0770363055082628</v>
      </c>
      <c r="IH23" s="89">
        <v>3.0259073873250633</v>
      </c>
      <c r="II23" s="88">
        <v>3.0328322756978543</v>
      </c>
      <c r="IJ23" s="88">
        <v>3.0417509238528142</v>
      </c>
      <c r="IK23" s="88">
        <v>3.0417509238528142</v>
      </c>
      <c r="IL23" s="88">
        <v>3.0417509238528142</v>
      </c>
      <c r="IM23" s="88">
        <v>3.0006099974460234</v>
      </c>
      <c r="IN23" s="88">
        <v>3.1471885918063589</v>
      </c>
      <c r="IO23" s="89">
        <v>3.1601811550400805</v>
      </c>
      <c r="IP23" s="88">
        <v>3.1680191404353177</v>
      </c>
      <c r="IQ23" s="88">
        <v>3.2630289065247755</v>
      </c>
      <c r="IR23" s="88">
        <v>3.2652850298824614</v>
      </c>
      <c r="IS23" s="88">
        <v>3.3490705046375409</v>
      </c>
      <c r="IT23" s="88">
        <v>3.4705854033396157</v>
      </c>
      <c r="IU23" s="88">
        <v>3.455128967952517</v>
      </c>
      <c r="IV23" s="88">
        <v>3.4183148746806604</v>
      </c>
      <c r="IW23" s="88">
        <v>3.4221560621769092</v>
      </c>
      <c r="IX23" s="88">
        <v>3.6215561119999999</v>
      </c>
      <c r="IY23" s="88">
        <v>3.6734886450171507</v>
      </c>
      <c r="IZ23" s="88">
        <v>3.6802206497992245</v>
      </c>
      <c r="JA23" s="88">
        <v>3.6859601902977475</v>
      </c>
      <c r="JB23" s="90">
        <v>3.6790746513019084</v>
      </c>
      <c r="JC23" s="91">
        <v>3.7</v>
      </c>
      <c r="JD23" s="91">
        <v>3.7</v>
      </c>
      <c r="JE23" s="91">
        <v>3.7</v>
      </c>
      <c r="JF23" s="91">
        <v>3.7</v>
      </c>
      <c r="JG23" s="91">
        <v>3.7</v>
      </c>
      <c r="JH23" s="91">
        <v>3.7</v>
      </c>
      <c r="JI23" s="90">
        <v>3.7</v>
      </c>
      <c r="JJ23" s="91">
        <v>3.7</v>
      </c>
      <c r="JK23" s="92">
        <v>2.8</v>
      </c>
      <c r="JM23" s="84">
        <f t="shared" si="39"/>
        <v>100</v>
      </c>
      <c r="JO23" s="31">
        <v>2.8</v>
      </c>
    </row>
    <row r="24" spans="1:275" s="31" customFormat="1" ht="15.6" x14ac:dyDescent="0.3">
      <c r="A24" s="83" t="s">
        <v>143</v>
      </c>
      <c r="B24" s="67"/>
      <c r="C24" s="67"/>
      <c r="D24" s="67"/>
      <c r="E24" s="67"/>
      <c r="F24" s="67"/>
      <c r="G24" s="68"/>
      <c r="H24" s="68"/>
      <c r="I24" s="68"/>
      <c r="J24" s="68"/>
      <c r="K24" s="68"/>
      <c r="L24" s="68"/>
      <c r="M24" s="69"/>
      <c r="N24" s="68"/>
      <c r="O24" s="68"/>
      <c r="P24" s="68"/>
      <c r="Q24" s="68"/>
      <c r="R24" s="68"/>
      <c r="S24" s="68"/>
      <c r="T24" s="68"/>
      <c r="U24" s="68"/>
      <c r="V24" s="68"/>
      <c r="W24" s="68"/>
      <c r="X24" s="68"/>
      <c r="Y24" s="69"/>
      <c r="Z24" s="68"/>
      <c r="AA24" s="68"/>
      <c r="AB24" s="68"/>
      <c r="AC24" s="68"/>
      <c r="AD24" s="68"/>
      <c r="AE24" s="68"/>
      <c r="AF24" s="68"/>
      <c r="AG24" s="68"/>
      <c r="AH24" s="68"/>
      <c r="AI24" s="68"/>
      <c r="AJ24" s="68"/>
      <c r="AK24" s="69"/>
      <c r="AL24" s="68"/>
      <c r="AM24" s="68"/>
      <c r="AN24" s="68"/>
      <c r="AO24" s="68"/>
      <c r="AP24" s="68"/>
      <c r="AQ24" s="68"/>
      <c r="AR24" s="68"/>
      <c r="AS24" s="68"/>
      <c r="AT24" s="68"/>
      <c r="AU24" s="68"/>
      <c r="AV24" s="68"/>
      <c r="AW24" s="69"/>
      <c r="AX24" s="68"/>
      <c r="AY24" s="68"/>
      <c r="AZ24" s="68"/>
      <c r="BA24" s="68"/>
      <c r="BB24" s="68"/>
      <c r="BC24" s="68"/>
      <c r="BD24" s="68"/>
      <c r="BE24" s="68"/>
      <c r="BF24" s="68"/>
      <c r="BG24" s="68"/>
      <c r="BH24" s="68"/>
      <c r="BI24" s="69"/>
      <c r="BJ24" s="68"/>
      <c r="BK24" s="68"/>
      <c r="BL24" s="68"/>
      <c r="BM24" s="68"/>
      <c r="BN24" s="68"/>
      <c r="BO24" s="68"/>
      <c r="BP24" s="68"/>
      <c r="BQ24" s="68"/>
      <c r="BR24" s="68"/>
      <c r="BS24" s="68"/>
      <c r="BT24" s="68"/>
      <c r="BU24" s="69"/>
      <c r="BV24" s="68"/>
      <c r="BW24" s="68"/>
      <c r="BX24" s="68"/>
      <c r="BY24" s="68"/>
      <c r="BZ24" s="68"/>
      <c r="CA24" s="68"/>
      <c r="CB24" s="68"/>
      <c r="CC24" s="68"/>
      <c r="CD24" s="68"/>
      <c r="CE24" s="68"/>
      <c r="CF24" s="68"/>
      <c r="CG24" s="69"/>
      <c r="CH24" s="68"/>
      <c r="CI24" s="68"/>
      <c r="CJ24" s="68"/>
      <c r="CK24" s="68"/>
      <c r="CL24" s="68"/>
      <c r="CM24" s="68"/>
      <c r="CN24" s="68"/>
      <c r="CO24" s="68"/>
      <c r="CP24" s="68"/>
      <c r="CQ24" s="68"/>
      <c r="CR24" s="68"/>
      <c r="CS24" s="69"/>
      <c r="CT24" s="68"/>
      <c r="CU24" s="70"/>
      <c r="CV24" s="70"/>
      <c r="CW24" s="70"/>
      <c r="CX24" s="70"/>
      <c r="CY24" s="70"/>
      <c r="CZ24" s="70"/>
      <c r="DA24" s="70"/>
      <c r="DB24" s="70"/>
      <c r="DC24" s="70"/>
      <c r="DD24" s="70"/>
      <c r="DE24" s="70"/>
      <c r="DF24" s="70"/>
      <c r="DG24" s="70"/>
      <c r="DH24" s="70"/>
      <c r="DI24" s="70"/>
      <c r="DJ24" s="70"/>
      <c r="DK24" s="70"/>
      <c r="DL24" s="70"/>
      <c r="DM24" s="70"/>
      <c r="DN24" s="70"/>
      <c r="DO24" s="70"/>
      <c r="DP24" s="70"/>
      <c r="DQ24" s="70"/>
      <c r="DR24" s="70"/>
      <c r="DS24" s="70"/>
      <c r="DT24" s="70"/>
      <c r="DU24" s="70"/>
      <c r="DV24" s="70"/>
      <c r="DW24" s="70"/>
      <c r="DX24" s="70"/>
      <c r="DY24" s="70"/>
      <c r="DZ24" s="70"/>
      <c r="EA24" s="70"/>
      <c r="EB24" s="70"/>
      <c r="EC24" s="70"/>
      <c r="ED24" s="70"/>
      <c r="EE24" s="70"/>
      <c r="EF24" s="70"/>
      <c r="EG24" s="70"/>
      <c r="EH24" s="70"/>
      <c r="EI24" s="70"/>
      <c r="EJ24" s="70"/>
      <c r="EK24" s="70"/>
      <c r="EL24" s="71"/>
      <c r="EM24" s="71"/>
      <c r="EN24" s="71"/>
      <c r="EO24" s="71"/>
      <c r="EP24" s="71"/>
      <c r="EQ24" s="71"/>
      <c r="ER24" s="71"/>
      <c r="ES24" s="71"/>
      <c r="ET24" s="71"/>
      <c r="EU24" s="71"/>
      <c r="EV24" s="71"/>
      <c r="EW24" s="71"/>
      <c r="EX24" s="71"/>
      <c r="EY24" s="71"/>
      <c r="EZ24" s="71"/>
      <c r="FA24" s="71"/>
      <c r="FB24" s="101"/>
      <c r="FC24" s="101"/>
      <c r="FD24" s="102"/>
      <c r="FE24" s="101"/>
      <c r="FF24" s="101"/>
      <c r="FG24" s="101"/>
      <c r="FH24" s="101"/>
      <c r="FI24" s="101"/>
      <c r="FJ24" s="87">
        <v>98.1</v>
      </c>
      <c r="FK24" s="87">
        <v>97.6</v>
      </c>
      <c r="FL24" s="87">
        <v>97.7</v>
      </c>
      <c r="FM24" s="87">
        <v>98.3</v>
      </c>
      <c r="FN24" s="87">
        <v>98.6</v>
      </c>
      <c r="FO24" s="87">
        <v>99.9</v>
      </c>
      <c r="FP24" s="87">
        <v>99.9</v>
      </c>
      <c r="FQ24" s="87">
        <v>99.8</v>
      </c>
      <c r="FR24" s="87">
        <v>99.4</v>
      </c>
      <c r="FS24" s="87">
        <v>99.4</v>
      </c>
      <c r="FT24" s="87">
        <v>99.4</v>
      </c>
      <c r="FU24" s="87">
        <v>99.5</v>
      </c>
      <c r="FV24" s="87">
        <v>100</v>
      </c>
      <c r="FW24" s="88">
        <v>100.5</v>
      </c>
      <c r="FX24" s="93">
        <v>100.2</v>
      </c>
      <c r="FY24" s="88">
        <v>100.5</v>
      </c>
      <c r="FZ24" s="88">
        <v>101</v>
      </c>
      <c r="GA24" s="88">
        <v>101.5</v>
      </c>
      <c r="GB24" s="88">
        <v>100.9</v>
      </c>
      <c r="GC24" s="88">
        <v>98.9</v>
      </c>
      <c r="GD24" s="88">
        <v>98.9</v>
      </c>
      <c r="GE24" s="88">
        <v>100.2</v>
      </c>
      <c r="GF24" s="88">
        <v>100.3</v>
      </c>
      <c r="GG24" s="88">
        <v>100.3</v>
      </c>
      <c r="GH24" s="88">
        <v>99</v>
      </c>
      <c r="GI24" s="88">
        <v>100</v>
      </c>
      <c r="GJ24" s="88">
        <v>100.4</v>
      </c>
      <c r="GK24" s="88">
        <v>100.8</v>
      </c>
      <c r="GL24" s="88">
        <v>100.5</v>
      </c>
      <c r="GM24" s="88">
        <v>100.6</v>
      </c>
      <c r="GN24" s="88">
        <v>102.6</v>
      </c>
      <c r="GO24" s="88">
        <v>98.9</v>
      </c>
      <c r="GP24" s="88">
        <v>99.2</v>
      </c>
      <c r="GQ24" s="88">
        <v>96.9</v>
      </c>
      <c r="GR24" s="88">
        <v>89.7</v>
      </c>
      <c r="GS24" s="88">
        <v>89.2</v>
      </c>
      <c r="GT24" s="88">
        <v>89.2</v>
      </c>
      <c r="GU24" s="88">
        <v>89.1</v>
      </c>
      <c r="GV24" s="88">
        <v>90.6</v>
      </c>
      <c r="GW24" s="88">
        <v>93.8</v>
      </c>
      <c r="GX24" s="88">
        <v>5.7983162015102581</v>
      </c>
      <c r="GY24" s="88">
        <v>5.8517266902905529</v>
      </c>
      <c r="GZ24" s="88">
        <v>5.963447877080843</v>
      </c>
      <c r="HA24" s="88">
        <v>5.9856916135811895</v>
      </c>
      <c r="HB24" s="88">
        <v>6.1685254915175882</v>
      </c>
      <c r="HC24" s="88">
        <v>6.1787632351202744</v>
      </c>
      <c r="HD24" s="88">
        <v>6.5743021394050656</v>
      </c>
      <c r="HE24" s="88">
        <v>6.641741233440599</v>
      </c>
      <c r="HF24" s="109">
        <v>6.6275093257516158</v>
      </c>
      <c r="HG24" s="88">
        <v>6.6931389258727618</v>
      </c>
      <c r="HH24" s="88">
        <v>7.0419333296455822</v>
      </c>
      <c r="HI24" s="88">
        <v>7.012759762367514</v>
      </c>
      <c r="HJ24" s="88">
        <v>7.2770332307164143</v>
      </c>
      <c r="HK24" s="88">
        <v>7.4241708243599049</v>
      </c>
      <c r="HL24" s="88">
        <v>7.559282711452628</v>
      </c>
      <c r="HM24" s="88">
        <v>7.9110404778432546</v>
      </c>
      <c r="HN24" s="88">
        <v>8.1830022371701823</v>
      </c>
      <c r="HO24" s="88">
        <v>8.3611228238052497</v>
      </c>
      <c r="HP24" s="88">
        <v>9.4284188981089336</v>
      </c>
      <c r="HQ24" s="88">
        <v>9.1571569587188151</v>
      </c>
      <c r="HR24" s="88">
        <v>9.109939480771601</v>
      </c>
      <c r="HS24" s="88">
        <v>9.318595067819512</v>
      </c>
      <c r="HT24" s="88">
        <v>9.3450113978054574</v>
      </c>
      <c r="HU24" s="88">
        <v>9.2665820190594683</v>
      </c>
      <c r="HV24" s="88">
        <v>8.3001372050037929</v>
      </c>
      <c r="HW24" s="88">
        <v>8.3211566713953484</v>
      </c>
      <c r="HX24" s="88">
        <v>8.2526946351276838</v>
      </c>
      <c r="HY24" s="88">
        <v>7.6914537741976297</v>
      </c>
      <c r="HZ24" s="88">
        <v>7.7122162941973311</v>
      </c>
      <c r="IA24" s="88">
        <v>7.6023917192400905</v>
      </c>
      <c r="IB24" s="88">
        <v>7.4008001112756583</v>
      </c>
      <c r="IC24" s="88">
        <v>7.5418448859325462</v>
      </c>
      <c r="ID24" s="88">
        <v>7.7976849849236469</v>
      </c>
      <c r="IE24" s="88">
        <v>8.4021389544231724</v>
      </c>
      <c r="IF24" s="88">
        <v>8.2825805004923385</v>
      </c>
      <c r="IG24" s="88">
        <v>8.1586325938545645</v>
      </c>
      <c r="IH24" s="89">
        <v>8.3922840634558291</v>
      </c>
      <c r="II24" s="88">
        <v>8.4301944499176287</v>
      </c>
      <c r="IJ24" s="88">
        <v>8.4648011186893424</v>
      </c>
      <c r="IK24" s="88">
        <v>7.7415009921321634</v>
      </c>
      <c r="IL24" s="88">
        <v>7.7415009921321634</v>
      </c>
      <c r="IM24" s="88">
        <v>7.6879337965914862</v>
      </c>
      <c r="IN24" s="88">
        <v>7.9334737141622398</v>
      </c>
      <c r="IO24" s="89">
        <v>7.9474303717614756</v>
      </c>
      <c r="IP24" s="88">
        <v>7.9144016410973661</v>
      </c>
      <c r="IQ24" s="88">
        <v>7.7317223783432869</v>
      </c>
      <c r="IR24" s="88">
        <v>7.5841352293790294</v>
      </c>
      <c r="IS24" s="88">
        <v>7.553332290168508</v>
      </c>
      <c r="IT24" s="88">
        <v>7.4973035324044757</v>
      </c>
      <c r="IU24" s="88">
        <v>7.5148195211081106</v>
      </c>
      <c r="IV24" s="88">
        <v>7.5638016647067738</v>
      </c>
      <c r="IW24" s="88">
        <v>7.9521239566369815</v>
      </c>
      <c r="IX24" s="88">
        <v>7.9312840700000002</v>
      </c>
      <c r="IY24" s="88">
        <v>7.8462480243183634</v>
      </c>
      <c r="IZ24" s="88">
        <v>7.2040623068501777</v>
      </c>
      <c r="JA24" s="88">
        <v>7.2215791969539964</v>
      </c>
      <c r="JB24" s="90">
        <v>7.2497336918218789</v>
      </c>
      <c r="JC24" s="91">
        <v>7.6</v>
      </c>
      <c r="JD24" s="91">
        <v>7.6</v>
      </c>
      <c r="JE24" s="91">
        <v>7.6</v>
      </c>
      <c r="JF24" s="91">
        <v>7.5</v>
      </c>
      <c r="JG24" s="91">
        <v>7.5</v>
      </c>
      <c r="JH24" s="91">
        <v>7.4</v>
      </c>
      <c r="JI24" s="90">
        <v>7.9</v>
      </c>
      <c r="JJ24" s="91">
        <v>9.9</v>
      </c>
      <c r="JK24" s="92">
        <v>10.3</v>
      </c>
      <c r="JM24" s="84">
        <f t="shared" si="39"/>
        <v>156.06060606060606</v>
      </c>
      <c r="JO24" s="31">
        <v>6.6</v>
      </c>
    </row>
    <row r="25" spans="1:275" s="31" customFormat="1" ht="15.6" x14ac:dyDescent="0.3">
      <c r="A25" s="83" t="s">
        <v>144</v>
      </c>
      <c r="B25" s="67"/>
      <c r="C25" s="67"/>
      <c r="D25" s="67"/>
      <c r="E25" s="67"/>
      <c r="F25" s="67"/>
      <c r="G25" s="68"/>
      <c r="H25" s="68"/>
      <c r="I25" s="68"/>
      <c r="J25" s="68"/>
      <c r="K25" s="68"/>
      <c r="L25" s="68"/>
      <c r="M25" s="69"/>
      <c r="N25" s="68"/>
      <c r="O25" s="68"/>
      <c r="P25" s="68"/>
      <c r="Q25" s="68"/>
      <c r="R25" s="68"/>
      <c r="S25" s="68"/>
      <c r="T25" s="68"/>
      <c r="U25" s="68"/>
      <c r="V25" s="68"/>
      <c r="W25" s="68"/>
      <c r="X25" s="68"/>
      <c r="Y25" s="69"/>
      <c r="Z25" s="68"/>
      <c r="AA25" s="68"/>
      <c r="AB25" s="68"/>
      <c r="AC25" s="68"/>
      <c r="AD25" s="68"/>
      <c r="AE25" s="68"/>
      <c r="AF25" s="68"/>
      <c r="AG25" s="68"/>
      <c r="AH25" s="68"/>
      <c r="AI25" s="68"/>
      <c r="AJ25" s="68"/>
      <c r="AK25" s="69"/>
      <c r="AL25" s="68"/>
      <c r="AM25" s="68"/>
      <c r="AN25" s="68"/>
      <c r="AO25" s="68"/>
      <c r="AP25" s="68"/>
      <c r="AQ25" s="68"/>
      <c r="AR25" s="68"/>
      <c r="AS25" s="68"/>
      <c r="AT25" s="68"/>
      <c r="AU25" s="68"/>
      <c r="AV25" s="68"/>
      <c r="AW25" s="69"/>
      <c r="AX25" s="68"/>
      <c r="AY25" s="68"/>
      <c r="AZ25" s="68"/>
      <c r="BA25" s="68"/>
      <c r="BB25" s="68"/>
      <c r="BC25" s="68"/>
      <c r="BD25" s="68"/>
      <c r="BE25" s="68"/>
      <c r="BF25" s="68"/>
      <c r="BG25" s="68"/>
      <c r="BH25" s="68"/>
      <c r="BI25" s="69"/>
      <c r="BJ25" s="68"/>
      <c r="BK25" s="68"/>
      <c r="BL25" s="68"/>
      <c r="BM25" s="68"/>
      <c r="BN25" s="68"/>
      <c r="BO25" s="68"/>
      <c r="BP25" s="68"/>
      <c r="BQ25" s="68"/>
      <c r="BR25" s="68"/>
      <c r="BS25" s="68"/>
      <c r="BT25" s="68"/>
      <c r="BU25" s="69"/>
      <c r="BV25" s="68"/>
      <c r="BW25" s="68"/>
      <c r="BX25" s="68"/>
      <c r="BY25" s="68"/>
      <c r="BZ25" s="68"/>
      <c r="CA25" s="68"/>
      <c r="CB25" s="68"/>
      <c r="CC25" s="68"/>
      <c r="CD25" s="68"/>
      <c r="CE25" s="68"/>
      <c r="CF25" s="68"/>
      <c r="CG25" s="69"/>
      <c r="CH25" s="68"/>
      <c r="CI25" s="68"/>
      <c r="CJ25" s="68"/>
      <c r="CK25" s="68"/>
      <c r="CL25" s="68"/>
      <c r="CM25" s="68"/>
      <c r="CN25" s="68"/>
      <c r="CO25" s="68"/>
      <c r="CP25" s="68"/>
      <c r="CQ25" s="68"/>
      <c r="CR25" s="68"/>
      <c r="CS25" s="69"/>
      <c r="CT25" s="68"/>
      <c r="CU25" s="70"/>
      <c r="CV25" s="70"/>
      <c r="CW25" s="70"/>
      <c r="CX25" s="70"/>
      <c r="CY25" s="70"/>
      <c r="CZ25" s="70"/>
      <c r="DA25" s="70"/>
      <c r="DB25" s="70"/>
      <c r="DC25" s="70"/>
      <c r="DD25" s="70"/>
      <c r="DE25" s="70"/>
      <c r="DF25" s="70"/>
      <c r="DG25" s="70"/>
      <c r="DH25" s="70"/>
      <c r="DI25" s="70"/>
      <c r="DJ25" s="70"/>
      <c r="DK25" s="70"/>
      <c r="DL25" s="70"/>
      <c r="DM25" s="70"/>
      <c r="DN25" s="70"/>
      <c r="DO25" s="70"/>
      <c r="DP25" s="70"/>
      <c r="DQ25" s="70"/>
      <c r="DR25" s="70"/>
      <c r="DS25" s="70"/>
      <c r="DT25" s="70"/>
      <c r="DU25" s="70"/>
      <c r="DV25" s="70"/>
      <c r="DW25" s="70"/>
      <c r="DX25" s="70"/>
      <c r="DY25" s="70"/>
      <c r="DZ25" s="70"/>
      <c r="EA25" s="70"/>
      <c r="EB25" s="70"/>
      <c r="EC25" s="70"/>
      <c r="ED25" s="70"/>
      <c r="EE25" s="70"/>
      <c r="EF25" s="70"/>
      <c r="EG25" s="70"/>
      <c r="EH25" s="70"/>
      <c r="EI25" s="70"/>
      <c r="EJ25" s="70"/>
      <c r="EK25" s="70"/>
      <c r="EL25" s="71"/>
      <c r="EM25" s="71"/>
      <c r="EN25" s="71"/>
      <c r="EO25" s="71"/>
      <c r="EP25" s="71"/>
      <c r="EQ25" s="71"/>
      <c r="ER25" s="71"/>
      <c r="ES25" s="71"/>
      <c r="ET25" s="71"/>
      <c r="EU25" s="71"/>
      <c r="EV25" s="71"/>
      <c r="EW25" s="71"/>
      <c r="EX25" s="71"/>
      <c r="EY25" s="71"/>
      <c r="EZ25" s="71"/>
      <c r="FA25" s="71"/>
      <c r="FB25" s="101"/>
      <c r="FC25" s="101"/>
      <c r="FD25" s="102"/>
      <c r="FE25" s="101"/>
      <c r="FF25" s="101"/>
      <c r="FG25" s="101"/>
      <c r="FH25" s="101"/>
      <c r="FI25" s="101"/>
      <c r="FJ25" s="87">
        <v>99.7</v>
      </c>
      <c r="FK25" s="87">
        <v>98</v>
      </c>
      <c r="FL25" s="87">
        <v>99.2</v>
      </c>
      <c r="FM25" s="87">
        <v>99</v>
      </c>
      <c r="FN25" s="87">
        <v>99</v>
      </c>
      <c r="FO25" s="87">
        <v>99.1</v>
      </c>
      <c r="FP25" s="87">
        <v>99.5</v>
      </c>
      <c r="FQ25" s="87">
        <v>99.1</v>
      </c>
      <c r="FR25" s="87">
        <v>99.1</v>
      </c>
      <c r="FS25" s="87">
        <v>98.9</v>
      </c>
      <c r="FT25" s="87">
        <v>99.3</v>
      </c>
      <c r="FU25" s="87">
        <v>99.5</v>
      </c>
      <c r="FV25" s="87">
        <v>100</v>
      </c>
      <c r="FW25" s="88">
        <v>99.7</v>
      </c>
      <c r="FX25" s="88">
        <v>99.7</v>
      </c>
      <c r="FY25" s="88">
        <v>99.5</v>
      </c>
      <c r="FZ25" s="88">
        <v>99.8</v>
      </c>
      <c r="GA25" s="88">
        <v>100.1</v>
      </c>
      <c r="GB25" s="88">
        <v>100.5</v>
      </c>
      <c r="GC25" s="88">
        <v>100.6</v>
      </c>
      <c r="GD25" s="88">
        <v>100.7</v>
      </c>
      <c r="GE25" s="88">
        <v>100.8</v>
      </c>
      <c r="GF25" s="88">
        <v>101.7</v>
      </c>
      <c r="GG25" s="88">
        <v>101.7</v>
      </c>
      <c r="GH25" s="88">
        <v>102</v>
      </c>
      <c r="GI25" s="88">
        <v>102</v>
      </c>
      <c r="GJ25" s="88">
        <v>102.1</v>
      </c>
      <c r="GK25" s="88">
        <v>100.5</v>
      </c>
      <c r="GL25" s="88">
        <v>100.5</v>
      </c>
      <c r="GM25" s="88">
        <v>100.2</v>
      </c>
      <c r="GN25" s="88">
        <v>100.3</v>
      </c>
      <c r="GO25" s="88">
        <v>102.2</v>
      </c>
      <c r="GP25" s="88">
        <v>103.3</v>
      </c>
      <c r="GQ25" s="88">
        <v>103.3</v>
      </c>
      <c r="GR25" s="88">
        <v>102.5</v>
      </c>
      <c r="GS25" s="88">
        <v>102.5</v>
      </c>
      <c r="GT25" s="88">
        <v>102.7</v>
      </c>
      <c r="GU25" s="91">
        <v>103.4</v>
      </c>
      <c r="GV25" s="88">
        <v>104.1</v>
      </c>
      <c r="GW25" s="88">
        <v>104.4</v>
      </c>
      <c r="GX25" s="88">
        <v>3.1275622889761854</v>
      </c>
      <c r="GY25" s="88">
        <v>3.1275622889761854</v>
      </c>
      <c r="GZ25" s="88">
        <v>3.1275622889761854</v>
      </c>
      <c r="HA25" s="88">
        <v>3.1275622889761854</v>
      </c>
      <c r="HB25" s="88">
        <v>3.1284488398450723</v>
      </c>
      <c r="HC25" s="88">
        <v>3.1284488398450723</v>
      </c>
      <c r="HD25" s="88">
        <v>3.1543383715293603</v>
      </c>
      <c r="HE25" s="88">
        <v>3.1602669581464427</v>
      </c>
      <c r="HF25" s="109">
        <v>3.1671874434440701</v>
      </c>
      <c r="HG25" s="88">
        <v>3.1671874434440701</v>
      </c>
      <c r="HH25" s="88">
        <v>3.1671874434440701</v>
      </c>
      <c r="HI25" s="88">
        <v>3.2028109715698712</v>
      </c>
      <c r="HJ25" s="88">
        <v>3.2204244129474509</v>
      </c>
      <c r="HK25" s="88">
        <v>3.2301986121509518</v>
      </c>
      <c r="HL25" s="88">
        <v>3.2314270077401872</v>
      </c>
      <c r="HM25" s="88">
        <v>3.3193132435911945</v>
      </c>
      <c r="HN25" s="88">
        <v>3.3239982489301707</v>
      </c>
      <c r="HO25" s="88">
        <v>3.3239982489301707</v>
      </c>
      <c r="HP25" s="88">
        <v>3.3084324151459161</v>
      </c>
      <c r="HQ25" s="88">
        <v>3.3036061353561079</v>
      </c>
      <c r="HR25" s="88">
        <v>3.3036061353561079</v>
      </c>
      <c r="HS25" s="88">
        <v>3.3036061353561079</v>
      </c>
      <c r="HT25" s="88">
        <v>3.3171270522968159</v>
      </c>
      <c r="HU25" s="88">
        <v>3.3290749527098078</v>
      </c>
      <c r="HV25" s="88">
        <v>3.3232194633660272</v>
      </c>
      <c r="HW25" s="88">
        <v>3.347570405430071</v>
      </c>
      <c r="HX25" s="88">
        <v>3.3687442052158199</v>
      </c>
      <c r="HY25" s="88">
        <v>3.3678663100120634</v>
      </c>
      <c r="HZ25" s="88">
        <v>3.3684822115617408</v>
      </c>
      <c r="IA25" s="88">
        <v>3.4551444800997269</v>
      </c>
      <c r="IB25" s="88">
        <v>3.4519755835007344</v>
      </c>
      <c r="IC25" s="88">
        <v>3.5181294560120433</v>
      </c>
      <c r="ID25" s="88">
        <v>3.5930629865698385</v>
      </c>
      <c r="IE25" s="88">
        <v>3.5875302227073411</v>
      </c>
      <c r="IF25" s="88">
        <v>3.5843442277574971</v>
      </c>
      <c r="IG25" s="88">
        <v>3.5849399937353983</v>
      </c>
      <c r="IH25" s="89">
        <v>3.617387188822248</v>
      </c>
      <c r="II25" s="88">
        <v>3.6158102373122478</v>
      </c>
      <c r="IJ25" s="88">
        <v>3.5934890743766799</v>
      </c>
      <c r="IK25" s="88">
        <v>3.5914033211988095</v>
      </c>
      <c r="IL25" s="88">
        <v>3.6263284898845116</v>
      </c>
      <c r="IM25" s="88">
        <v>3.6855668862978348</v>
      </c>
      <c r="IN25" s="88">
        <v>3.7329362182094195</v>
      </c>
      <c r="IO25" s="89">
        <v>3.7322236002231435</v>
      </c>
      <c r="IP25" s="88">
        <v>3.7794174618117928</v>
      </c>
      <c r="IQ25" s="88">
        <v>3.9233831386113889</v>
      </c>
      <c r="IR25" s="88">
        <v>4.0405840567197107</v>
      </c>
      <c r="IS25" s="88">
        <v>4.0876048331138737</v>
      </c>
      <c r="IT25" s="88">
        <v>4.0814972201188056</v>
      </c>
      <c r="IU25" s="88">
        <v>4.083105642256303</v>
      </c>
      <c r="IV25" s="88">
        <v>4.1224018780837843</v>
      </c>
      <c r="IW25" s="88">
        <v>4.1595871939827145</v>
      </c>
      <c r="IX25" s="88">
        <v>4.2103994509999998</v>
      </c>
      <c r="IY25" s="88">
        <v>4.2364268062706962</v>
      </c>
      <c r="IZ25" s="88">
        <v>4.2141863764861727</v>
      </c>
      <c r="JA25" s="88">
        <v>4.2002369153635453</v>
      </c>
      <c r="JB25" s="90">
        <v>4.1741671499131439</v>
      </c>
      <c r="JC25" s="91">
        <v>4.2</v>
      </c>
      <c r="JD25" s="91">
        <v>4.3</v>
      </c>
      <c r="JE25" s="91">
        <v>4.3</v>
      </c>
      <c r="JF25" s="91">
        <v>4.3</v>
      </c>
      <c r="JG25" s="91">
        <v>4.2</v>
      </c>
      <c r="JH25" s="91">
        <v>4.2</v>
      </c>
      <c r="JI25" s="90">
        <v>4.2</v>
      </c>
      <c r="JJ25" s="91">
        <v>4.2</v>
      </c>
      <c r="JK25" s="92">
        <v>4.2</v>
      </c>
      <c r="JM25" s="84">
        <f t="shared" si="39"/>
        <v>131.25</v>
      </c>
      <c r="JO25" s="31">
        <v>3.2</v>
      </c>
    </row>
    <row r="26" spans="1:275" s="31" customFormat="1" ht="15.6" x14ac:dyDescent="0.3">
      <c r="A26" s="83" t="s">
        <v>145</v>
      </c>
      <c r="B26" s="67"/>
      <c r="C26" s="67"/>
      <c r="D26" s="67"/>
      <c r="E26" s="67"/>
      <c r="F26" s="67"/>
      <c r="G26" s="68"/>
      <c r="H26" s="68"/>
      <c r="I26" s="68"/>
      <c r="J26" s="68"/>
      <c r="K26" s="68"/>
      <c r="L26" s="68"/>
      <c r="M26" s="69"/>
      <c r="N26" s="68"/>
      <c r="O26" s="68"/>
      <c r="P26" s="68"/>
      <c r="Q26" s="68"/>
      <c r="R26" s="68"/>
      <c r="S26" s="68"/>
      <c r="T26" s="68"/>
      <c r="U26" s="68"/>
      <c r="V26" s="68"/>
      <c r="W26" s="68"/>
      <c r="X26" s="68"/>
      <c r="Y26" s="69"/>
      <c r="Z26" s="68"/>
      <c r="AA26" s="68"/>
      <c r="AB26" s="68"/>
      <c r="AC26" s="68"/>
      <c r="AD26" s="68"/>
      <c r="AE26" s="68"/>
      <c r="AF26" s="68"/>
      <c r="AG26" s="68"/>
      <c r="AH26" s="68"/>
      <c r="AI26" s="68"/>
      <c r="AJ26" s="68"/>
      <c r="AK26" s="69"/>
      <c r="AL26" s="68"/>
      <c r="AM26" s="68"/>
      <c r="AN26" s="68"/>
      <c r="AO26" s="68"/>
      <c r="AP26" s="68"/>
      <c r="AQ26" s="68"/>
      <c r="AR26" s="68"/>
      <c r="AS26" s="68"/>
      <c r="AT26" s="68"/>
      <c r="AU26" s="68"/>
      <c r="AV26" s="68"/>
      <c r="AW26" s="69"/>
      <c r="AX26" s="68"/>
      <c r="AY26" s="68"/>
      <c r="AZ26" s="68"/>
      <c r="BA26" s="68"/>
      <c r="BB26" s="68"/>
      <c r="BC26" s="68"/>
      <c r="BD26" s="68"/>
      <c r="BE26" s="68"/>
      <c r="BF26" s="68"/>
      <c r="BG26" s="68"/>
      <c r="BH26" s="68"/>
      <c r="BI26" s="69"/>
      <c r="BJ26" s="68"/>
      <c r="BK26" s="68"/>
      <c r="BL26" s="68"/>
      <c r="BM26" s="68"/>
      <c r="BN26" s="68"/>
      <c r="BO26" s="68"/>
      <c r="BP26" s="68"/>
      <c r="BQ26" s="68"/>
      <c r="BR26" s="68"/>
      <c r="BS26" s="68"/>
      <c r="BT26" s="68"/>
      <c r="BU26" s="69"/>
      <c r="BV26" s="68"/>
      <c r="BW26" s="68"/>
      <c r="BX26" s="68"/>
      <c r="BY26" s="68"/>
      <c r="BZ26" s="68"/>
      <c r="CA26" s="68"/>
      <c r="CB26" s="68"/>
      <c r="CC26" s="68"/>
      <c r="CD26" s="68"/>
      <c r="CE26" s="68"/>
      <c r="CF26" s="68"/>
      <c r="CG26" s="69"/>
      <c r="CH26" s="68"/>
      <c r="CI26" s="68"/>
      <c r="CJ26" s="68"/>
      <c r="CK26" s="68"/>
      <c r="CL26" s="68"/>
      <c r="CM26" s="68"/>
      <c r="CN26" s="68"/>
      <c r="CO26" s="68"/>
      <c r="CP26" s="68"/>
      <c r="CQ26" s="68"/>
      <c r="CR26" s="68"/>
      <c r="CS26" s="69"/>
      <c r="CT26" s="68"/>
      <c r="CU26" s="70"/>
      <c r="CV26" s="70"/>
      <c r="CW26" s="70"/>
      <c r="CX26" s="70"/>
      <c r="CY26" s="70"/>
      <c r="CZ26" s="70"/>
      <c r="DA26" s="70"/>
      <c r="DB26" s="70"/>
      <c r="DC26" s="70"/>
      <c r="DD26" s="70"/>
      <c r="DE26" s="70"/>
      <c r="DF26" s="70"/>
      <c r="DG26" s="70"/>
      <c r="DH26" s="70"/>
      <c r="DI26" s="70"/>
      <c r="DJ26" s="70"/>
      <c r="DK26" s="70"/>
      <c r="DL26" s="70"/>
      <c r="DM26" s="70"/>
      <c r="DN26" s="70"/>
      <c r="DO26" s="70"/>
      <c r="DP26" s="70"/>
      <c r="DQ26" s="70"/>
      <c r="DR26" s="70"/>
      <c r="DS26" s="70"/>
      <c r="DT26" s="70"/>
      <c r="DU26" s="70"/>
      <c r="DV26" s="70"/>
      <c r="DW26" s="70"/>
      <c r="DX26" s="70"/>
      <c r="DY26" s="70"/>
      <c r="DZ26" s="70"/>
      <c r="EA26" s="70"/>
      <c r="EB26" s="70"/>
      <c r="EC26" s="70"/>
      <c r="ED26" s="70"/>
      <c r="EE26" s="70"/>
      <c r="EF26" s="70"/>
      <c r="EG26" s="70"/>
      <c r="EH26" s="70"/>
      <c r="EI26" s="70"/>
      <c r="EJ26" s="70"/>
      <c r="EK26" s="70"/>
      <c r="EL26" s="71"/>
      <c r="EM26" s="71"/>
      <c r="EN26" s="71"/>
      <c r="EO26" s="71"/>
      <c r="EP26" s="71"/>
      <c r="EQ26" s="71"/>
      <c r="ER26" s="71"/>
      <c r="ES26" s="71"/>
      <c r="ET26" s="71"/>
      <c r="EU26" s="71"/>
      <c r="EV26" s="71"/>
      <c r="EW26" s="71"/>
      <c r="EX26" s="71"/>
      <c r="EY26" s="71"/>
      <c r="EZ26" s="71"/>
      <c r="FA26" s="71"/>
      <c r="FB26" s="101"/>
      <c r="FC26" s="101"/>
      <c r="FD26" s="102"/>
      <c r="FE26" s="101"/>
      <c r="FF26" s="101"/>
      <c r="FG26" s="101"/>
      <c r="FH26" s="101"/>
      <c r="FI26" s="101"/>
      <c r="FJ26" s="87">
        <v>99.3</v>
      </c>
      <c r="FK26" s="87">
        <v>99.3</v>
      </c>
      <c r="FL26" s="87">
        <v>99.3</v>
      </c>
      <c r="FM26" s="87">
        <v>99.3</v>
      </c>
      <c r="FN26" s="87">
        <v>101.7</v>
      </c>
      <c r="FO26" s="87">
        <v>101.7</v>
      </c>
      <c r="FP26" s="87">
        <v>101.7</v>
      </c>
      <c r="FQ26" s="87">
        <v>101.7</v>
      </c>
      <c r="FR26" s="87">
        <v>101.7</v>
      </c>
      <c r="FS26" s="87">
        <v>101.7</v>
      </c>
      <c r="FT26" s="87">
        <v>101.7</v>
      </c>
      <c r="FU26" s="93">
        <v>100</v>
      </c>
      <c r="FV26" s="93">
        <v>100</v>
      </c>
      <c r="FW26" s="93">
        <v>100</v>
      </c>
      <c r="FX26" s="93">
        <v>100</v>
      </c>
      <c r="FY26" s="88">
        <v>100</v>
      </c>
      <c r="FZ26" s="88">
        <v>100</v>
      </c>
      <c r="GA26" s="88">
        <v>100</v>
      </c>
      <c r="GB26" s="88">
        <v>100</v>
      </c>
      <c r="GC26" s="88">
        <v>100</v>
      </c>
      <c r="GD26" s="88">
        <v>100</v>
      </c>
      <c r="GE26" s="88">
        <v>100</v>
      </c>
      <c r="GF26" s="88">
        <v>100</v>
      </c>
      <c r="GG26" s="88">
        <v>100</v>
      </c>
      <c r="GH26" s="88">
        <v>100</v>
      </c>
      <c r="GI26" s="88">
        <v>100</v>
      </c>
      <c r="GJ26" s="88">
        <v>100</v>
      </c>
      <c r="GK26" s="88">
        <v>100</v>
      </c>
      <c r="GL26" s="88">
        <v>100</v>
      </c>
      <c r="GM26" s="88">
        <v>100</v>
      </c>
      <c r="GN26" s="88">
        <v>100</v>
      </c>
      <c r="GO26" s="88">
        <v>100</v>
      </c>
      <c r="GP26" s="88">
        <v>100</v>
      </c>
      <c r="GQ26" s="88">
        <v>100</v>
      </c>
      <c r="GR26" s="88">
        <v>100</v>
      </c>
      <c r="GS26" s="88">
        <v>100</v>
      </c>
      <c r="GT26" s="88">
        <v>100</v>
      </c>
      <c r="GU26" s="88">
        <v>100</v>
      </c>
      <c r="GV26" s="88">
        <v>100</v>
      </c>
      <c r="GW26" s="88">
        <v>100</v>
      </c>
      <c r="GX26" s="88">
        <v>0.16781667951096718</v>
      </c>
      <c r="GY26" s="88">
        <v>0.16781667951096718</v>
      </c>
      <c r="GZ26" s="88">
        <v>0.16781667951096718</v>
      </c>
      <c r="HA26" s="88">
        <v>0.16781667951096718</v>
      </c>
      <c r="HB26" s="88">
        <v>0.16781667951096718</v>
      </c>
      <c r="HC26" s="88">
        <v>0.16781667951096718</v>
      </c>
      <c r="HD26" s="88">
        <v>0.16781667951096718</v>
      </c>
      <c r="HE26" s="88">
        <v>0.16781667951096718</v>
      </c>
      <c r="HF26" s="109">
        <v>0.16781667951096718</v>
      </c>
      <c r="HG26" s="88">
        <v>0.16781667951096718</v>
      </c>
      <c r="HH26" s="88">
        <v>0.16781667951096718</v>
      </c>
      <c r="HI26" s="88">
        <v>0.16781667951096718</v>
      </c>
      <c r="HJ26" s="88">
        <v>0.16781667951096718</v>
      </c>
      <c r="HK26" s="88">
        <v>0.16781667951096718</v>
      </c>
      <c r="HL26" s="88">
        <v>0.16781667951096718</v>
      </c>
      <c r="HM26" s="88">
        <v>0.16781667951096718</v>
      </c>
      <c r="HN26" s="88">
        <v>0.16781667951096718</v>
      </c>
      <c r="HO26" s="88">
        <v>0.16781667951096718</v>
      </c>
      <c r="HP26" s="88">
        <v>0.16781667951096718</v>
      </c>
      <c r="HQ26" s="88">
        <v>0.19474224674368065</v>
      </c>
      <c r="HR26" s="88">
        <v>0.21744154993991666</v>
      </c>
      <c r="HS26" s="88">
        <v>0.21744154993991666</v>
      </c>
      <c r="HT26" s="88">
        <v>0.21744154993991666</v>
      </c>
      <c r="HU26" s="88">
        <v>0.21744154993991666</v>
      </c>
      <c r="HV26" s="88">
        <v>0.21744154993991666</v>
      </c>
      <c r="HW26" s="88">
        <v>0.21744154993991666</v>
      </c>
      <c r="HX26" s="88">
        <v>0.21744154993991666</v>
      </c>
      <c r="HY26" s="88">
        <v>0.21744154993991666</v>
      </c>
      <c r="HZ26" s="88">
        <v>0.21744154993991666</v>
      </c>
      <c r="IA26" s="88">
        <v>0.21744154993991666</v>
      </c>
      <c r="IB26" s="88">
        <v>0.21744154993991666</v>
      </c>
      <c r="IC26" s="88">
        <v>0.21744154993991666</v>
      </c>
      <c r="ID26" s="88">
        <v>0.21744154993991666</v>
      </c>
      <c r="IE26" s="88">
        <v>0.21744154993991666</v>
      </c>
      <c r="IF26" s="88">
        <v>0.21744154993991666</v>
      </c>
      <c r="IG26" s="88">
        <v>0.21744154993991666</v>
      </c>
      <c r="IH26" s="89">
        <v>0.21744154993991666</v>
      </c>
      <c r="II26" s="88">
        <v>0.21744154993991666</v>
      </c>
      <c r="IJ26" s="88">
        <v>0.21744154993991666</v>
      </c>
      <c r="IK26" s="88">
        <v>0.21744154993991666</v>
      </c>
      <c r="IL26" s="88">
        <v>0.21744154993991666</v>
      </c>
      <c r="IM26" s="88">
        <v>0.21744154993991666</v>
      </c>
      <c r="IN26" s="88">
        <v>0.21744154993991666</v>
      </c>
      <c r="IO26" s="89">
        <v>0.2149315197562203</v>
      </c>
      <c r="IP26" s="88">
        <v>0.2149315197562203</v>
      </c>
      <c r="IQ26" s="88">
        <v>0.2149315197562203</v>
      </c>
      <c r="IR26" s="88">
        <v>0.2149315197562203</v>
      </c>
      <c r="IS26" s="88">
        <v>0.2149315197562203</v>
      </c>
      <c r="IT26" s="88">
        <v>0.2149315197562203</v>
      </c>
      <c r="IU26" s="88">
        <v>0.2149315197562203</v>
      </c>
      <c r="IV26" s="88">
        <v>0.2159760201872914</v>
      </c>
      <c r="IW26" s="88">
        <v>0.2159760201872914</v>
      </c>
      <c r="IX26" s="88">
        <v>0.21597601999999999</v>
      </c>
      <c r="IY26" s="88">
        <v>0.2159760201872914</v>
      </c>
      <c r="IZ26" s="88">
        <v>0.2159760201872914</v>
      </c>
      <c r="JA26" s="88">
        <v>0.2159760201872914</v>
      </c>
      <c r="JB26" s="90">
        <v>0.2149315197562203</v>
      </c>
      <c r="JC26" s="91">
        <v>0.2</v>
      </c>
      <c r="JD26" s="91">
        <v>0.2</v>
      </c>
      <c r="JE26" s="91">
        <v>0.2</v>
      </c>
      <c r="JF26" s="91">
        <v>0.2</v>
      </c>
      <c r="JG26" s="91">
        <v>0.2</v>
      </c>
      <c r="JH26" s="91">
        <v>0.2</v>
      </c>
      <c r="JI26" s="90">
        <v>0.2</v>
      </c>
      <c r="JJ26" s="91">
        <v>0.2</v>
      </c>
      <c r="JK26" s="92">
        <v>0.2</v>
      </c>
      <c r="JM26" s="84">
        <f t="shared" si="39"/>
        <v>100</v>
      </c>
      <c r="JO26" s="31">
        <v>0.2</v>
      </c>
    </row>
    <row r="27" spans="1:275" s="31" customFormat="1" ht="15.6" x14ac:dyDescent="0.3">
      <c r="A27" s="83" t="s">
        <v>146</v>
      </c>
      <c r="B27" s="67"/>
      <c r="C27" s="67"/>
      <c r="D27" s="67"/>
      <c r="E27" s="67"/>
      <c r="F27" s="67"/>
      <c r="G27" s="68"/>
      <c r="H27" s="68"/>
      <c r="I27" s="68"/>
      <c r="J27" s="68"/>
      <c r="K27" s="68"/>
      <c r="L27" s="68"/>
      <c r="M27" s="69"/>
      <c r="N27" s="68"/>
      <c r="O27" s="68"/>
      <c r="P27" s="68"/>
      <c r="Q27" s="68"/>
      <c r="R27" s="68"/>
      <c r="S27" s="68"/>
      <c r="T27" s="68"/>
      <c r="U27" s="68"/>
      <c r="V27" s="68"/>
      <c r="W27" s="68"/>
      <c r="X27" s="68"/>
      <c r="Y27" s="69"/>
      <c r="Z27" s="68"/>
      <c r="AA27" s="68"/>
      <c r="AB27" s="68"/>
      <c r="AC27" s="68"/>
      <c r="AD27" s="68"/>
      <c r="AE27" s="68"/>
      <c r="AF27" s="68"/>
      <c r="AG27" s="68"/>
      <c r="AH27" s="68"/>
      <c r="AI27" s="68"/>
      <c r="AJ27" s="68"/>
      <c r="AK27" s="69"/>
      <c r="AL27" s="68"/>
      <c r="AM27" s="68"/>
      <c r="AN27" s="68"/>
      <c r="AO27" s="68"/>
      <c r="AP27" s="68"/>
      <c r="AQ27" s="68"/>
      <c r="AR27" s="68"/>
      <c r="AS27" s="68"/>
      <c r="AT27" s="68"/>
      <c r="AU27" s="68"/>
      <c r="AV27" s="68"/>
      <c r="AW27" s="69"/>
      <c r="AX27" s="68"/>
      <c r="AY27" s="68"/>
      <c r="AZ27" s="68"/>
      <c r="BA27" s="68"/>
      <c r="BB27" s="68"/>
      <c r="BC27" s="68"/>
      <c r="BD27" s="68"/>
      <c r="BE27" s="68"/>
      <c r="BF27" s="68"/>
      <c r="BG27" s="68"/>
      <c r="BH27" s="68"/>
      <c r="BI27" s="69"/>
      <c r="BJ27" s="68"/>
      <c r="BK27" s="68"/>
      <c r="BL27" s="68"/>
      <c r="BM27" s="68"/>
      <c r="BN27" s="68"/>
      <c r="BO27" s="68"/>
      <c r="BP27" s="68"/>
      <c r="BQ27" s="68"/>
      <c r="BR27" s="68"/>
      <c r="BS27" s="68"/>
      <c r="BT27" s="68"/>
      <c r="BU27" s="69"/>
      <c r="BV27" s="68"/>
      <c r="BW27" s="68"/>
      <c r="BX27" s="68"/>
      <c r="BY27" s="68"/>
      <c r="BZ27" s="68"/>
      <c r="CA27" s="68"/>
      <c r="CB27" s="68"/>
      <c r="CC27" s="68"/>
      <c r="CD27" s="68"/>
      <c r="CE27" s="68"/>
      <c r="CF27" s="68"/>
      <c r="CG27" s="69"/>
      <c r="CH27" s="68"/>
      <c r="CI27" s="68"/>
      <c r="CJ27" s="68"/>
      <c r="CK27" s="68"/>
      <c r="CL27" s="68"/>
      <c r="CM27" s="68"/>
      <c r="CN27" s="68"/>
      <c r="CO27" s="68"/>
      <c r="CP27" s="68"/>
      <c r="CQ27" s="68"/>
      <c r="CR27" s="68"/>
      <c r="CS27" s="69"/>
      <c r="CT27" s="68"/>
      <c r="CU27" s="70"/>
      <c r="CV27" s="70"/>
      <c r="CW27" s="70"/>
      <c r="CX27" s="70"/>
      <c r="CY27" s="70"/>
      <c r="CZ27" s="70"/>
      <c r="DA27" s="70"/>
      <c r="DB27" s="70"/>
      <c r="DC27" s="70"/>
      <c r="DD27" s="70"/>
      <c r="DE27" s="70"/>
      <c r="DF27" s="70"/>
      <c r="DG27" s="70"/>
      <c r="DH27" s="70"/>
      <c r="DI27" s="70"/>
      <c r="DJ27" s="70"/>
      <c r="DK27" s="70"/>
      <c r="DL27" s="70"/>
      <c r="DM27" s="70"/>
      <c r="DN27" s="70"/>
      <c r="DO27" s="70"/>
      <c r="DP27" s="70"/>
      <c r="DQ27" s="70"/>
      <c r="DR27" s="70"/>
      <c r="DS27" s="70"/>
      <c r="DT27" s="70"/>
      <c r="DU27" s="70"/>
      <c r="DV27" s="70"/>
      <c r="DW27" s="70"/>
      <c r="DX27" s="70"/>
      <c r="DY27" s="70"/>
      <c r="DZ27" s="70"/>
      <c r="EA27" s="70"/>
      <c r="EB27" s="70"/>
      <c r="EC27" s="70"/>
      <c r="ED27" s="70"/>
      <c r="EE27" s="70"/>
      <c r="EF27" s="70"/>
      <c r="EG27" s="70"/>
      <c r="EH27" s="70"/>
      <c r="EI27" s="70"/>
      <c r="EJ27" s="70"/>
      <c r="EK27" s="70"/>
      <c r="EL27" s="71"/>
      <c r="EM27" s="71"/>
      <c r="EN27" s="71"/>
      <c r="EO27" s="71"/>
      <c r="EP27" s="71"/>
      <c r="EQ27" s="71"/>
      <c r="ER27" s="71"/>
      <c r="ES27" s="71"/>
      <c r="ET27" s="71"/>
      <c r="EU27" s="71"/>
      <c r="EV27" s="71"/>
      <c r="EW27" s="71"/>
      <c r="EX27" s="71"/>
      <c r="EY27" s="71"/>
      <c r="EZ27" s="71"/>
      <c r="FA27" s="71"/>
      <c r="FB27" s="101"/>
      <c r="FC27" s="101"/>
      <c r="FD27" s="102"/>
      <c r="FE27" s="101"/>
      <c r="FF27" s="101"/>
      <c r="FG27" s="101"/>
      <c r="FH27" s="101"/>
      <c r="FI27" s="101"/>
      <c r="FJ27" s="87">
        <v>90.6</v>
      </c>
      <c r="FK27" s="87">
        <v>92</v>
      </c>
      <c r="FL27" s="87">
        <v>93.1</v>
      </c>
      <c r="FM27" s="87">
        <v>94.6</v>
      </c>
      <c r="FN27" s="87">
        <v>96</v>
      </c>
      <c r="FO27" s="87">
        <v>96.1</v>
      </c>
      <c r="FP27" s="87">
        <v>96.3</v>
      </c>
      <c r="FQ27" s="87">
        <v>96.1</v>
      </c>
      <c r="FR27" s="87">
        <v>97</v>
      </c>
      <c r="FS27" s="87">
        <v>98.1</v>
      </c>
      <c r="FT27" s="87">
        <v>100.4</v>
      </c>
      <c r="FU27" s="87">
        <v>99.8</v>
      </c>
      <c r="FV27" s="87">
        <v>100</v>
      </c>
      <c r="FW27" s="88">
        <v>101.1</v>
      </c>
      <c r="FX27" s="93">
        <v>102.2</v>
      </c>
      <c r="FY27" s="88">
        <v>98.5</v>
      </c>
      <c r="FZ27" s="88">
        <v>94.4</v>
      </c>
      <c r="GA27" s="88">
        <v>92.4</v>
      </c>
      <c r="GB27" s="88">
        <v>93.9</v>
      </c>
      <c r="GC27" s="88">
        <v>96.3</v>
      </c>
      <c r="GD27" s="88">
        <v>98.5</v>
      </c>
      <c r="GE27" s="88">
        <v>99</v>
      </c>
      <c r="GF27" s="88">
        <v>97.1</v>
      </c>
      <c r="GG27" s="88">
        <v>96.4</v>
      </c>
      <c r="GH27" s="88">
        <v>97.4</v>
      </c>
      <c r="GI27" s="88">
        <v>98.3</v>
      </c>
      <c r="GJ27" s="88">
        <v>99.4</v>
      </c>
      <c r="GK27" s="88">
        <v>99.7</v>
      </c>
      <c r="GL27" s="88">
        <v>99.7</v>
      </c>
      <c r="GM27" s="88">
        <v>99.6</v>
      </c>
      <c r="GN27" s="88">
        <v>97.4</v>
      </c>
      <c r="GO27" s="88">
        <v>94.7</v>
      </c>
      <c r="GP27" s="88">
        <v>87.6</v>
      </c>
      <c r="GQ27" s="88">
        <v>82.3</v>
      </c>
      <c r="GR27" s="88">
        <v>87.2</v>
      </c>
      <c r="GS27" s="88">
        <v>90.2</v>
      </c>
      <c r="GT27" s="88">
        <v>91.8</v>
      </c>
      <c r="GU27" s="88">
        <v>91.6</v>
      </c>
      <c r="GV27" s="88">
        <v>91.3</v>
      </c>
      <c r="GW27" s="88">
        <v>91.5</v>
      </c>
      <c r="GX27" s="88">
        <v>12.414159944423051</v>
      </c>
      <c r="GY27" s="88">
        <v>12.646261543006538</v>
      </c>
      <c r="GZ27" s="88">
        <v>12.857349519006119</v>
      </c>
      <c r="HA27" s="88">
        <v>13.04461557438654</v>
      </c>
      <c r="HB27" s="88">
        <v>13.128056982639256</v>
      </c>
      <c r="HC27" s="88">
        <v>13.119463407116749</v>
      </c>
      <c r="HD27" s="88">
        <v>13.033305345215881</v>
      </c>
      <c r="HE27" s="88">
        <v>13.078558718050564</v>
      </c>
      <c r="HF27" s="109">
        <v>13.17625980005055</v>
      </c>
      <c r="HG27" s="88">
        <v>13.226073872676123</v>
      </c>
      <c r="HH27" s="88">
        <v>13.464127784863292</v>
      </c>
      <c r="HI27" s="88">
        <v>13.644572533900542</v>
      </c>
      <c r="HJ27" s="88">
        <v>13.524709879204059</v>
      </c>
      <c r="HK27" s="88">
        <v>13.602301160571971</v>
      </c>
      <c r="HL27" s="88">
        <v>14.063187059973805</v>
      </c>
      <c r="HM27" s="88">
        <v>14.662248331397119</v>
      </c>
      <c r="HN27" s="88">
        <v>14.965151467838369</v>
      </c>
      <c r="HO27" s="88">
        <v>15.365362716412227</v>
      </c>
      <c r="HP27" s="88">
        <v>15.545853681842182</v>
      </c>
      <c r="HQ27" s="88">
        <v>15.410689602120055</v>
      </c>
      <c r="HR27" s="88">
        <v>15.361055703832415</v>
      </c>
      <c r="HS27" s="88">
        <v>15.183884735653292</v>
      </c>
      <c r="HT27" s="88">
        <v>15.365104143279657</v>
      </c>
      <c r="HU27" s="88">
        <v>15.41021600298509</v>
      </c>
      <c r="HV27" s="88">
        <v>15.27360884050586</v>
      </c>
      <c r="HW27" s="88">
        <v>15.182272957871811</v>
      </c>
      <c r="HX27" s="88">
        <v>15.251331781409872</v>
      </c>
      <c r="HY27" s="88">
        <v>15.204879093164079</v>
      </c>
      <c r="HZ27" s="88">
        <v>15.166296301915851</v>
      </c>
      <c r="IA27" s="88">
        <v>15.862662538541315</v>
      </c>
      <c r="IB27" s="88">
        <v>15.694210358910743</v>
      </c>
      <c r="IC27" s="88">
        <v>15.752045537600313</v>
      </c>
      <c r="ID27" s="88">
        <v>16.109040478218162</v>
      </c>
      <c r="IE27" s="88">
        <v>16.525222923004875</v>
      </c>
      <c r="IF27" s="88">
        <v>16.508203525561434</v>
      </c>
      <c r="IG27" s="88">
        <v>16.239301119537661</v>
      </c>
      <c r="IH27" s="89">
        <v>16.008128073203274</v>
      </c>
      <c r="II27" s="88">
        <v>15.948878806387489</v>
      </c>
      <c r="IJ27" s="88">
        <v>16.156571940975507</v>
      </c>
      <c r="IK27" s="88">
        <v>16.291308522096976</v>
      </c>
      <c r="IL27" s="88">
        <v>16.352697925847615</v>
      </c>
      <c r="IM27" s="88">
        <v>16.282374845096154</v>
      </c>
      <c r="IN27" s="88">
        <v>16.081741049318449</v>
      </c>
      <c r="IO27" s="89">
        <v>16.165964767969211</v>
      </c>
      <c r="IP27" s="88">
        <v>16.167831764734565</v>
      </c>
      <c r="IQ27" s="88">
        <v>15.678819861258701</v>
      </c>
      <c r="IR27" s="88">
        <v>15.670064354601491</v>
      </c>
      <c r="IS27" s="88">
        <v>17.5615183116238</v>
      </c>
      <c r="IT27" s="88">
        <v>15.88716053798731</v>
      </c>
      <c r="IU27" s="88">
        <v>15.933103812877951</v>
      </c>
      <c r="IV27" s="88">
        <v>16.265499408412357</v>
      </c>
      <c r="IW27" s="88">
        <v>16.411581975114807</v>
      </c>
      <c r="IX27" s="88">
        <v>16.341515326</v>
      </c>
      <c r="IY27" s="88">
        <v>16.171763001628655</v>
      </c>
      <c r="IZ27" s="88">
        <v>15.973532541301594</v>
      </c>
      <c r="JA27" s="88">
        <v>16.046001496380001</v>
      </c>
      <c r="JB27" s="90">
        <v>15.81704571083435</v>
      </c>
      <c r="JC27" s="91">
        <v>15.8</v>
      </c>
      <c r="JD27" s="91">
        <v>17.899999999999999</v>
      </c>
      <c r="JE27" s="91">
        <v>18.2</v>
      </c>
      <c r="JF27" s="91">
        <v>16.8</v>
      </c>
      <c r="JG27" s="91">
        <v>16.5</v>
      </c>
      <c r="JH27" s="91">
        <v>18</v>
      </c>
      <c r="JI27" s="90">
        <v>18.899999999999999</v>
      </c>
      <c r="JJ27" s="91">
        <v>20.2</v>
      </c>
      <c r="JK27" s="92">
        <v>20.6</v>
      </c>
      <c r="JM27" s="84">
        <f t="shared" si="39"/>
        <v>156.06060606060606</v>
      </c>
      <c r="JO27" s="31">
        <v>13.2</v>
      </c>
    </row>
    <row r="28" spans="1:275" s="31" customFormat="1" ht="15.6" x14ac:dyDescent="0.3">
      <c r="A28" s="83" t="s">
        <v>147</v>
      </c>
      <c r="B28" s="67"/>
      <c r="C28" s="67"/>
      <c r="D28" s="67"/>
      <c r="E28" s="67"/>
      <c r="F28" s="67"/>
      <c r="G28" s="68"/>
      <c r="H28" s="68"/>
      <c r="I28" s="68"/>
      <c r="J28" s="68"/>
      <c r="K28" s="68"/>
      <c r="L28" s="68"/>
      <c r="M28" s="69"/>
      <c r="N28" s="68"/>
      <c r="O28" s="68"/>
      <c r="P28" s="68"/>
      <c r="Q28" s="68"/>
      <c r="R28" s="68"/>
      <c r="S28" s="68"/>
      <c r="T28" s="68"/>
      <c r="U28" s="68"/>
      <c r="V28" s="68"/>
      <c r="W28" s="68"/>
      <c r="X28" s="68"/>
      <c r="Y28" s="69"/>
      <c r="Z28" s="68"/>
      <c r="AA28" s="68"/>
      <c r="AB28" s="68"/>
      <c r="AC28" s="68"/>
      <c r="AD28" s="68"/>
      <c r="AE28" s="68"/>
      <c r="AF28" s="68"/>
      <c r="AG28" s="68"/>
      <c r="AH28" s="68"/>
      <c r="AI28" s="68"/>
      <c r="AJ28" s="68"/>
      <c r="AK28" s="69"/>
      <c r="AL28" s="68"/>
      <c r="AM28" s="68"/>
      <c r="AN28" s="68"/>
      <c r="AO28" s="68"/>
      <c r="AP28" s="68"/>
      <c r="AQ28" s="68"/>
      <c r="AR28" s="68"/>
      <c r="AS28" s="68"/>
      <c r="AT28" s="68"/>
      <c r="AU28" s="68"/>
      <c r="AV28" s="68"/>
      <c r="AW28" s="69"/>
      <c r="AX28" s="68"/>
      <c r="AY28" s="68"/>
      <c r="AZ28" s="68"/>
      <c r="BA28" s="68"/>
      <c r="BB28" s="68"/>
      <c r="BC28" s="68"/>
      <c r="BD28" s="68"/>
      <c r="BE28" s="68"/>
      <c r="BF28" s="68"/>
      <c r="BG28" s="68"/>
      <c r="BH28" s="68"/>
      <c r="BI28" s="69"/>
      <c r="BJ28" s="68"/>
      <c r="BK28" s="68"/>
      <c r="BL28" s="68"/>
      <c r="BM28" s="68"/>
      <c r="BN28" s="68"/>
      <c r="BO28" s="68"/>
      <c r="BP28" s="68"/>
      <c r="BQ28" s="68"/>
      <c r="BR28" s="68"/>
      <c r="BS28" s="68"/>
      <c r="BT28" s="68"/>
      <c r="BU28" s="69"/>
      <c r="BV28" s="68"/>
      <c r="BW28" s="68"/>
      <c r="BX28" s="68"/>
      <c r="BY28" s="68"/>
      <c r="BZ28" s="68"/>
      <c r="CA28" s="68"/>
      <c r="CB28" s="68"/>
      <c r="CC28" s="68"/>
      <c r="CD28" s="68"/>
      <c r="CE28" s="68"/>
      <c r="CF28" s="68"/>
      <c r="CG28" s="69"/>
      <c r="CH28" s="68"/>
      <c r="CI28" s="68"/>
      <c r="CJ28" s="68"/>
      <c r="CK28" s="68"/>
      <c r="CL28" s="68"/>
      <c r="CM28" s="68"/>
      <c r="CN28" s="68"/>
      <c r="CO28" s="68"/>
      <c r="CP28" s="68"/>
      <c r="CQ28" s="68"/>
      <c r="CR28" s="68"/>
      <c r="CS28" s="69"/>
      <c r="CT28" s="68"/>
      <c r="CU28" s="70"/>
      <c r="CV28" s="70"/>
      <c r="CW28" s="70"/>
      <c r="CX28" s="70"/>
      <c r="CY28" s="70"/>
      <c r="CZ28" s="70"/>
      <c r="DA28" s="70"/>
      <c r="DB28" s="70"/>
      <c r="DC28" s="70"/>
      <c r="DD28" s="70"/>
      <c r="DE28" s="70"/>
      <c r="DF28" s="70"/>
      <c r="DG28" s="70"/>
      <c r="DH28" s="70"/>
      <c r="DI28" s="70"/>
      <c r="DJ28" s="70"/>
      <c r="DK28" s="70"/>
      <c r="DL28" s="70"/>
      <c r="DM28" s="70"/>
      <c r="DN28" s="70"/>
      <c r="DO28" s="70"/>
      <c r="DP28" s="70"/>
      <c r="DQ28" s="70"/>
      <c r="DR28" s="70"/>
      <c r="DS28" s="70"/>
      <c r="DT28" s="70"/>
      <c r="DU28" s="70"/>
      <c r="DV28" s="70"/>
      <c r="DW28" s="70"/>
      <c r="DX28" s="70"/>
      <c r="DY28" s="70"/>
      <c r="DZ28" s="70"/>
      <c r="EA28" s="70"/>
      <c r="EB28" s="70"/>
      <c r="EC28" s="70"/>
      <c r="ED28" s="70"/>
      <c r="EE28" s="70"/>
      <c r="EF28" s="70"/>
      <c r="EG28" s="70"/>
      <c r="EH28" s="70"/>
      <c r="EI28" s="70"/>
      <c r="EJ28" s="70"/>
      <c r="EK28" s="70"/>
      <c r="EL28" s="71"/>
      <c r="EM28" s="71"/>
      <c r="EN28" s="71"/>
      <c r="EO28" s="71"/>
      <c r="EP28" s="71"/>
      <c r="EQ28" s="71"/>
      <c r="ER28" s="71"/>
      <c r="ES28" s="71"/>
      <c r="ET28" s="71"/>
      <c r="EU28" s="71"/>
      <c r="EV28" s="71"/>
      <c r="EW28" s="71"/>
      <c r="EX28" s="71"/>
      <c r="EY28" s="71"/>
      <c r="EZ28" s="71"/>
      <c r="FA28" s="71"/>
      <c r="FB28" s="101"/>
      <c r="FC28" s="101"/>
      <c r="FD28" s="102"/>
      <c r="FE28" s="101"/>
      <c r="FF28" s="101"/>
      <c r="FG28" s="101"/>
      <c r="FH28" s="101"/>
      <c r="FI28" s="101"/>
      <c r="FJ28" s="87">
        <v>111.6</v>
      </c>
      <c r="FK28" s="87">
        <v>111.6</v>
      </c>
      <c r="FL28" s="87">
        <v>111.6</v>
      </c>
      <c r="FM28" s="87">
        <v>111.6</v>
      </c>
      <c r="FN28" s="87">
        <v>111.6</v>
      </c>
      <c r="FO28" s="87">
        <v>111.6</v>
      </c>
      <c r="FP28" s="87">
        <v>109.3</v>
      </c>
      <c r="FQ28" s="87">
        <v>109.3</v>
      </c>
      <c r="FR28" s="87">
        <v>109.3</v>
      </c>
      <c r="FS28" s="87">
        <v>109.3</v>
      </c>
      <c r="FT28" s="87">
        <v>109.3</v>
      </c>
      <c r="FU28" s="87">
        <v>109.3</v>
      </c>
      <c r="FV28" s="93">
        <v>100</v>
      </c>
      <c r="FW28" s="93">
        <v>100</v>
      </c>
      <c r="FX28" s="93">
        <v>100</v>
      </c>
      <c r="FY28" s="88">
        <v>100</v>
      </c>
      <c r="FZ28" s="88">
        <v>100</v>
      </c>
      <c r="GA28" s="88">
        <v>100</v>
      </c>
      <c r="GB28" s="88">
        <v>100</v>
      </c>
      <c r="GC28" s="88">
        <v>100</v>
      </c>
      <c r="GD28" s="88">
        <v>100</v>
      </c>
      <c r="GE28" s="88">
        <v>100</v>
      </c>
      <c r="GF28" s="88">
        <v>100</v>
      </c>
      <c r="GG28" s="88">
        <v>100</v>
      </c>
      <c r="GH28" s="88">
        <v>100</v>
      </c>
      <c r="GI28" s="88">
        <v>100</v>
      </c>
      <c r="GJ28" s="88">
        <v>101.6</v>
      </c>
      <c r="GK28" s="88">
        <v>101.6</v>
      </c>
      <c r="GL28" s="88">
        <v>101.6</v>
      </c>
      <c r="GM28" s="88">
        <v>101.6</v>
      </c>
      <c r="GN28" s="88">
        <v>101.6</v>
      </c>
      <c r="GO28" s="88">
        <v>99.9</v>
      </c>
      <c r="GP28" s="88">
        <v>99.9</v>
      </c>
      <c r="GQ28" s="88">
        <v>99.9</v>
      </c>
      <c r="GR28" s="88">
        <v>99.9</v>
      </c>
      <c r="GS28" s="88">
        <v>99.9</v>
      </c>
      <c r="GT28" s="88">
        <v>99.9</v>
      </c>
      <c r="GU28" s="88">
        <v>99.9</v>
      </c>
      <c r="GV28" s="88">
        <v>99.9</v>
      </c>
      <c r="GW28" s="88">
        <v>99.9</v>
      </c>
      <c r="GX28" s="88">
        <v>3.6946544373479906</v>
      </c>
      <c r="GY28" s="88">
        <v>3.6997400685763218</v>
      </c>
      <c r="GZ28" s="88">
        <v>3.6949956719401995</v>
      </c>
      <c r="HA28" s="88">
        <v>3.6931063592288957</v>
      </c>
      <c r="HB28" s="88">
        <v>3.6916980571986873</v>
      </c>
      <c r="HC28" s="88">
        <v>3.6765056473688862</v>
      </c>
      <c r="HD28" s="88">
        <v>3.6664698319796338</v>
      </c>
      <c r="HE28" s="88">
        <v>3.6597139759948227</v>
      </c>
      <c r="HF28" s="109">
        <v>3.6552831769576262</v>
      </c>
      <c r="HG28" s="88">
        <v>3.6599416650962451</v>
      </c>
      <c r="HH28" s="88">
        <v>3.656026035721907</v>
      </c>
      <c r="HI28" s="88">
        <v>3.651455023646462</v>
      </c>
      <c r="HJ28" s="88">
        <v>3.6543080316743519</v>
      </c>
      <c r="HK28" s="88">
        <v>3.65275518484908</v>
      </c>
      <c r="HL28" s="88">
        <v>3.6615468272656182</v>
      </c>
      <c r="HM28" s="88">
        <v>3.6645990677697418</v>
      </c>
      <c r="HN28" s="88">
        <v>3.6529318468555445</v>
      </c>
      <c r="HO28" s="88">
        <v>3.6533523951389344</v>
      </c>
      <c r="HP28" s="88">
        <v>3.6462075377481176</v>
      </c>
      <c r="HQ28" s="88">
        <v>3.6509208209517965</v>
      </c>
      <c r="HR28" s="88">
        <v>3.6476796684111799</v>
      </c>
      <c r="HS28" s="88">
        <v>4.2496462349587087</v>
      </c>
      <c r="HT28" s="88">
        <v>4.2565555690030576</v>
      </c>
      <c r="HU28" s="88">
        <v>4.2569751317876552</v>
      </c>
      <c r="HV28" s="88">
        <v>4.2674799250416111</v>
      </c>
      <c r="HW28" s="88">
        <v>4.2676401689426715</v>
      </c>
      <c r="HX28" s="88">
        <v>4.2553998202539081</v>
      </c>
      <c r="HY28" s="88">
        <v>4.2561623061511167</v>
      </c>
      <c r="HZ28" s="88">
        <v>4.2532776097809304</v>
      </c>
      <c r="IA28" s="88">
        <v>4.2554757571580186</v>
      </c>
      <c r="IB28" s="88">
        <v>4.2547103679690492</v>
      </c>
      <c r="IC28" s="88">
        <v>4.2434413435567429</v>
      </c>
      <c r="ID28" s="88">
        <v>4.2497211480143493</v>
      </c>
      <c r="IE28" s="88">
        <v>4.2457143227046643</v>
      </c>
      <c r="IF28" s="88">
        <v>4.2526781429437408</v>
      </c>
      <c r="IG28" s="88">
        <v>4.2607952660774</v>
      </c>
      <c r="IH28" s="89">
        <v>4.2594927755528547</v>
      </c>
      <c r="II28" s="88">
        <v>4.2530833105529986</v>
      </c>
      <c r="IJ28" s="88">
        <v>4.2545136883912793</v>
      </c>
      <c r="IK28" s="88">
        <v>4.2555667206996706</v>
      </c>
      <c r="IL28" s="88">
        <v>4.2555667206996706</v>
      </c>
      <c r="IM28" s="88">
        <v>4.2517679866017968</v>
      </c>
      <c r="IN28" s="88">
        <v>4.2517679866017968</v>
      </c>
      <c r="IO28" s="89">
        <v>4.2372079693159481</v>
      </c>
      <c r="IP28" s="88">
        <v>4.2372079693159481</v>
      </c>
      <c r="IQ28" s="88">
        <v>4.2709286469459258</v>
      </c>
      <c r="IR28" s="88">
        <v>4.2709286469459258</v>
      </c>
      <c r="IS28" s="88">
        <v>4.2447524621115464</v>
      </c>
      <c r="IT28" s="88">
        <v>4.2420342025744269</v>
      </c>
      <c r="IU28" s="88">
        <v>4.2420342025744269</v>
      </c>
      <c r="IV28" s="88">
        <v>4.2270764394585649</v>
      </c>
      <c r="IW28" s="88">
        <v>4.2270764394585649</v>
      </c>
      <c r="IX28" s="88">
        <v>4.2419867529999999</v>
      </c>
      <c r="IY28" s="88">
        <v>4.2419867530137374</v>
      </c>
      <c r="IZ28" s="88">
        <v>4.2419867530137374</v>
      </c>
      <c r="JA28" s="88">
        <v>4.2419867530137374</v>
      </c>
      <c r="JB28" s="90">
        <v>4.2419867530137374</v>
      </c>
      <c r="JC28" s="91">
        <v>4.2</v>
      </c>
      <c r="JD28" s="91">
        <v>4.2</v>
      </c>
      <c r="JE28" s="91">
        <v>4.2</v>
      </c>
      <c r="JF28" s="91">
        <v>4.2</v>
      </c>
      <c r="JG28" s="91">
        <v>4.2</v>
      </c>
      <c r="JH28" s="91">
        <v>4.2</v>
      </c>
      <c r="JI28" s="90">
        <v>4.2</v>
      </c>
      <c r="JJ28" s="91">
        <v>4.2</v>
      </c>
      <c r="JK28" s="92">
        <v>4.2</v>
      </c>
      <c r="JM28" s="84">
        <f t="shared" si="39"/>
        <v>113.5135135135135</v>
      </c>
      <c r="JO28" s="31">
        <v>3.7</v>
      </c>
    </row>
    <row r="29" spans="1:275" s="31" customFormat="1" ht="15.6" x14ac:dyDescent="0.3">
      <c r="A29" s="83" t="s">
        <v>148</v>
      </c>
      <c r="B29" s="67"/>
      <c r="C29" s="67"/>
      <c r="D29" s="67"/>
      <c r="E29" s="67"/>
      <c r="F29" s="67"/>
      <c r="G29" s="68"/>
      <c r="H29" s="68"/>
      <c r="I29" s="68"/>
      <c r="J29" s="68"/>
      <c r="K29" s="68"/>
      <c r="L29" s="68"/>
      <c r="M29" s="69"/>
      <c r="N29" s="68"/>
      <c r="O29" s="68"/>
      <c r="P29" s="68"/>
      <c r="Q29" s="68"/>
      <c r="R29" s="68"/>
      <c r="S29" s="68"/>
      <c r="T29" s="68"/>
      <c r="U29" s="68"/>
      <c r="V29" s="68"/>
      <c r="W29" s="68"/>
      <c r="X29" s="68"/>
      <c r="Y29" s="69"/>
      <c r="Z29" s="68"/>
      <c r="AA29" s="68"/>
      <c r="AB29" s="68"/>
      <c r="AC29" s="68"/>
      <c r="AD29" s="68"/>
      <c r="AE29" s="68"/>
      <c r="AF29" s="68"/>
      <c r="AG29" s="68"/>
      <c r="AH29" s="68"/>
      <c r="AI29" s="68"/>
      <c r="AJ29" s="68"/>
      <c r="AK29" s="69"/>
      <c r="AL29" s="68"/>
      <c r="AM29" s="68"/>
      <c r="AN29" s="68"/>
      <c r="AO29" s="68"/>
      <c r="AP29" s="68"/>
      <c r="AQ29" s="68"/>
      <c r="AR29" s="68"/>
      <c r="AS29" s="68"/>
      <c r="AT29" s="68"/>
      <c r="AU29" s="68"/>
      <c r="AV29" s="68"/>
      <c r="AW29" s="69"/>
      <c r="AX29" s="68"/>
      <c r="AY29" s="68"/>
      <c r="AZ29" s="68"/>
      <c r="BA29" s="68"/>
      <c r="BB29" s="68"/>
      <c r="BC29" s="68"/>
      <c r="BD29" s="68"/>
      <c r="BE29" s="68"/>
      <c r="BF29" s="68"/>
      <c r="BG29" s="68"/>
      <c r="BH29" s="68"/>
      <c r="BI29" s="69"/>
      <c r="BJ29" s="68"/>
      <c r="BK29" s="68"/>
      <c r="BL29" s="68"/>
      <c r="BM29" s="68"/>
      <c r="BN29" s="68"/>
      <c r="BO29" s="68"/>
      <c r="BP29" s="68"/>
      <c r="BQ29" s="68"/>
      <c r="BR29" s="68"/>
      <c r="BS29" s="68"/>
      <c r="BT29" s="68"/>
      <c r="BU29" s="69"/>
      <c r="BV29" s="68"/>
      <c r="BW29" s="68"/>
      <c r="BX29" s="68"/>
      <c r="BY29" s="68"/>
      <c r="BZ29" s="68"/>
      <c r="CA29" s="68"/>
      <c r="CB29" s="68"/>
      <c r="CC29" s="68"/>
      <c r="CD29" s="68"/>
      <c r="CE29" s="68"/>
      <c r="CF29" s="68"/>
      <c r="CG29" s="69"/>
      <c r="CH29" s="68"/>
      <c r="CI29" s="68"/>
      <c r="CJ29" s="68"/>
      <c r="CK29" s="68"/>
      <c r="CL29" s="68"/>
      <c r="CM29" s="68"/>
      <c r="CN29" s="68"/>
      <c r="CO29" s="68"/>
      <c r="CP29" s="68"/>
      <c r="CQ29" s="68"/>
      <c r="CR29" s="68"/>
      <c r="CS29" s="69"/>
      <c r="CT29" s="68"/>
      <c r="CU29" s="70"/>
      <c r="CV29" s="70"/>
      <c r="CW29" s="70"/>
      <c r="CX29" s="70"/>
      <c r="CY29" s="70"/>
      <c r="CZ29" s="70"/>
      <c r="DA29" s="70"/>
      <c r="DB29" s="70"/>
      <c r="DC29" s="70"/>
      <c r="DD29" s="70"/>
      <c r="DE29" s="70"/>
      <c r="DF29" s="70"/>
      <c r="DG29" s="70"/>
      <c r="DH29" s="70"/>
      <c r="DI29" s="70"/>
      <c r="DJ29" s="70"/>
      <c r="DK29" s="70"/>
      <c r="DL29" s="70"/>
      <c r="DM29" s="70"/>
      <c r="DN29" s="70"/>
      <c r="DO29" s="70"/>
      <c r="DP29" s="70"/>
      <c r="DQ29" s="70"/>
      <c r="DR29" s="70"/>
      <c r="DS29" s="70"/>
      <c r="DT29" s="70"/>
      <c r="DU29" s="70"/>
      <c r="DV29" s="70"/>
      <c r="DW29" s="70"/>
      <c r="DX29" s="70"/>
      <c r="DY29" s="70"/>
      <c r="DZ29" s="70"/>
      <c r="EA29" s="70"/>
      <c r="EB29" s="70"/>
      <c r="EC29" s="70"/>
      <c r="ED29" s="70"/>
      <c r="EE29" s="70"/>
      <c r="EF29" s="70"/>
      <c r="EG29" s="70"/>
      <c r="EH29" s="70"/>
      <c r="EI29" s="70"/>
      <c r="EJ29" s="70"/>
      <c r="EK29" s="70"/>
      <c r="EL29" s="71"/>
      <c r="EM29" s="71"/>
      <c r="EN29" s="71"/>
      <c r="EO29" s="71"/>
      <c r="EP29" s="71"/>
      <c r="EQ29" s="71"/>
      <c r="ER29" s="71"/>
      <c r="ES29" s="71"/>
      <c r="ET29" s="71"/>
      <c r="EU29" s="71"/>
      <c r="EV29" s="71"/>
      <c r="EW29" s="71"/>
      <c r="EX29" s="71"/>
      <c r="EY29" s="71"/>
      <c r="EZ29" s="71"/>
      <c r="FA29" s="71"/>
      <c r="FB29" s="101"/>
      <c r="FC29" s="101"/>
      <c r="FD29" s="102"/>
      <c r="FE29" s="101"/>
      <c r="FF29" s="101"/>
      <c r="FG29" s="101"/>
      <c r="FH29" s="101"/>
      <c r="FI29" s="101"/>
      <c r="FJ29" s="87">
        <v>99.9</v>
      </c>
      <c r="FK29" s="87">
        <v>99.9</v>
      </c>
      <c r="FL29" s="87">
        <v>99.9</v>
      </c>
      <c r="FM29" s="87">
        <v>99.9</v>
      </c>
      <c r="FN29" s="87">
        <v>100</v>
      </c>
      <c r="FO29" s="87">
        <v>100</v>
      </c>
      <c r="FP29" s="87">
        <v>100</v>
      </c>
      <c r="FQ29" s="87">
        <v>100</v>
      </c>
      <c r="FR29" s="87">
        <v>100</v>
      </c>
      <c r="FS29" s="87">
        <v>100</v>
      </c>
      <c r="FT29" s="87">
        <v>100</v>
      </c>
      <c r="FU29" s="87">
        <v>100</v>
      </c>
      <c r="FV29" s="87">
        <v>100</v>
      </c>
      <c r="FW29" s="87">
        <v>100</v>
      </c>
      <c r="FX29" s="87">
        <v>100</v>
      </c>
      <c r="FY29" s="88">
        <v>100</v>
      </c>
      <c r="FZ29" s="88">
        <v>103.6</v>
      </c>
      <c r="GA29" s="88">
        <v>103.6</v>
      </c>
      <c r="GB29" s="88">
        <v>103.6</v>
      </c>
      <c r="GC29" s="88">
        <v>103.6</v>
      </c>
      <c r="GD29" s="88">
        <v>103.6</v>
      </c>
      <c r="GE29" s="88">
        <v>103.6</v>
      </c>
      <c r="GF29" s="88">
        <v>103.6</v>
      </c>
      <c r="GG29" s="88">
        <v>103.6</v>
      </c>
      <c r="GH29" s="88">
        <v>103.6</v>
      </c>
      <c r="GI29" s="88">
        <v>103.6</v>
      </c>
      <c r="GJ29" s="88">
        <v>103.6</v>
      </c>
      <c r="GK29" s="88">
        <v>103.6</v>
      </c>
      <c r="GL29" s="88">
        <v>103.6</v>
      </c>
      <c r="GM29" s="88">
        <v>103.6</v>
      </c>
      <c r="GN29" s="88">
        <v>103.6</v>
      </c>
      <c r="GO29" s="88">
        <v>103.6</v>
      </c>
      <c r="GP29" s="88">
        <v>103.6</v>
      </c>
      <c r="GQ29" s="88">
        <v>103.6</v>
      </c>
      <c r="GR29" s="88">
        <v>103.6</v>
      </c>
      <c r="GS29" s="88">
        <v>103.6</v>
      </c>
      <c r="GT29" s="88">
        <v>103.6</v>
      </c>
      <c r="GU29" s="88">
        <v>103.6</v>
      </c>
      <c r="GV29" s="88">
        <v>103.6</v>
      </c>
      <c r="GW29" s="88">
        <v>103.6</v>
      </c>
      <c r="GX29" s="88">
        <v>0.64037913899437504</v>
      </c>
      <c r="GY29" s="88">
        <v>0.64651884543473226</v>
      </c>
      <c r="GZ29" s="88">
        <v>0.64709269355418031</v>
      </c>
      <c r="HA29" s="88">
        <v>0.64709269355418031</v>
      </c>
      <c r="HB29" s="88">
        <v>0.6465853458495</v>
      </c>
      <c r="HC29" s="88">
        <v>0.64698949315810927</v>
      </c>
      <c r="HD29" s="88">
        <v>0.64854284196004242</v>
      </c>
      <c r="HE29" s="88">
        <v>0.64969391422500833</v>
      </c>
      <c r="HF29" s="109">
        <v>0.64963754814900698</v>
      </c>
      <c r="HG29" s="88">
        <v>0.64963754814900698</v>
      </c>
      <c r="HH29" s="88">
        <v>0.64963754814900698</v>
      </c>
      <c r="HI29" s="88">
        <v>0.66379559044805325</v>
      </c>
      <c r="HJ29" s="88">
        <v>0.66422639373073222</v>
      </c>
      <c r="HK29" s="88">
        <v>0.66422639373073222</v>
      </c>
      <c r="HL29" s="88">
        <v>0.66422639373073222</v>
      </c>
      <c r="HM29" s="88">
        <v>0.6776726565995782</v>
      </c>
      <c r="HN29" s="88">
        <v>0.67761721559715848</v>
      </c>
      <c r="HO29" s="88">
        <v>0.67986612578131445</v>
      </c>
      <c r="HP29" s="88">
        <v>0.68391648490495349</v>
      </c>
      <c r="HQ29" s="88">
        <v>0.68485115452517409</v>
      </c>
      <c r="HR29" s="88">
        <v>0.68559753547568913</v>
      </c>
      <c r="HS29" s="88">
        <v>0.68559753547568913</v>
      </c>
      <c r="HT29" s="88">
        <v>0.68495723272229292</v>
      </c>
      <c r="HU29" s="88">
        <v>0.6836571169782456</v>
      </c>
      <c r="HV29" s="88">
        <v>0.68603629574361424</v>
      </c>
      <c r="HW29" s="88">
        <v>0.68686827775389414</v>
      </c>
      <c r="HX29" s="88">
        <v>0.68686827775389414</v>
      </c>
      <c r="HY29" s="88">
        <v>0.68729324356570198</v>
      </c>
      <c r="HZ29" s="88">
        <v>0.72637161710843945</v>
      </c>
      <c r="IA29" s="88">
        <v>0.72550996191396322</v>
      </c>
      <c r="IB29" s="88">
        <v>0.72397927258664452</v>
      </c>
      <c r="IC29" s="88">
        <v>0.72682261561991313</v>
      </c>
      <c r="ID29" s="88">
        <v>0.72682261561991313</v>
      </c>
      <c r="IE29" s="88">
        <v>0.7275863579939964</v>
      </c>
      <c r="IF29" s="88">
        <v>0.7275863579939964</v>
      </c>
      <c r="IG29" s="88">
        <v>0.72689776115236548</v>
      </c>
      <c r="IH29" s="89">
        <v>0.72492394974119589</v>
      </c>
      <c r="II29" s="88">
        <v>0.72492394974119589</v>
      </c>
      <c r="IJ29" s="88">
        <v>0.73429920580915775</v>
      </c>
      <c r="IK29" s="88">
        <v>0.73553735320061842</v>
      </c>
      <c r="IL29" s="88">
        <v>0.73596493191198253</v>
      </c>
      <c r="IM29" s="88">
        <v>0.73708551528344557</v>
      </c>
      <c r="IN29" s="88">
        <v>0.73708551528344557</v>
      </c>
      <c r="IO29" s="89">
        <v>0.73708551528344557</v>
      </c>
      <c r="IP29" s="88">
        <v>0.73708551528344557</v>
      </c>
      <c r="IQ29" s="88">
        <v>0.78062159295160027</v>
      </c>
      <c r="IR29" s="88">
        <v>0.78062159295160027</v>
      </c>
      <c r="IS29" s="88">
        <v>0.78062159295160027</v>
      </c>
      <c r="IT29" s="88">
        <v>0.79224162536371989</v>
      </c>
      <c r="IU29" s="88">
        <v>0.79224162536371989</v>
      </c>
      <c r="IV29" s="88">
        <v>0.80080156787771184</v>
      </c>
      <c r="IW29" s="88">
        <v>0.78884683171700243</v>
      </c>
      <c r="IX29" s="88">
        <v>0.87757909099999998</v>
      </c>
      <c r="IY29" s="88">
        <v>0.88875337491821127</v>
      </c>
      <c r="IZ29" s="88">
        <v>0.8533487700804695</v>
      </c>
      <c r="JA29" s="88">
        <v>0.82196844553055504</v>
      </c>
      <c r="JB29" s="90">
        <v>0.8021605720910735</v>
      </c>
      <c r="JC29" s="91">
        <v>0.8</v>
      </c>
      <c r="JD29" s="91">
        <v>0.8</v>
      </c>
      <c r="JE29" s="91">
        <v>0.8</v>
      </c>
      <c r="JF29" s="91">
        <v>0.8</v>
      </c>
      <c r="JG29" s="91">
        <v>0.8</v>
      </c>
      <c r="JH29" s="91">
        <v>0.8</v>
      </c>
      <c r="JI29" s="90">
        <v>0.8</v>
      </c>
      <c r="JJ29" s="91">
        <v>0.8</v>
      </c>
      <c r="JK29" s="92">
        <v>0.8</v>
      </c>
      <c r="JM29" s="84">
        <f t="shared" si="39"/>
        <v>133.33333333333334</v>
      </c>
      <c r="JO29" s="31">
        <v>0.6</v>
      </c>
    </row>
    <row r="30" spans="1:275" s="31" customFormat="1" ht="15.6" x14ac:dyDescent="0.3">
      <c r="A30" s="83" t="s">
        <v>12</v>
      </c>
      <c r="B30" s="67"/>
      <c r="C30" s="67"/>
      <c r="D30" s="67"/>
      <c r="E30" s="67"/>
      <c r="F30" s="67"/>
      <c r="G30" s="68"/>
      <c r="H30" s="68"/>
      <c r="I30" s="68"/>
      <c r="J30" s="68"/>
      <c r="K30" s="68"/>
      <c r="L30" s="68"/>
      <c r="M30" s="69"/>
      <c r="N30" s="68"/>
      <c r="O30" s="68"/>
      <c r="P30" s="68"/>
      <c r="Q30" s="68"/>
      <c r="R30" s="68"/>
      <c r="S30" s="68"/>
      <c r="T30" s="68"/>
      <c r="U30" s="68"/>
      <c r="V30" s="68"/>
      <c r="W30" s="68"/>
      <c r="X30" s="68"/>
      <c r="Y30" s="69"/>
      <c r="Z30" s="68"/>
      <c r="AA30" s="68"/>
      <c r="AB30" s="68"/>
      <c r="AC30" s="68"/>
      <c r="AD30" s="68"/>
      <c r="AE30" s="68"/>
      <c r="AF30" s="68"/>
      <c r="AG30" s="68"/>
      <c r="AH30" s="68"/>
      <c r="AI30" s="68"/>
      <c r="AJ30" s="68"/>
      <c r="AK30" s="69"/>
      <c r="AL30" s="68"/>
      <c r="AM30" s="68"/>
      <c r="AN30" s="68"/>
      <c r="AO30" s="68"/>
      <c r="AP30" s="68"/>
      <c r="AQ30" s="68"/>
      <c r="AR30" s="68"/>
      <c r="AS30" s="68"/>
      <c r="AT30" s="68"/>
      <c r="AU30" s="68"/>
      <c r="AV30" s="68"/>
      <c r="AW30" s="69"/>
      <c r="AX30" s="68"/>
      <c r="AY30" s="68"/>
      <c r="AZ30" s="68"/>
      <c r="BA30" s="68"/>
      <c r="BB30" s="68"/>
      <c r="BC30" s="68"/>
      <c r="BD30" s="68"/>
      <c r="BE30" s="68"/>
      <c r="BF30" s="68"/>
      <c r="BG30" s="68"/>
      <c r="BH30" s="68"/>
      <c r="BI30" s="69"/>
      <c r="BJ30" s="68"/>
      <c r="BK30" s="68"/>
      <c r="BL30" s="68"/>
      <c r="BM30" s="68"/>
      <c r="BN30" s="68"/>
      <c r="BO30" s="68"/>
      <c r="BP30" s="68"/>
      <c r="BQ30" s="68"/>
      <c r="BR30" s="68"/>
      <c r="BS30" s="68"/>
      <c r="BT30" s="68"/>
      <c r="BU30" s="69"/>
      <c r="BV30" s="68"/>
      <c r="BW30" s="68"/>
      <c r="BX30" s="68"/>
      <c r="BY30" s="68"/>
      <c r="BZ30" s="68"/>
      <c r="CA30" s="68"/>
      <c r="CB30" s="68"/>
      <c r="CC30" s="68"/>
      <c r="CD30" s="68"/>
      <c r="CE30" s="68"/>
      <c r="CF30" s="68"/>
      <c r="CG30" s="69"/>
      <c r="CH30" s="68"/>
      <c r="CI30" s="68"/>
      <c r="CJ30" s="68"/>
      <c r="CK30" s="68"/>
      <c r="CL30" s="68"/>
      <c r="CM30" s="68"/>
      <c r="CN30" s="68"/>
      <c r="CO30" s="68"/>
      <c r="CP30" s="68"/>
      <c r="CQ30" s="68"/>
      <c r="CR30" s="68"/>
      <c r="CS30" s="69"/>
      <c r="CT30" s="68"/>
      <c r="CU30" s="70"/>
      <c r="CV30" s="70"/>
      <c r="CW30" s="70"/>
      <c r="CX30" s="70"/>
      <c r="CY30" s="70"/>
      <c r="CZ30" s="70"/>
      <c r="DA30" s="70"/>
      <c r="DB30" s="70"/>
      <c r="DC30" s="70"/>
      <c r="DD30" s="70"/>
      <c r="DE30" s="70"/>
      <c r="DF30" s="70"/>
      <c r="DG30" s="70"/>
      <c r="DH30" s="70"/>
      <c r="DI30" s="70"/>
      <c r="DJ30" s="70"/>
      <c r="DK30" s="70"/>
      <c r="DL30" s="70"/>
      <c r="DM30" s="70"/>
      <c r="DN30" s="70"/>
      <c r="DO30" s="70"/>
      <c r="DP30" s="70"/>
      <c r="DQ30" s="70"/>
      <c r="DR30" s="70"/>
      <c r="DS30" s="70"/>
      <c r="DT30" s="70"/>
      <c r="DU30" s="70"/>
      <c r="DV30" s="70"/>
      <c r="DW30" s="70"/>
      <c r="DX30" s="70"/>
      <c r="DY30" s="70"/>
      <c r="DZ30" s="70"/>
      <c r="EA30" s="70"/>
      <c r="EB30" s="70"/>
      <c r="EC30" s="70"/>
      <c r="ED30" s="70"/>
      <c r="EE30" s="70"/>
      <c r="EF30" s="70"/>
      <c r="EG30" s="70"/>
      <c r="EH30" s="70"/>
      <c r="EI30" s="70"/>
      <c r="EJ30" s="70"/>
      <c r="EK30" s="70"/>
      <c r="EL30" s="71"/>
      <c r="EM30" s="71"/>
      <c r="EN30" s="71"/>
      <c r="EO30" s="71"/>
      <c r="EP30" s="71"/>
      <c r="EQ30" s="71"/>
      <c r="ER30" s="71"/>
      <c r="ES30" s="71"/>
      <c r="ET30" s="71"/>
      <c r="EU30" s="71"/>
      <c r="EV30" s="71"/>
      <c r="EW30" s="71"/>
      <c r="EX30" s="71"/>
      <c r="EY30" s="71"/>
      <c r="EZ30" s="71"/>
      <c r="FA30" s="71"/>
      <c r="FB30" s="101"/>
      <c r="FC30" s="101"/>
      <c r="FD30" s="102"/>
      <c r="FE30" s="101"/>
      <c r="FF30" s="101"/>
      <c r="FG30" s="101"/>
      <c r="FH30" s="101"/>
      <c r="FI30" s="101"/>
      <c r="FJ30" s="87">
        <v>100</v>
      </c>
      <c r="FK30" s="87">
        <v>100</v>
      </c>
      <c r="FL30" s="87">
        <v>100</v>
      </c>
      <c r="FM30" s="87">
        <v>100</v>
      </c>
      <c r="FN30" s="87">
        <v>100</v>
      </c>
      <c r="FO30" s="87">
        <v>100</v>
      </c>
      <c r="FP30" s="87">
        <v>100</v>
      </c>
      <c r="FQ30" s="87">
        <v>100</v>
      </c>
      <c r="FR30" s="87">
        <v>100</v>
      </c>
      <c r="FS30" s="87">
        <v>100</v>
      </c>
      <c r="FT30" s="87">
        <v>100</v>
      </c>
      <c r="FU30" s="87">
        <v>100</v>
      </c>
      <c r="FV30" s="87">
        <v>100</v>
      </c>
      <c r="FW30" s="87">
        <v>100</v>
      </c>
      <c r="FX30" s="87">
        <v>100</v>
      </c>
      <c r="FY30" s="88">
        <v>100</v>
      </c>
      <c r="FZ30" s="88">
        <v>104.2</v>
      </c>
      <c r="GA30" s="88">
        <v>104.2</v>
      </c>
      <c r="GB30" s="88">
        <v>104.2</v>
      </c>
      <c r="GC30" s="88">
        <v>104.2</v>
      </c>
      <c r="GD30" s="88">
        <v>104.2</v>
      </c>
      <c r="GE30" s="88">
        <v>104.2</v>
      </c>
      <c r="GF30" s="88">
        <v>104.2</v>
      </c>
      <c r="GG30" s="88">
        <v>104.2</v>
      </c>
      <c r="GH30" s="88">
        <v>104.2</v>
      </c>
      <c r="GI30" s="88">
        <v>104.2</v>
      </c>
      <c r="GJ30" s="88">
        <v>104.2</v>
      </c>
      <c r="GK30" s="88">
        <v>104.2</v>
      </c>
      <c r="GL30" s="88">
        <v>104.2</v>
      </c>
      <c r="GM30" s="88">
        <v>104.8</v>
      </c>
      <c r="GN30" s="88">
        <v>104.8</v>
      </c>
      <c r="GO30" s="88">
        <v>104.8</v>
      </c>
      <c r="GP30" s="88">
        <v>104.8</v>
      </c>
      <c r="GQ30" s="88">
        <v>104.8</v>
      </c>
      <c r="GR30" s="88">
        <v>104.8</v>
      </c>
      <c r="GS30" s="88">
        <v>104.8</v>
      </c>
      <c r="GT30" s="88">
        <v>104.8</v>
      </c>
      <c r="GU30" s="88">
        <v>104.8</v>
      </c>
      <c r="GV30" s="88">
        <v>104.8</v>
      </c>
      <c r="GW30" s="88">
        <v>104.8</v>
      </c>
      <c r="GX30" s="88">
        <v>1.2060818101384994</v>
      </c>
      <c r="GY30" s="88">
        <v>1.2060818101384994</v>
      </c>
      <c r="GZ30" s="88">
        <v>1.2060818101384994</v>
      </c>
      <c r="HA30" s="88">
        <v>1.2060818101384994</v>
      </c>
      <c r="HB30" s="88">
        <v>1.2060818101384994</v>
      </c>
      <c r="HC30" s="88">
        <v>1.2060818101384994</v>
      </c>
      <c r="HD30" s="88">
        <v>1.2060818101384994</v>
      </c>
      <c r="HE30" s="88">
        <v>1.2060818101384994</v>
      </c>
      <c r="HF30" s="109">
        <v>1.2060818101384994</v>
      </c>
      <c r="HG30" s="88">
        <v>1.2060818101384994</v>
      </c>
      <c r="HH30" s="88">
        <v>1.2060818101384994</v>
      </c>
      <c r="HI30" s="88">
        <v>1.2060818101384994</v>
      </c>
      <c r="HJ30" s="88">
        <v>1.2060818101384994</v>
      </c>
      <c r="HK30" s="88">
        <v>1.2060818101384994</v>
      </c>
      <c r="HL30" s="88">
        <v>1.2060818101384994</v>
      </c>
      <c r="HM30" s="88">
        <v>1.2060818101384994</v>
      </c>
      <c r="HN30" s="88">
        <v>1.2060818101384994</v>
      </c>
      <c r="HO30" s="88">
        <v>1.2060818101384994</v>
      </c>
      <c r="HP30" s="88">
        <v>1.2060818101384994</v>
      </c>
      <c r="HQ30" s="88">
        <v>1.2060818101384994</v>
      </c>
      <c r="HR30" s="88">
        <v>1.2060818101384994</v>
      </c>
      <c r="HS30" s="88">
        <v>1.2060818101384994</v>
      </c>
      <c r="HT30" s="88">
        <v>1.2060818101384994</v>
      </c>
      <c r="HU30" s="88">
        <v>1.2060818101384994</v>
      </c>
      <c r="HV30" s="88">
        <v>1.2880203722087149</v>
      </c>
      <c r="HW30" s="88">
        <v>1.2880203722087149</v>
      </c>
      <c r="HX30" s="88">
        <v>1.2880203722087149</v>
      </c>
      <c r="HY30" s="88">
        <v>1.2880203722087149</v>
      </c>
      <c r="HZ30" s="88">
        <v>1.2880203722087149</v>
      </c>
      <c r="IA30" s="88">
        <v>1.2880203722087149</v>
      </c>
      <c r="IB30" s="88">
        <v>1.2880203722087149</v>
      </c>
      <c r="IC30" s="88">
        <v>1.2880203722087149</v>
      </c>
      <c r="ID30" s="88">
        <v>1.2880203722087149</v>
      </c>
      <c r="IE30" s="88">
        <v>1.2880203722087149</v>
      </c>
      <c r="IF30" s="88">
        <v>1.2880203722087149</v>
      </c>
      <c r="IG30" s="88">
        <v>1.2880203722087149</v>
      </c>
      <c r="IH30" s="89">
        <v>1.2514719956495566</v>
      </c>
      <c r="II30" s="88">
        <v>1.2514719956495566</v>
      </c>
      <c r="IJ30" s="88">
        <v>1.2514719956495566</v>
      </c>
      <c r="IK30" s="88">
        <v>1.2514719956495566</v>
      </c>
      <c r="IL30" s="88">
        <v>1.2514719956495566</v>
      </c>
      <c r="IM30" s="88">
        <v>1.2514719956495566</v>
      </c>
      <c r="IN30" s="88">
        <v>1.2514719956495566</v>
      </c>
      <c r="IO30" s="89">
        <v>1.2514719956495566</v>
      </c>
      <c r="IP30" s="88">
        <v>1.2514719956495566</v>
      </c>
      <c r="IQ30" s="88">
        <v>1.2514719956495566</v>
      </c>
      <c r="IR30" s="88">
        <v>1.2514719956495566</v>
      </c>
      <c r="IS30" s="88">
        <v>1.2514719956495566</v>
      </c>
      <c r="IT30" s="88">
        <v>1.2753297738144074</v>
      </c>
      <c r="IU30" s="88">
        <v>1.2753297738144074</v>
      </c>
      <c r="IV30" s="88">
        <v>1.2790249999801522</v>
      </c>
      <c r="IW30" s="88">
        <v>1.2790249999801522</v>
      </c>
      <c r="IX30" s="88">
        <v>1.2790250000000001</v>
      </c>
      <c r="IY30" s="88">
        <v>1.2790249999801522</v>
      </c>
      <c r="IZ30" s="88">
        <v>1.2790249999801522</v>
      </c>
      <c r="JA30" s="88">
        <v>1.2790249999801522</v>
      </c>
      <c r="JB30" s="90">
        <v>1.2790249999801522</v>
      </c>
      <c r="JC30" s="91">
        <v>1.3</v>
      </c>
      <c r="JD30" s="91">
        <v>1.3</v>
      </c>
      <c r="JE30" s="91">
        <v>1.3</v>
      </c>
      <c r="JF30" s="91">
        <v>1.3</v>
      </c>
      <c r="JG30" s="91">
        <v>1.3</v>
      </c>
      <c r="JH30" s="91">
        <v>1.3</v>
      </c>
      <c r="JI30" s="90">
        <v>1.3</v>
      </c>
      <c r="JJ30" s="91">
        <v>1.3</v>
      </c>
      <c r="JK30" s="92">
        <v>1.3</v>
      </c>
      <c r="JM30" s="84">
        <f t="shared" si="39"/>
        <v>108.33333333333333</v>
      </c>
      <c r="JO30" s="31">
        <v>1.2</v>
      </c>
    </row>
    <row r="31" spans="1:275" s="31" customFormat="1" ht="15.6" x14ac:dyDescent="0.3">
      <c r="A31" s="83" t="s">
        <v>149</v>
      </c>
      <c r="B31" s="67"/>
      <c r="C31" s="67"/>
      <c r="D31" s="67"/>
      <c r="E31" s="67"/>
      <c r="F31" s="67"/>
      <c r="G31" s="68"/>
      <c r="H31" s="68"/>
      <c r="I31" s="68"/>
      <c r="J31" s="68"/>
      <c r="K31" s="68"/>
      <c r="L31" s="68"/>
      <c r="M31" s="69"/>
      <c r="N31" s="68"/>
      <c r="O31" s="68"/>
      <c r="P31" s="68"/>
      <c r="Q31" s="68"/>
      <c r="R31" s="68"/>
      <c r="S31" s="68"/>
      <c r="T31" s="68"/>
      <c r="U31" s="68"/>
      <c r="V31" s="68"/>
      <c r="W31" s="68"/>
      <c r="X31" s="68"/>
      <c r="Y31" s="69"/>
      <c r="Z31" s="68"/>
      <c r="AA31" s="68"/>
      <c r="AB31" s="68"/>
      <c r="AC31" s="68"/>
      <c r="AD31" s="68"/>
      <c r="AE31" s="68"/>
      <c r="AF31" s="68"/>
      <c r="AG31" s="68"/>
      <c r="AH31" s="68"/>
      <c r="AI31" s="68"/>
      <c r="AJ31" s="68"/>
      <c r="AK31" s="69"/>
      <c r="AL31" s="68"/>
      <c r="AM31" s="68"/>
      <c r="AN31" s="68"/>
      <c r="AO31" s="68"/>
      <c r="AP31" s="68"/>
      <c r="AQ31" s="68"/>
      <c r="AR31" s="68"/>
      <c r="AS31" s="68"/>
      <c r="AT31" s="68"/>
      <c r="AU31" s="68"/>
      <c r="AV31" s="68"/>
      <c r="AW31" s="69"/>
      <c r="AX31" s="68"/>
      <c r="AY31" s="68"/>
      <c r="AZ31" s="68"/>
      <c r="BA31" s="68"/>
      <c r="BB31" s="68"/>
      <c r="BC31" s="68"/>
      <c r="BD31" s="68"/>
      <c r="BE31" s="68"/>
      <c r="BF31" s="68"/>
      <c r="BG31" s="68"/>
      <c r="BH31" s="68"/>
      <c r="BI31" s="69"/>
      <c r="BJ31" s="68"/>
      <c r="BK31" s="68"/>
      <c r="BL31" s="68"/>
      <c r="BM31" s="68"/>
      <c r="BN31" s="68"/>
      <c r="BO31" s="68"/>
      <c r="BP31" s="68"/>
      <c r="BQ31" s="68"/>
      <c r="BR31" s="68"/>
      <c r="BS31" s="68"/>
      <c r="BT31" s="68"/>
      <c r="BU31" s="69"/>
      <c r="BV31" s="68"/>
      <c r="BW31" s="68"/>
      <c r="BX31" s="68"/>
      <c r="BY31" s="68"/>
      <c r="BZ31" s="68"/>
      <c r="CA31" s="68"/>
      <c r="CB31" s="68"/>
      <c r="CC31" s="68"/>
      <c r="CD31" s="68"/>
      <c r="CE31" s="68"/>
      <c r="CF31" s="68"/>
      <c r="CG31" s="69"/>
      <c r="CH31" s="68"/>
      <c r="CI31" s="68"/>
      <c r="CJ31" s="68"/>
      <c r="CK31" s="68"/>
      <c r="CL31" s="68"/>
      <c r="CM31" s="68"/>
      <c r="CN31" s="68"/>
      <c r="CO31" s="68"/>
      <c r="CP31" s="68"/>
      <c r="CQ31" s="68"/>
      <c r="CR31" s="68"/>
      <c r="CS31" s="69"/>
      <c r="CT31" s="68"/>
      <c r="CU31" s="70"/>
      <c r="CV31" s="70"/>
      <c r="CW31" s="70"/>
      <c r="CX31" s="70"/>
      <c r="CY31" s="70"/>
      <c r="CZ31" s="70"/>
      <c r="DA31" s="70"/>
      <c r="DB31" s="70"/>
      <c r="DC31" s="70"/>
      <c r="DD31" s="70"/>
      <c r="DE31" s="70"/>
      <c r="DF31" s="70"/>
      <c r="DG31" s="70"/>
      <c r="DH31" s="70"/>
      <c r="DI31" s="70"/>
      <c r="DJ31" s="70"/>
      <c r="DK31" s="70"/>
      <c r="DL31" s="70"/>
      <c r="DM31" s="70"/>
      <c r="DN31" s="70"/>
      <c r="DO31" s="70"/>
      <c r="DP31" s="70"/>
      <c r="DQ31" s="70"/>
      <c r="DR31" s="70"/>
      <c r="DS31" s="70"/>
      <c r="DT31" s="70"/>
      <c r="DU31" s="70"/>
      <c r="DV31" s="70"/>
      <c r="DW31" s="70"/>
      <c r="DX31" s="70"/>
      <c r="DY31" s="70"/>
      <c r="DZ31" s="70"/>
      <c r="EA31" s="70"/>
      <c r="EB31" s="70"/>
      <c r="EC31" s="70"/>
      <c r="ED31" s="70"/>
      <c r="EE31" s="70"/>
      <c r="EF31" s="70"/>
      <c r="EG31" s="70"/>
      <c r="EH31" s="70"/>
      <c r="EI31" s="70"/>
      <c r="EJ31" s="70"/>
      <c r="EK31" s="70"/>
      <c r="EL31" s="71"/>
      <c r="EM31" s="71"/>
      <c r="EN31" s="71"/>
      <c r="EO31" s="71"/>
      <c r="EP31" s="71"/>
      <c r="EQ31" s="71"/>
      <c r="ER31" s="71"/>
      <c r="ES31" s="71"/>
      <c r="ET31" s="71"/>
      <c r="EU31" s="71"/>
      <c r="EV31" s="71"/>
      <c r="EW31" s="71"/>
      <c r="EX31" s="71"/>
      <c r="EY31" s="71"/>
      <c r="EZ31" s="71"/>
      <c r="FA31" s="71"/>
      <c r="FB31" s="101"/>
      <c r="FC31" s="101"/>
      <c r="FD31" s="102"/>
      <c r="FE31" s="101"/>
      <c r="FF31" s="101"/>
      <c r="FG31" s="101"/>
      <c r="FH31" s="101"/>
      <c r="FI31" s="101"/>
      <c r="FJ31" s="87">
        <v>100</v>
      </c>
      <c r="FK31" s="87">
        <v>100</v>
      </c>
      <c r="FL31" s="87">
        <v>100</v>
      </c>
      <c r="FM31" s="87">
        <v>100</v>
      </c>
      <c r="FN31" s="87">
        <v>100</v>
      </c>
      <c r="FO31" s="87">
        <v>100</v>
      </c>
      <c r="FP31" s="87">
        <v>100</v>
      </c>
      <c r="FQ31" s="87">
        <v>100</v>
      </c>
      <c r="FR31" s="87">
        <v>100</v>
      </c>
      <c r="FS31" s="87">
        <v>100</v>
      </c>
      <c r="FT31" s="87">
        <v>100</v>
      </c>
      <c r="FU31" s="87">
        <v>100</v>
      </c>
      <c r="FV31" s="87">
        <v>100</v>
      </c>
      <c r="FW31" s="88">
        <v>101.3</v>
      </c>
      <c r="FX31" s="93">
        <v>101.3</v>
      </c>
      <c r="FY31" s="88">
        <v>101.3</v>
      </c>
      <c r="FZ31" s="88">
        <v>108.2</v>
      </c>
      <c r="GA31" s="88">
        <v>108.2</v>
      </c>
      <c r="GB31" s="88">
        <v>108.2</v>
      </c>
      <c r="GC31" s="88">
        <v>108.2</v>
      </c>
      <c r="GD31" s="88">
        <v>108.2</v>
      </c>
      <c r="GE31" s="88">
        <v>108.2</v>
      </c>
      <c r="GF31" s="88">
        <v>108.2</v>
      </c>
      <c r="GG31" s="88">
        <v>108.2</v>
      </c>
      <c r="GH31" s="88">
        <v>108.2</v>
      </c>
      <c r="GI31" s="88">
        <v>108.2</v>
      </c>
      <c r="GJ31" s="88">
        <v>108.2</v>
      </c>
      <c r="GK31" s="88">
        <v>108.2</v>
      </c>
      <c r="GL31" s="88">
        <v>108.2</v>
      </c>
      <c r="GM31" s="88">
        <v>108.2</v>
      </c>
      <c r="GN31" s="88">
        <v>108.2</v>
      </c>
      <c r="GO31" s="88">
        <v>108.2</v>
      </c>
      <c r="GP31" s="88">
        <v>108.2</v>
      </c>
      <c r="GQ31" s="88">
        <v>108.2</v>
      </c>
      <c r="GR31" s="88">
        <v>108.2</v>
      </c>
      <c r="GS31" s="88">
        <v>108.2</v>
      </c>
      <c r="GT31" s="88">
        <v>108.2</v>
      </c>
      <c r="GU31" s="88">
        <v>108.2</v>
      </c>
      <c r="GV31" s="88">
        <v>108.2</v>
      </c>
      <c r="GW31" s="88">
        <v>108.2</v>
      </c>
      <c r="GX31" s="88">
        <v>14.950022345469353</v>
      </c>
      <c r="GY31" s="88">
        <v>14.950022345469353</v>
      </c>
      <c r="GZ31" s="88">
        <v>14.950022345469353</v>
      </c>
      <c r="HA31" s="88">
        <v>14.950022345469353</v>
      </c>
      <c r="HB31" s="88">
        <v>14.950022345469353</v>
      </c>
      <c r="HC31" s="88">
        <v>14.950022345469353</v>
      </c>
      <c r="HD31" s="88">
        <v>14.950022345469353</v>
      </c>
      <c r="HE31" s="88">
        <v>14.950022345469353</v>
      </c>
      <c r="HF31" s="109">
        <v>14.950022345469353</v>
      </c>
      <c r="HG31" s="88">
        <v>14.950022345469353</v>
      </c>
      <c r="HH31" s="88">
        <v>14.950022345469353</v>
      </c>
      <c r="HI31" s="88">
        <v>14.950022345469353</v>
      </c>
      <c r="HJ31" s="88">
        <v>14.950022345469353</v>
      </c>
      <c r="HK31" s="88">
        <v>14.950022345469353</v>
      </c>
      <c r="HL31" s="88">
        <v>14.950022345469353</v>
      </c>
      <c r="HM31" s="88">
        <v>14.950022345469353</v>
      </c>
      <c r="HN31" s="88">
        <v>14.950022345469353</v>
      </c>
      <c r="HO31" s="88">
        <v>14.950022345469353</v>
      </c>
      <c r="HP31" s="88">
        <v>15.632334676546108</v>
      </c>
      <c r="HQ31" s="88">
        <v>15.632334676546108</v>
      </c>
      <c r="HR31" s="88">
        <v>16.693882219980278</v>
      </c>
      <c r="HS31" s="88">
        <v>16.693882219980278</v>
      </c>
      <c r="HT31" s="88">
        <v>16.693882219980278</v>
      </c>
      <c r="HU31" s="88">
        <v>16.693882219980278</v>
      </c>
      <c r="HV31" s="88">
        <v>16.693882219980278</v>
      </c>
      <c r="HW31" s="88">
        <v>16.693882219980278</v>
      </c>
      <c r="HX31" s="88">
        <v>16.693882219980278</v>
      </c>
      <c r="HY31" s="88">
        <v>18.104044019267782</v>
      </c>
      <c r="HZ31" s="88">
        <v>19.787936889866387</v>
      </c>
      <c r="IA31" s="88">
        <v>19.787936889866387</v>
      </c>
      <c r="IB31" s="88">
        <v>19.787936889866387</v>
      </c>
      <c r="IC31" s="88">
        <v>19.787936889866387</v>
      </c>
      <c r="ID31" s="88">
        <v>19.787936889866387</v>
      </c>
      <c r="IE31" s="88">
        <v>19.787936889866387</v>
      </c>
      <c r="IF31" s="88">
        <v>19.787936889866387</v>
      </c>
      <c r="IG31" s="88">
        <v>19.787936889866387</v>
      </c>
      <c r="IH31" s="89">
        <v>19.787936889866387</v>
      </c>
      <c r="II31" s="88">
        <v>19.787936889866387</v>
      </c>
      <c r="IJ31" s="88">
        <v>19.787936889866387</v>
      </c>
      <c r="IK31" s="88">
        <v>19.787936889866387</v>
      </c>
      <c r="IL31" s="88">
        <v>19.787936889866387</v>
      </c>
      <c r="IM31" s="88">
        <v>19.787936889866387</v>
      </c>
      <c r="IN31" s="88">
        <v>18.462850893795544</v>
      </c>
      <c r="IO31" s="89">
        <v>18.09186799386406</v>
      </c>
      <c r="IP31" s="88">
        <v>18.09186799386406</v>
      </c>
      <c r="IQ31" s="88">
        <v>18.191732276094207</v>
      </c>
      <c r="IR31" s="88">
        <v>17.576437663811657</v>
      </c>
      <c r="IS31" s="88">
        <v>18.564762943621272</v>
      </c>
      <c r="IT31" s="88">
        <v>20.377015373373901</v>
      </c>
      <c r="IU31" s="88">
        <v>20.377015373373901</v>
      </c>
      <c r="IV31" s="88">
        <v>20.624544284675007</v>
      </c>
      <c r="IW31" s="88">
        <v>20.624544284675007</v>
      </c>
      <c r="IX31" s="88">
        <v>20.624544284999999</v>
      </c>
      <c r="IY31" s="88">
        <v>20.624544284675007</v>
      </c>
      <c r="IZ31" s="88">
        <v>20.624544284675007</v>
      </c>
      <c r="JA31" s="88">
        <v>20.624544284675007</v>
      </c>
      <c r="JB31" s="90">
        <v>20.444658808387508</v>
      </c>
      <c r="JC31" s="91">
        <v>20.399999999999999</v>
      </c>
      <c r="JD31" s="91">
        <v>20.399999999999999</v>
      </c>
      <c r="JE31" s="91">
        <v>20.399999999999999</v>
      </c>
      <c r="JF31" s="91">
        <v>22.1</v>
      </c>
      <c r="JG31" s="91">
        <v>22.1</v>
      </c>
      <c r="JH31" s="91">
        <v>22.1</v>
      </c>
      <c r="JI31" s="90">
        <v>22.1</v>
      </c>
      <c r="JJ31" s="91">
        <v>22.1</v>
      </c>
      <c r="JK31" s="92">
        <v>22.4</v>
      </c>
      <c r="JM31" s="84">
        <f t="shared" si="39"/>
        <v>149.33333333333334</v>
      </c>
      <c r="JO31" s="31">
        <v>15</v>
      </c>
    </row>
    <row r="32" spans="1:275" s="31" customFormat="1" ht="15.6" x14ac:dyDescent="0.3">
      <c r="A32" s="83" t="s">
        <v>150</v>
      </c>
      <c r="B32" s="67"/>
      <c r="C32" s="67"/>
      <c r="D32" s="67"/>
      <c r="E32" s="67"/>
      <c r="F32" s="67"/>
      <c r="G32" s="68"/>
      <c r="H32" s="68"/>
      <c r="I32" s="68"/>
      <c r="J32" s="68"/>
      <c r="K32" s="68"/>
      <c r="L32" s="68"/>
      <c r="M32" s="69"/>
      <c r="N32" s="68"/>
      <c r="O32" s="68"/>
      <c r="P32" s="68"/>
      <c r="Q32" s="68"/>
      <c r="R32" s="68"/>
      <c r="S32" s="68"/>
      <c r="T32" s="68"/>
      <c r="U32" s="68"/>
      <c r="V32" s="68"/>
      <c r="W32" s="68"/>
      <c r="X32" s="68"/>
      <c r="Y32" s="69"/>
      <c r="Z32" s="68"/>
      <c r="AA32" s="68"/>
      <c r="AB32" s="68"/>
      <c r="AC32" s="68"/>
      <c r="AD32" s="68"/>
      <c r="AE32" s="68"/>
      <c r="AF32" s="68"/>
      <c r="AG32" s="68"/>
      <c r="AH32" s="68"/>
      <c r="AI32" s="68"/>
      <c r="AJ32" s="68"/>
      <c r="AK32" s="69"/>
      <c r="AL32" s="68"/>
      <c r="AM32" s="68"/>
      <c r="AN32" s="68"/>
      <c r="AO32" s="68"/>
      <c r="AP32" s="68"/>
      <c r="AQ32" s="68"/>
      <c r="AR32" s="68"/>
      <c r="AS32" s="68"/>
      <c r="AT32" s="68"/>
      <c r="AU32" s="68"/>
      <c r="AV32" s="68"/>
      <c r="AW32" s="69"/>
      <c r="AX32" s="68"/>
      <c r="AY32" s="68"/>
      <c r="AZ32" s="68"/>
      <c r="BA32" s="68"/>
      <c r="BB32" s="68"/>
      <c r="BC32" s="68"/>
      <c r="BD32" s="68"/>
      <c r="BE32" s="68"/>
      <c r="BF32" s="68"/>
      <c r="BG32" s="68"/>
      <c r="BH32" s="68"/>
      <c r="BI32" s="69"/>
      <c r="BJ32" s="68"/>
      <c r="BK32" s="68"/>
      <c r="BL32" s="68"/>
      <c r="BM32" s="68"/>
      <c r="BN32" s="68"/>
      <c r="BO32" s="68"/>
      <c r="BP32" s="68"/>
      <c r="BQ32" s="68"/>
      <c r="BR32" s="68"/>
      <c r="BS32" s="68"/>
      <c r="BT32" s="68"/>
      <c r="BU32" s="69"/>
      <c r="BV32" s="68"/>
      <c r="BW32" s="68"/>
      <c r="BX32" s="68"/>
      <c r="BY32" s="68"/>
      <c r="BZ32" s="68"/>
      <c r="CA32" s="68"/>
      <c r="CB32" s="68"/>
      <c r="CC32" s="68"/>
      <c r="CD32" s="68"/>
      <c r="CE32" s="68"/>
      <c r="CF32" s="68"/>
      <c r="CG32" s="69"/>
      <c r="CH32" s="68"/>
      <c r="CI32" s="68"/>
      <c r="CJ32" s="68"/>
      <c r="CK32" s="68"/>
      <c r="CL32" s="68"/>
      <c r="CM32" s="68"/>
      <c r="CN32" s="68"/>
      <c r="CO32" s="68"/>
      <c r="CP32" s="68"/>
      <c r="CQ32" s="68"/>
      <c r="CR32" s="68"/>
      <c r="CS32" s="69"/>
      <c r="CT32" s="68"/>
      <c r="CU32" s="70"/>
      <c r="CV32" s="70"/>
      <c r="CW32" s="70"/>
      <c r="CX32" s="70"/>
      <c r="CY32" s="70"/>
      <c r="CZ32" s="70"/>
      <c r="DA32" s="70"/>
      <c r="DB32" s="70"/>
      <c r="DC32" s="70"/>
      <c r="DD32" s="70"/>
      <c r="DE32" s="70"/>
      <c r="DF32" s="70"/>
      <c r="DG32" s="70"/>
      <c r="DH32" s="70"/>
      <c r="DI32" s="70"/>
      <c r="DJ32" s="70"/>
      <c r="DK32" s="70"/>
      <c r="DL32" s="70"/>
      <c r="DM32" s="70"/>
      <c r="DN32" s="70"/>
      <c r="DO32" s="70"/>
      <c r="DP32" s="70"/>
      <c r="DQ32" s="70"/>
      <c r="DR32" s="70"/>
      <c r="DS32" s="70"/>
      <c r="DT32" s="70"/>
      <c r="DU32" s="70"/>
      <c r="DV32" s="70"/>
      <c r="DW32" s="70"/>
      <c r="DX32" s="70"/>
      <c r="DY32" s="70"/>
      <c r="DZ32" s="70"/>
      <c r="EA32" s="70"/>
      <c r="EB32" s="70"/>
      <c r="EC32" s="70"/>
      <c r="ED32" s="70"/>
      <c r="EE32" s="70"/>
      <c r="EF32" s="70"/>
      <c r="EG32" s="70"/>
      <c r="EH32" s="70"/>
      <c r="EI32" s="70"/>
      <c r="EJ32" s="70"/>
      <c r="EK32" s="70"/>
      <c r="EL32" s="71"/>
      <c r="EM32" s="71"/>
      <c r="EN32" s="71"/>
      <c r="EO32" s="71"/>
      <c r="EP32" s="71"/>
      <c r="EQ32" s="71"/>
      <c r="ER32" s="71"/>
      <c r="ES32" s="71"/>
      <c r="ET32" s="71"/>
      <c r="EU32" s="71"/>
      <c r="EV32" s="71"/>
      <c r="EW32" s="71"/>
      <c r="EX32" s="71"/>
      <c r="EY32" s="71"/>
      <c r="EZ32" s="71"/>
      <c r="FA32" s="71"/>
      <c r="FB32" s="101"/>
      <c r="FC32" s="101"/>
      <c r="FD32" s="102"/>
      <c r="FE32" s="101"/>
      <c r="FF32" s="101"/>
      <c r="FG32" s="101"/>
      <c r="FH32" s="101"/>
      <c r="FI32" s="101"/>
      <c r="FJ32" s="87">
        <v>99.4</v>
      </c>
      <c r="FK32" s="87">
        <v>99.6</v>
      </c>
      <c r="FL32" s="87">
        <v>99.8</v>
      </c>
      <c r="FM32" s="87">
        <v>99.8</v>
      </c>
      <c r="FN32" s="87">
        <v>100</v>
      </c>
      <c r="FO32" s="87">
        <v>99.7</v>
      </c>
      <c r="FP32" s="87">
        <v>100.1</v>
      </c>
      <c r="FQ32" s="87">
        <v>100.1</v>
      </c>
      <c r="FR32" s="87">
        <v>99.5</v>
      </c>
      <c r="FS32" s="87">
        <v>100.3</v>
      </c>
      <c r="FT32" s="87">
        <v>99.8</v>
      </c>
      <c r="FU32" s="87">
        <v>99.6</v>
      </c>
      <c r="FV32" s="87">
        <v>100</v>
      </c>
      <c r="FW32" s="93">
        <v>99.7</v>
      </c>
      <c r="FX32" s="93">
        <v>99.7</v>
      </c>
      <c r="FY32" s="88">
        <v>101</v>
      </c>
      <c r="FZ32" s="88">
        <v>101</v>
      </c>
      <c r="GA32" s="88">
        <v>101</v>
      </c>
      <c r="GB32" s="88">
        <v>99.8</v>
      </c>
      <c r="GC32" s="88">
        <v>99.8</v>
      </c>
      <c r="GD32" s="88">
        <v>98.8</v>
      </c>
      <c r="GE32" s="88">
        <v>98.8</v>
      </c>
      <c r="GF32" s="88">
        <v>98.6</v>
      </c>
      <c r="GG32" s="88">
        <v>98.9</v>
      </c>
      <c r="GH32" s="88">
        <v>98.9</v>
      </c>
      <c r="GI32" s="88">
        <v>99.3</v>
      </c>
      <c r="GJ32" s="88">
        <v>99.7</v>
      </c>
      <c r="GK32" s="88">
        <v>99.8</v>
      </c>
      <c r="GL32" s="88">
        <v>99.9</v>
      </c>
      <c r="GM32" s="88">
        <v>100</v>
      </c>
      <c r="GN32" s="88">
        <v>100.8</v>
      </c>
      <c r="GO32" s="88">
        <v>99.7</v>
      </c>
      <c r="GP32" s="88">
        <v>100.2</v>
      </c>
      <c r="GQ32" s="88">
        <v>100.3</v>
      </c>
      <c r="GR32" s="88">
        <v>100.6</v>
      </c>
      <c r="GS32" s="88">
        <v>100.8</v>
      </c>
      <c r="GT32" s="88">
        <v>100.8</v>
      </c>
      <c r="GU32" s="88">
        <v>100.8</v>
      </c>
      <c r="GV32" s="88">
        <v>100.9</v>
      </c>
      <c r="GW32" s="88">
        <v>101.4</v>
      </c>
      <c r="GX32" s="88">
        <v>5.2306569212420584</v>
      </c>
      <c r="GY32" s="88">
        <v>5.265880876632048</v>
      </c>
      <c r="GZ32" s="88">
        <v>5.2693845302981046</v>
      </c>
      <c r="HA32" s="88">
        <v>5.3422889995003979</v>
      </c>
      <c r="HB32" s="88">
        <v>5.3422889995003979</v>
      </c>
      <c r="HC32" s="88">
        <v>5.3482851017412907</v>
      </c>
      <c r="HD32" s="88">
        <v>5.350112717354528</v>
      </c>
      <c r="HE32" s="88">
        <v>5.350112717354528</v>
      </c>
      <c r="HF32" s="109">
        <v>5.350112717354528</v>
      </c>
      <c r="HG32" s="88">
        <v>5.4498708548614374</v>
      </c>
      <c r="HH32" s="88">
        <v>5.4498708548614374</v>
      </c>
      <c r="HI32" s="88">
        <v>5.5195909749676559</v>
      </c>
      <c r="HJ32" s="88">
        <v>5.5360064712864023</v>
      </c>
      <c r="HK32" s="88">
        <v>5.5990547745133696</v>
      </c>
      <c r="HL32" s="88">
        <v>5.5990547745133696</v>
      </c>
      <c r="HM32" s="88">
        <v>5.6657258401822848</v>
      </c>
      <c r="HN32" s="88">
        <v>5.7279095960920676</v>
      </c>
      <c r="HO32" s="88">
        <v>5.7318602266601619</v>
      </c>
      <c r="HP32" s="88">
        <v>5.7509071357261794</v>
      </c>
      <c r="HQ32" s="88">
        <v>5.8127044424392835</v>
      </c>
      <c r="HR32" s="88">
        <v>5.860035251392155</v>
      </c>
      <c r="HS32" s="88">
        <v>5.8635860201812759</v>
      </c>
      <c r="HT32" s="88">
        <v>5.8801091797073353</v>
      </c>
      <c r="HU32" s="88">
        <v>5.9104801860265317</v>
      </c>
      <c r="HV32" s="88">
        <v>5.8970325995294299</v>
      </c>
      <c r="HW32" s="88">
        <v>5.9817812401574884</v>
      </c>
      <c r="HX32" s="88">
        <v>6.0011220001742407</v>
      </c>
      <c r="HY32" s="88">
        <v>5.9882590540299665</v>
      </c>
      <c r="HZ32" s="88">
        <v>5.9846432634192137</v>
      </c>
      <c r="IA32" s="88">
        <v>5.9811477816663841</v>
      </c>
      <c r="IB32" s="88">
        <v>5.9991718614129734</v>
      </c>
      <c r="IC32" s="88">
        <v>6.013238821238919</v>
      </c>
      <c r="ID32" s="88">
        <v>6.0839138291200063</v>
      </c>
      <c r="IE32" s="88">
        <v>6.0841325980542083</v>
      </c>
      <c r="IF32" s="88">
        <v>6.0841325980542083</v>
      </c>
      <c r="IG32" s="88">
        <v>6.0841325980542083</v>
      </c>
      <c r="IH32" s="89">
        <v>6.1687794118492372</v>
      </c>
      <c r="II32" s="88">
        <v>6.1890047093114999</v>
      </c>
      <c r="IJ32" s="88">
        <v>6.191967255320983</v>
      </c>
      <c r="IK32" s="88">
        <v>6.1899854942259251</v>
      </c>
      <c r="IL32" s="88">
        <v>6.2650271092416379</v>
      </c>
      <c r="IM32" s="88">
        <v>6.3465153228933566</v>
      </c>
      <c r="IN32" s="88">
        <v>6.3007812390970619</v>
      </c>
      <c r="IO32" s="89">
        <v>6.3823242212361384</v>
      </c>
      <c r="IP32" s="88">
        <v>6.5428205367667012</v>
      </c>
      <c r="IQ32" s="88">
        <v>6.519015113347165</v>
      </c>
      <c r="IR32" s="88">
        <v>6.7749413743837819</v>
      </c>
      <c r="IS32" s="88">
        <v>6.8290688389014331</v>
      </c>
      <c r="IT32" s="88">
        <v>6.8393620212066848</v>
      </c>
      <c r="IU32" s="88">
        <v>6.8548137686894508</v>
      </c>
      <c r="IV32" s="88">
        <v>6.8368987782731399</v>
      </c>
      <c r="IW32" s="88">
        <v>6.8571841270117924</v>
      </c>
      <c r="IX32" s="88">
        <v>6.9383913259999996</v>
      </c>
      <c r="IY32" s="88">
        <v>6.9713015805792518</v>
      </c>
      <c r="IZ32" s="88">
        <v>7.1123510614701519</v>
      </c>
      <c r="JA32" s="88">
        <v>7.1369539902556856</v>
      </c>
      <c r="JB32" s="90">
        <v>7.0996541057085558</v>
      </c>
      <c r="JC32" s="91">
        <v>7.1</v>
      </c>
      <c r="JD32" s="91">
        <v>7.5</v>
      </c>
      <c r="JE32" s="91">
        <v>7.4</v>
      </c>
      <c r="JF32" s="91">
        <v>7.3</v>
      </c>
      <c r="JG32" s="91">
        <v>7.1</v>
      </c>
      <c r="JH32" s="91">
        <v>7.1</v>
      </c>
      <c r="JI32" s="90">
        <v>7.2</v>
      </c>
      <c r="JJ32" s="91">
        <v>7.2</v>
      </c>
      <c r="JK32" s="92">
        <v>7.2</v>
      </c>
      <c r="JM32" s="84">
        <f t="shared" si="39"/>
        <v>133.33333333333331</v>
      </c>
      <c r="JO32" s="31">
        <v>5.4</v>
      </c>
    </row>
    <row r="33" spans="1:271" s="31" customFormat="1" ht="15.6" x14ac:dyDescent="0.3">
      <c r="A33" s="64"/>
      <c r="B33" s="67"/>
      <c r="C33" s="67"/>
      <c r="D33" s="67"/>
      <c r="E33" s="67"/>
      <c r="F33" s="67"/>
      <c r="G33" s="68"/>
      <c r="H33" s="68"/>
      <c r="I33" s="68"/>
      <c r="J33" s="68"/>
      <c r="K33" s="68"/>
      <c r="L33" s="68"/>
      <c r="M33" s="69"/>
      <c r="N33" s="68"/>
      <c r="O33" s="68"/>
      <c r="P33" s="68"/>
      <c r="Q33" s="68"/>
      <c r="R33" s="68"/>
      <c r="S33" s="68"/>
      <c r="T33" s="68"/>
      <c r="U33" s="68"/>
      <c r="V33" s="68"/>
      <c r="W33" s="68"/>
      <c r="X33" s="68"/>
      <c r="Y33" s="69"/>
      <c r="Z33" s="68"/>
      <c r="AA33" s="68"/>
      <c r="AB33" s="68"/>
      <c r="AC33" s="68"/>
      <c r="AD33" s="68"/>
      <c r="AE33" s="68"/>
      <c r="AF33" s="68"/>
      <c r="AG33" s="68"/>
      <c r="AH33" s="68"/>
      <c r="AI33" s="68"/>
      <c r="AJ33" s="68"/>
      <c r="AK33" s="69"/>
      <c r="AL33" s="68"/>
      <c r="AM33" s="68"/>
      <c r="AN33" s="68"/>
      <c r="AO33" s="68"/>
      <c r="AP33" s="68"/>
      <c r="AQ33" s="68"/>
      <c r="AR33" s="68"/>
      <c r="AS33" s="68"/>
      <c r="AT33" s="68"/>
      <c r="AU33" s="68"/>
      <c r="AV33" s="68"/>
      <c r="AW33" s="69"/>
      <c r="AX33" s="68"/>
      <c r="AY33" s="68"/>
      <c r="AZ33" s="68"/>
      <c r="BA33" s="68"/>
      <c r="BB33" s="68"/>
      <c r="BC33" s="68"/>
      <c r="BD33" s="68"/>
      <c r="BE33" s="68"/>
      <c r="BF33" s="68"/>
      <c r="BG33" s="68"/>
      <c r="BH33" s="68"/>
      <c r="BI33" s="69"/>
      <c r="BJ33" s="68"/>
      <c r="BK33" s="68"/>
      <c r="BL33" s="68"/>
      <c r="BM33" s="68"/>
      <c r="BN33" s="68"/>
      <c r="BO33" s="68"/>
      <c r="BP33" s="68"/>
      <c r="BQ33" s="68"/>
      <c r="BR33" s="68"/>
      <c r="BS33" s="68"/>
      <c r="BT33" s="68"/>
      <c r="BU33" s="69"/>
      <c r="BV33" s="68"/>
      <c r="BW33" s="68"/>
      <c r="BX33" s="68"/>
      <c r="BY33" s="68"/>
      <c r="BZ33" s="68"/>
      <c r="CA33" s="68"/>
      <c r="CB33" s="68"/>
      <c r="CC33" s="68"/>
      <c r="CD33" s="68"/>
      <c r="CE33" s="68"/>
      <c r="CF33" s="68"/>
      <c r="CG33" s="69"/>
      <c r="CH33" s="68"/>
      <c r="CI33" s="68"/>
      <c r="CJ33" s="68"/>
      <c r="CK33" s="68"/>
      <c r="CL33" s="68"/>
      <c r="CM33" s="68"/>
      <c r="CN33" s="68"/>
      <c r="CO33" s="68"/>
      <c r="CP33" s="68"/>
      <c r="CQ33" s="68"/>
      <c r="CR33" s="68"/>
      <c r="CS33" s="69"/>
      <c r="CT33" s="68"/>
      <c r="CU33" s="70"/>
      <c r="CV33" s="70"/>
      <c r="CW33" s="70"/>
      <c r="CX33" s="70"/>
      <c r="CY33" s="70"/>
      <c r="CZ33" s="70"/>
      <c r="DA33" s="70"/>
      <c r="DB33" s="70"/>
      <c r="DC33" s="70"/>
      <c r="DD33" s="70"/>
      <c r="DE33" s="70"/>
      <c r="DF33" s="70"/>
      <c r="DG33" s="70"/>
      <c r="DH33" s="70"/>
      <c r="DI33" s="70"/>
      <c r="DJ33" s="70"/>
      <c r="DK33" s="70"/>
      <c r="DL33" s="70"/>
      <c r="DM33" s="70"/>
      <c r="DN33" s="70"/>
      <c r="DO33" s="70"/>
      <c r="DP33" s="70"/>
      <c r="DQ33" s="70"/>
      <c r="DR33" s="70"/>
      <c r="DS33" s="70"/>
      <c r="DT33" s="70"/>
      <c r="DU33" s="70"/>
      <c r="DV33" s="70"/>
      <c r="DW33" s="70"/>
      <c r="DX33" s="70"/>
      <c r="DY33" s="70"/>
      <c r="DZ33" s="70"/>
      <c r="EA33" s="70"/>
      <c r="EB33" s="70"/>
      <c r="EC33" s="70"/>
      <c r="ED33" s="70"/>
      <c r="EE33" s="70"/>
      <c r="EF33" s="70"/>
      <c r="EG33" s="70"/>
      <c r="EH33" s="70"/>
      <c r="EI33" s="70"/>
      <c r="EJ33" s="70"/>
      <c r="EK33" s="70"/>
      <c r="EL33" s="71"/>
      <c r="EM33" s="71"/>
      <c r="EN33" s="71"/>
      <c r="EO33" s="71"/>
      <c r="EP33" s="71"/>
      <c r="EQ33" s="71"/>
      <c r="ER33" s="71"/>
      <c r="ES33" s="71"/>
      <c r="ET33" s="71"/>
      <c r="EU33" s="71"/>
      <c r="EV33" s="71"/>
      <c r="EW33" s="71"/>
      <c r="EX33" s="71"/>
      <c r="EY33" s="71"/>
      <c r="EZ33" s="71"/>
      <c r="FA33" s="71"/>
      <c r="FB33" s="101"/>
      <c r="FC33" s="101"/>
      <c r="FD33" s="102"/>
      <c r="FE33" s="101"/>
      <c r="FF33" s="101"/>
      <c r="FG33" s="101"/>
      <c r="FH33" s="101"/>
      <c r="FI33" s="101"/>
      <c r="FJ33" s="102"/>
      <c r="FK33" s="101"/>
      <c r="FL33" s="101"/>
      <c r="FM33" s="101"/>
      <c r="FN33" s="101"/>
      <c r="FO33" s="101"/>
      <c r="FP33" s="101"/>
      <c r="FQ33" s="102"/>
      <c r="FR33" s="102"/>
      <c r="FS33" s="102"/>
      <c r="FT33" s="103"/>
      <c r="FU33" s="104"/>
      <c r="FV33" s="104"/>
      <c r="FW33" s="59"/>
      <c r="FX33" s="59"/>
      <c r="FY33" s="103"/>
      <c r="FZ33" s="103"/>
      <c r="GA33" s="104"/>
      <c r="GB33" s="104"/>
      <c r="GC33" s="104"/>
      <c r="GD33" s="105"/>
      <c r="GE33" s="105"/>
      <c r="GF33" s="105"/>
      <c r="GG33"/>
      <c r="GH33" s="12"/>
      <c r="GI33" s="12"/>
      <c r="GJ33"/>
      <c r="GK33"/>
      <c r="GL33" s="61"/>
      <c r="GM33"/>
      <c r="GN33"/>
      <c r="GO33"/>
      <c r="GP33"/>
      <c r="GQ33"/>
      <c r="GR33"/>
      <c r="GS33" s="61"/>
      <c r="GT33" s="12"/>
      <c r="GU33"/>
      <c r="GV33" s="62"/>
      <c r="GW33" s="61"/>
      <c r="GX33"/>
      <c r="GY33"/>
      <c r="GZ33"/>
      <c r="HA33"/>
      <c r="HB33"/>
      <c r="HC33"/>
      <c r="HD33"/>
      <c r="HE33"/>
      <c r="HF33"/>
      <c r="HG33"/>
      <c r="HH33"/>
      <c r="HI33"/>
      <c r="HJ33"/>
      <c r="HK33"/>
      <c r="HL33"/>
      <c r="HM33"/>
      <c r="HN33"/>
      <c r="HO33" s="12"/>
      <c r="HP33"/>
      <c r="HQ33"/>
      <c r="HR33"/>
      <c r="HS33"/>
      <c r="HT33"/>
      <c r="HU33"/>
      <c r="HV33"/>
      <c r="HW33"/>
      <c r="HX33"/>
      <c r="HY33"/>
      <c r="HZ33"/>
      <c r="IA33" s="12"/>
      <c r="IB33"/>
      <c r="IC33"/>
      <c r="ID33"/>
      <c r="IE33"/>
      <c r="IF33"/>
      <c r="IG33"/>
      <c r="IH33"/>
      <c r="II33"/>
      <c r="IJ33"/>
      <c r="IK33"/>
      <c r="IL33"/>
      <c r="IM33"/>
      <c r="IN33"/>
      <c r="IO33"/>
      <c r="IP33"/>
      <c r="IQ33"/>
      <c r="IR33"/>
      <c r="IS33"/>
      <c r="IT33"/>
      <c r="IU33"/>
      <c r="IV33"/>
      <c r="IW33"/>
      <c r="IX33" s="12"/>
      <c r="IY33"/>
      <c r="IZ33"/>
      <c r="JA33"/>
      <c r="JB33"/>
      <c r="JC33"/>
      <c r="JD33"/>
      <c r="JE33"/>
      <c r="JF33"/>
      <c r="JG33"/>
      <c r="JH33"/>
      <c r="JI33"/>
      <c r="JJ33"/>
      <c r="JK33"/>
    </row>
    <row r="34" spans="1:271" s="31" customFormat="1" ht="15.6" x14ac:dyDescent="0.3">
      <c r="A34" s="64"/>
      <c r="B34" s="67"/>
      <c r="C34" s="67"/>
      <c r="D34" s="67"/>
      <c r="E34" s="67"/>
      <c r="F34" s="67"/>
      <c r="G34" s="68"/>
      <c r="H34" s="68"/>
      <c r="I34" s="68"/>
      <c r="J34" s="68"/>
      <c r="K34" s="68"/>
      <c r="L34" s="68"/>
      <c r="M34" s="69"/>
      <c r="N34" s="68"/>
      <c r="O34" s="68"/>
      <c r="P34" s="68"/>
      <c r="Q34" s="68"/>
      <c r="R34" s="68"/>
      <c r="S34" s="68"/>
      <c r="T34" s="68"/>
      <c r="U34" s="68"/>
      <c r="V34" s="68"/>
      <c r="W34" s="68"/>
      <c r="X34" s="68"/>
      <c r="Y34" s="69"/>
      <c r="Z34" s="68"/>
      <c r="AA34" s="68"/>
      <c r="AB34" s="68"/>
      <c r="AC34" s="68"/>
      <c r="AD34" s="68"/>
      <c r="AE34" s="68"/>
      <c r="AF34" s="68"/>
      <c r="AG34" s="68"/>
      <c r="AH34" s="68"/>
      <c r="AI34" s="68"/>
      <c r="AJ34" s="68"/>
      <c r="AK34" s="69"/>
      <c r="AL34" s="68"/>
      <c r="AM34" s="68"/>
      <c r="AN34" s="68"/>
      <c r="AO34" s="68"/>
      <c r="AP34" s="68"/>
      <c r="AQ34" s="68"/>
      <c r="AR34" s="68"/>
      <c r="AS34" s="68"/>
      <c r="AT34" s="68"/>
      <c r="AU34" s="68"/>
      <c r="AV34" s="68"/>
      <c r="AW34" s="69"/>
      <c r="AX34" s="68"/>
      <c r="AY34" s="68"/>
      <c r="AZ34" s="68"/>
      <c r="BA34" s="68"/>
      <c r="BB34" s="68"/>
      <c r="BC34" s="68"/>
      <c r="BD34" s="68"/>
      <c r="BE34" s="68"/>
      <c r="BF34" s="68"/>
      <c r="BG34" s="68"/>
      <c r="BH34" s="68"/>
      <c r="BI34" s="69"/>
      <c r="BJ34" s="68"/>
      <c r="BK34" s="68"/>
      <c r="BL34" s="68"/>
      <c r="BM34" s="68"/>
      <c r="BN34" s="68"/>
      <c r="BO34" s="68"/>
      <c r="BP34" s="68"/>
      <c r="BQ34" s="68"/>
      <c r="BR34" s="68"/>
      <c r="BS34" s="68"/>
      <c r="BT34" s="68"/>
      <c r="BU34" s="69"/>
      <c r="BV34" s="68"/>
      <c r="BW34" s="68"/>
      <c r="BX34" s="68"/>
      <c r="BY34" s="68"/>
      <c r="BZ34" s="68"/>
      <c r="CA34" s="68"/>
      <c r="CB34" s="68"/>
      <c r="CC34" s="68"/>
      <c r="CD34" s="68"/>
      <c r="CE34" s="68"/>
      <c r="CF34" s="68"/>
      <c r="CG34" s="69"/>
      <c r="CH34" s="68"/>
      <c r="CI34" s="68"/>
      <c r="CJ34" s="68"/>
      <c r="CK34" s="68"/>
      <c r="CL34" s="68"/>
      <c r="CM34" s="68"/>
      <c r="CN34" s="68"/>
      <c r="CO34" s="68"/>
      <c r="CP34" s="68"/>
      <c r="CQ34" s="68"/>
      <c r="CR34" s="68"/>
      <c r="CS34" s="69"/>
      <c r="CT34" s="68"/>
      <c r="CU34" s="70"/>
      <c r="CV34" s="70"/>
      <c r="CW34" s="70"/>
      <c r="CX34" s="70"/>
      <c r="CY34" s="70"/>
      <c r="CZ34" s="70"/>
      <c r="DA34" s="70"/>
      <c r="DB34" s="70"/>
      <c r="DC34" s="70"/>
      <c r="DD34" s="70"/>
      <c r="DE34" s="70"/>
      <c r="DF34" s="70"/>
      <c r="DG34" s="70"/>
      <c r="DH34" s="70"/>
      <c r="DI34" s="70"/>
      <c r="DJ34" s="70"/>
      <c r="DK34" s="70"/>
      <c r="DL34" s="70"/>
      <c r="DM34" s="70"/>
      <c r="DN34" s="70"/>
      <c r="DO34" s="70"/>
      <c r="DP34" s="70"/>
      <c r="DQ34" s="70"/>
      <c r="DR34" s="70"/>
      <c r="DS34" s="70"/>
      <c r="DT34" s="70"/>
      <c r="DU34" s="70"/>
      <c r="DV34" s="70"/>
      <c r="DW34" s="70"/>
      <c r="DX34" s="70"/>
      <c r="DY34" s="70"/>
      <c r="DZ34" s="70"/>
      <c r="EA34" s="70"/>
      <c r="EB34" s="70"/>
      <c r="EC34" s="70"/>
      <c r="ED34" s="70"/>
      <c r="EE34" s="70"/>
      <c r="EF34" s="70"/>
      <c r="EG34" s="70"/>
      <c r="EH34" s="70"/>
      <c r="EI34" s="70"/>
      <c r="EJ34" s="70"/>
      <c r="EK34" s="70"/>
      <c r="EL34" s="71"/>
      <c r="EM34" s="71"/>
      <c r="EN34" s="71"/>
      <c r="EO34" s="71"/>
      <c r="EP34" s="71"/>
      <c r="EQ34" s="71"/>
      <c r="ER34" s="71"/>
      <c r="ES34" s="71"/>
      <c r="ET34" s="71"/>
      <c r="EU34" s="71"/>
      <c r="EV34" s="71"/>
      <c r="EW34" s="71"/>
      <c r="EX34" s="71"/>
      <c r="EY34" s="71"/>
      <c r="EZ34" s="71"/>
      <c r="FA34" s="71"/>
      <c r="FB34" s="101"/>
      <c r="FC34" s="101"/>
      <c r="FD34" s="102"/>
      <c r="FE34" s="101"/>
      <c r="FF34" s="101"/>
      <c r="FG34" s="101"/>
      <c r="FH34" s="101"/>
      <c r="FI34" s="101"/>
      <c r="FJ34" s="102"/>
      <c r="FK34" s="101"/>
      <c r="FL34" s="101"/>
      <c r="FM34" s="101"/>
      <c r="FN34" s="101"/>
      <c r="FO34" s="101"/>
      <c r="FP34" s="101"/>
      <c r="FQ34" s="102"/>
      <c r="FR34" s="102"/>
      <c r="FS34" s="102"/>
      <c r="FT34" s="103"/>
      <c r="FU34" s="104"/>
      <c r="FV34" s="104"/>
      <c r="FW34" s="59"/>
      <c r="FX34" s="59"/>
      <c r="FY34" s="103"/>
      <c r="FZ34" s="103"/>
      <c r="GA34" s="104"/>
      <c r="GB34" s="104"/>
      <c r="GC34" s="104"/>
      <c r="GD34" s="105"/>
      <c r="GE34" s="105"/>
      <c r="GF34" s="105"/>
      <c r="GG34"/>
      <c r="GH34" s="12"/>
      <c r="GI34" s="12"/>
      <c r="GJ34"/>
      <c r="GK34"/>
      <c r="GL34" s="61"/>
      <c r="GM34"/>
      <c r="GN34"/>
      <c r="GO34"/>
      <c r="GP34"/>
      <c r="GQ34"/>
      <c r="GR34"/>
      <c r="GS34" s="61"/>
      <c r="GT34" s="12"/>
      <c r="GU34"/>
      <c r="GV34" s="62"/>
      <c r="GW34" s="61"/>
      <c r="GX34"/>
      <c r="GY34"/>
      <c r="GZ34"/>
      <c r="HA34"/>
      <c r="HB34"/>
      <c r="HC34"/>
      <c r="HD34"/>
      <c r="HE34"/>
      <c r="HF34"/>
      <c r="HG34"/>
      <c r="HH34"/>
      <c r="HI34"/>
      <c r="HJ34"/>
      <c r="HK34"/>
      <c r="HL34"/>
      <c r="HM34"/>
      <c r="HN34"/>
      <c r="HO34" s="12"/>
      <c r="HP34"/>
      <c r="HQ34"/>
      <c r="HR34"/>
      <c r="HS34"/>
      <c r="HT34"/>
      <c r="HU34"/>
      <c r="HV34"/>
      <c r="HW34"/>
      <c r="HX34"/>
      <c r="HY34"/>
      <c r="HZ34"/>
      <c r="IA34" s="12"/>
      <c r="IB34"/>
      <c r="IC34"/>
      <c r="ID34"/>
      <c r="IE34"/>
      <c r="IF34"/>
      <c r="IG34"/>
      <c r="IH34"/>
      <c r="II34"/>
      <c r="IJ34"/>
      <c r="IK34"/>
      <c r="IL34"/>
      <c r="IM34"/>
      <c r="IN34"/>
      <c r="IO34"/>
      <c r="IP34"/>
      <c r="IQ34"/>
      <c r="IR34"/>
      <c r="IS34"/>
      <c r="IT34"/>
      <c r="IU34"/>
      <c r="IV34"/>
      <c r="IW34"/>
      <c r="IX34" s="12"/>
      <c r="IY34"/>
      <c r="IZ34"/>
      <c r="JA34"/>
      <c r="JB34"/>
      <c r="JC34"/>
      <c r="JD34"/>
      <c r="JE34"/>
      <c r="JF34"/>
      <c r="JG34"/>
      <c r="JH34"/>
      <c r="JI34"/>
      <c r="JJ34"/>
      <c r="JK34"/>
    </row>
    <row r="35" spans="1:271" s="31" customFormat="1" ht="15.6" x14ac:dyDescent="0.3">
      <c r="A35" s="64" t="s">
        <v>172</v>
      </c>
      <c r="B35" s="67"/>
      <c r="C35" s="67"/>
      <c r="D35" s="67"/>
      <c r="E35" s="67"/>
      <c r="F35" s="67"/>
      <c r="G35" s="68"/>
      <c r="H35" s="68"/>
      <c r="I35" s="68"/>
      <c r="J35" s="68"/>
      <c r="K35" s="68"/>
      <c r="L35" s="68"/>
      <c r="M35" s="69"/>
      <c r="N35" s="68"/>
      <c r="O35" s="68"/>
      <c r="P35" s="68"/>
      <c r="Q35" s="68"/>
      <c r="R35" s="68"/>
      <c r="S35" s="68"/>
      <c r="T35" s="68"/>
      <c r="U35" s="68"/>
      <c r="V35" s="68"/>
      <c r="W35" s="68"/>
      <c r="X35" s="68"/>
      <c r="Y35" s="69"/>
      <c r="Z35" s="68"/>
      <c r="AA35" s="68"/>
      <c r="AB35" s="68"/>
      <c r="AC35" s="68"/>
      <c r="AD35" s="68"/>
      <c r="AE35" s="68"/>
      <c r="AF35" s="68"/>
      <c r="AG35" s="68"/>
      <c r="AH35" s="68"/>
      <c r="AI35" s="68"/>
      <c r="AJ35" s="68"/>
      <c r="AK35" s="69"/>
      <c r="AL35" s="68"/>
      <c r="AM35" s="68"/>
      <c r="AN35" s="68"/>
      <c r="AO35" s="68"/>
      <c r="AP35" s="68"/>
      <c r="AQ35" s="68"/>
      <c r="AR35" s="68"/>
      <c r="AS35" s="68"/>
      <c r="AT35" s="68"/>
      <c r="AU35" s="68"/>
      <c r="AV35" s="68"/>
      <c r="AW35" s="69"/>
      <c r="AX35" s="68"/>
      <c r="AY35" s="68"/>
      <c r="AZ35" s="68"/>
      <c r="BA35" s="68"/>
      <c r="BB35" s="68"/>
      <c r="BC35" s="68"/>
      <c r="BD35" s="68"/>
      <c r="BE35" s="68"/>
      <c r="BF35" s="68"/>
      <c r="BG35" s="68"/>
      <c r="BH35" s="68"/>
      <c r="BI35" s="69"/>
      <c r="BJ35" s="68"/>
      <c r="BK35" s="68"/>
      <c r="BL35" s="68"/>
      <c r="BM35" s="68"/>
      <c r="BN35" s="68"/>
      <c r="BO35" s="68"/>
      <c r="BP35" s="68"/>
      <c r="BQ35" s="68"/>
      <c r="BR35" s="68"/>
      <c r="BS35" s="68"/>
      <c r="BT35" s="68"/>
      <c r="BU35" s="69"/>
      <c r="BV35" s="68"/>
      <c r="BW35" s="68"/>
      <c r="BX35" s="149">
        <v>284.7</v>
      </c>
      <c r="BY35" s="149">
        <v>285.10000000000002</v>
      </c>
      <c r="BZ35" s="149">
        <v>289.10000000000002</v>
      </c>
      <c r="CA35" s="149">
        <v>291.5</v>
      </c>
      <c r="CB35" s="149">
        <v>291.2</v>
      </c>
      <c r="CC35" s="149">
        <v>288.89999999999998</v>
      </c>
      <c r="CD35" s="149">
        <v>286.8</v>
      </c>
      <c r="CE35" s="149">
        <v>302.5</v>
      </c>
      <c r="CF35" s="149">
        <v>297.3</v>
      </c>
      <c r="CG35" s="149">
        <v>305.5</v>
      </c>
      <c r="CH35" s="149">
        <v>297.5</v>
      </c>
      <c r="CI35" s="149">
        <v>287.89999999999998</v>
      </c>
      <c r="CJ35" s="149">
        <v>285.10000000000002</v>
      </c>
      <c r="CK35" s="149">
        <v>296</v>
      </c>
      <c r="CL35" s="149">
        <v>291.60000000000002</v>
      </c>
      <c r="CM35" s="149">
        <v>299.2</v>
      </c>
      <c r="CN35" s="149">
        <v>306.39999999999998</v>
      </c>
      <c r="CO35" s="149">
        <v>294.2</v>
      </c>
      <c r="CP35" s="149">
        <v>289.60000000000002</v>
      </c>
      <c r="CQ35" s="149">
        <v>296.2</v>
      </c>
      <c r="CR35" s="149">
        <v>295.15042199999999</v>
      </c>
      <c r="CS35" s="149">
        <v>299.88445100000001</v>
      </c>
      <c r="CT35" s="149">
        <v>289.85320300000001</v>
      </c>
      <c r="CU35" s="149">
        <v>277.76306099999999</v>
      </c>
      <c r="CV35" s="149">
        <v>283.54710499999999</v>
      </c>
      <c r="CW35" s="149">
        <v>288.69166100000001</v>
      </c>
      <c r="CX35" s="149">
        <v>294.25329099999999</v>
      </c>
      <c r="CY35" s="149">
        <v>293.22898399999997</v>
      </c>
      <c r="CZ35" s="149">
        <v>304.73566800000003</v>
      </c>
      <c r="DA35" s="149">
        <v>308.23200500000002</v>
      </c>
      <c r="DB35" s="149">
        <v>306.76097000000004</v>
      </c>
      <c r="DC35" s="149">
        <v>302.26362699999999</v>
      </c>
      <c r="DD35" s="149">
        <v>307.37866400000001</v>
      </c>
      <c r="DE35" s="149">
        <v>317.12564199999997</v>
      </c>
      <c r="DF35" s="149">
        <v>309.20875599999999</v>
      </c>
      <c r="DG35" s="149">
        <v>306.88430299999999</v>
      </c>
      <c r="DH35" s="149">
        <v>307.30253200000004</v>
      </c>
      <c r="DI35" s="149">
        <v>309.29314599999998</v>
      </c>
      <c r="DJ35" s="149">
        <v>310.87032799999997</v>
      </c>
      <c r="DK35" s="149">
        <v>314.52341799999999</v>
      </c>
      <c r="DL35" s="149">
        <v>315.414129</v>
      </c>
      <c r="DM35" s="149">
        <v>318.69257600000003</v>
      </c>
      <c r="DN35" s="149">
        <v>315.60000000000002</v>
      </c>
      <c r="DO35" s="149">
        <v>319.3</v>
      </c>
      <c r="DP35" s="149">
        <v>323.2</v>
      </c>
      <c r="DQ35" s="149">
        <v>329.7</v>
      </c>
      <c r="DR35" s="149">
        <v>325.7</v>
      </c>
      <c r="DS35" s="149">
        <v>327.8</v>
      </c>
      <c r="DT35" s="149">
        <v>328.6</v>
      </c>
      <c r="DU35" s="149">
        <v>330.6</v>
      </c>
      <c r="DV35" s="149">
        <v>329.5</v>
      </c>
      <c r="DW35" s="149">
        <v>340</v>
      </c>
      <c r="DX35" s="149">
        <v>333.5</v>
      </c>
      <c r="DY35" s="149">
        <v>334.6</v>
      </c>
      <c r="DZ35" s="149">
        <v>341.4</v>
      </c>
      <c r="EA35" s="149">
        <v>339.3</v>
      </c>
      <c r="EB35" s="149">
        <v>342</v>
      </c>
      <c r="EC35" s="149">
        <v>351.9</v>
      </c>
      <c r="ED35" s="149">
        <v>348.5</v>
      </c>
      <c r="EE35" s="149">
        <v>349.3</v>
      </c>
      <c r="EF35" s="149">
        <v>342.9</v>
      </c>
      <c r="EG35" s="149">
        <v>351.2</v>
      </c>
      <c r="EH35" s="149">
        <v>355.5</v>
      </c>
      <c r="EI35" s="149">
        <v>348</v>
      </c>
      <c r="EJ35" s="149">
        <v>357.2</v>
      </c>
      <c r="EK35" s="149">
        <v>366.3</v>
      </c>
      <c r="EL35" s="149">
        <v>363.6</v>
      </c>
      <c r="EM35" s="149">
        <v>369.2</v>
      </c>
      <c r="EN35" s="149">
        <v>371.5</v>
      </c>
      <c r="EO35" s="149">
        <v>450.2</v>
      </c>
      <c r="EP35" s="149">
        <v>447.5</v>
      </c>
      <c r="EQ35" s="149">
        <v>456.5</v>
      </c>
      <c r="ER35" s="149">
        <v>451.6</v>
      </c>
      <c r="ES35" s="149">
        <v>453.7</v>
      </c>
      <c r="ET35" s="149">
        <v>460.5</v>
      </c>
      <c r="EU35" s="149">
        <v>470.5</v>
      </c>
      <c r="EV35" s="149">
        <v>478</v>
      </c>
      <c r="EW35" s="149">
        <v>491</v>
      </c>
      <c r="EX35" s="149">
        <v>496.2</v>
      </c>
      <c r="EY35" s="149">
        <v>501.2</v>
      </c>
      <c r="EZ35" s="149">
        <v>493.6</v>
      </c>
      <c r="FA35" s="149">
        <v>512.20000000000005</v>
      </c>
      <c r="FB35" s="149">
        <v>512</v>
      </c>
      <c r="FC35" s="149">
        <v>510.2</v>
      </c>
      <c r="FD35" s="149">
        <v>503.6</v>
      </c>
      <c r="FE35" s="149">
        <v>509.9</v>
      </c>
      <c r="FF35" s="149">
        <v>517.6</v>
      </c>
      <c r="FG35" s="149">
        <v>534.9</v>
      </c>
      <c r="FH35" s="149">
        <v>533.20000000000005</v>
      </c>
      <c r="FI35" s="149">
        <v>552.29999999999995</v>
      </c>
      <c r="FJ35" s="149">
        <v>549.70000000000005</v>
      </c>
      <c r="FK35" s="149">
        <v>553.6</v>
      </c>
      <c r="FL35" s="149">
        <v>553.29999999999995</v>
      </c>
      <c r="FM35" s="149">
        <v>560.6</v>
      </c>
      <c r="FN35" s="149">
        <v>552.5</v>
      </c>
      <c r="FO35" s="149">
        <v>558.20000000000005</v>
      </c>
      <c r="FP35" s="149">
        <v>558.70000000000005</v>
      </c>
      <c r="FQ35" s="149">
        <v>547.1</v>
      </c>
      <c r="FR35" s="149">
        <v>561.5</v>
      </c>
      <c r="FS35" s="149">
        <v>575.4</v>
      </c>
      <c r="FT35" s="149">
        <v>506.5</v>
      </c>
      <c r="FU35" s="149">
        <v>606</v>
      </c>
      <c r="FV35" s="149">
        <v>592.5</v>
      </c>
      <c r="FW35" s="149">
        <v>595.79999999999995</v>
      </c>
      <c r="FX35" s="149">
        <v>593.20000000000005</v>
      </c>
      <c r="FY35" s="149">
        <v>605.29999999999995</v>
      </c>
      <c r="FZ35" s="149">
        <v>598.29999999999995</v>
      </c>
      <c r="GA35" s="149">
        <v>589</v>
      </c>
      <c r="GB35" s="149">
        <v>583.5</v>
      </c>
      <c r="GC35" s="149">
        <v>585.9</v>
      </c>
      <c r="GD35" s="149">
        <v>584.79999999999995</v>
      </c>
      <c r="GE35" s="149">
        <v>600.1</v>
      </c>
      <c r="GF35" s="149">
        <v>598.1</v>
      </c>
      <c r="GG35" s="149">
        <v>608.6</v>
      </c>
      <c r="GH35" s="149">
        <v>594.5</v>
      </c>
      <c r="GI35" s="149">
        <v>592.5</v>
      </c>
      <c r="GJ35" s="149">
        <v>605.6</v>
      </c>
      <c r="GK35" s="149">
        <v>602.20000000000005</v>
      </c>
      <c r="GL35" s="149">
        <v>592.5</v>
      </c>
      <c r="GM35" s="149">
        <v>590.20000000000005</v>
      </c>
      <c r="GN35" s="149">
        <v>596.4</v>
      </c>
      <c r="GO35" s="149">
        <v>581.6</v>
      </c>
      <c r="GP35" s="149">
        <v>592.20000000000005</v>
      </c>
      <c r="GQ35" s="149">
        <v>607.1</v>
      </c>
      <c r="GR35" s="149">
        <v>616.9</v>
      </c>
      <c r="GS35" s="149">
        <v>624.70000000000005</v>
      </c>
      <c r="GT35" s="149">
        <v>640.79999999999995</v>
      </c>
      <c r="GU35" s="149">
        <v>655.20000000000005</v>
      </c>
      <c r="GV35" s="149">
        <v>681.4</v>
      </c>
      <c r="GW35" s="149">
        <v>707.5</v>
      </c>
      <c r="GX35" s="149">
        <v>706.9</v>
      </c>
      <c r="GY35" s="149">
        <v>703.4</v>
      </c>
      <c r="GZ35" s="149">
        <v>707.6</v>
      </c>
      <c r="HA35" s="149">
        <v>712.3</v>
      </c>
      <c r="HB35" s="149">
        <v>724.7</v>
      </c>
      <c r="HC35" s="149">
        <v>765.2</v>
      </c>
      <c r="HD35" s="149">
        <v>769.7</v>
      </c>
      <c r="HE35" s="149">
        <v>779.2</v>
      </c>
      <c r="HF35" s="149">
        <v>783.8</v>
      </c>
      <c r="HG35" s="149">
        <v>789.7</v>
      </c>
      <c r="HH35" s="149">
        <v>807.2</v>
      </c>
      <c r="HI35" s="149">
        <v>821.5</v>
      </c>
      <c r="HJ35" s="149">
        <v>832.8</v>
      </c>
      <c r="HK35" s="149">
        <v>851.2</v>
      </c>
      <c r="HL35" s="149">
        <v>844.9</v>
      </c>
      <c r="HM35" s="149">
        <v>844.3</v>
      </c>
      <c r="HN35" s="149">
        <v>842.8</v>
      </c>
      <c r="HO35" s="149">
        <v>846.7</v>
      </c>
      <c r="HP35" s="149">
        <v>846.2</v>
      </c>
      <c r="HQ35" s="149">
        <v>843.5</v>
      </c>
      <c r="HR35" s="149">
        <v>843.4</v>
      </c>
      <c r="HS35" s="149">
        <v>843.4</v>
      </c>
      <c r="HT35" s="149">
        <v>844</v>
      </c>
      <c r="HU35" s="149">
        <v>851.2</v>
      </c>
      <c r="HV35" s="149">
        <v>844</v>
      </c>
      <c r="HW35" s="149">
        <v>845.9</v>
      </c>
      <c r="HX35" s="149">
        <v>843.6</v>
      </c>
      <c r="HY35" s="149">
        <v>836.8</v>
      </c>
      <c r="HZ35" s="149">
        <v>822.3</v>
      </c>
      <c r="IA35" s="149">
        <v>841.8</v>
      </c>
      <c r="IB35" s="149">
        <v>856.8</v>
      </c>
      <c r="IC35" s="149">
        <v>854.7</v>
      </c>
      <c r="ID35" s="149">
        <v>847.8</v>
      </c>
      <c r="IE35" s="149">
        <v>844.9</v>
      </c>
      <c r="IF35" s="149">
        <v>855.7</v>
      </c>
      <c r="IG35" s="149">
        <v>868.1</v>
      </c>
      <c r="IH35" s="149">
        <v>846.2</v>
      </c>
      <c r="II35" s="149">
        <v>849.5</v>
      </c>
      <c r="IJ35" s="149">
        <v>853</v>
      </c>
      <c r="IK35" s="149">
        <v>849.5</v>
      </c>
      <c r="IL35" s="149">
        <v>889.2</v>
      </c>
      <c r="IM35" s="149">
        <v>906.1</v>
      </c>
      <c r="IN35" s="149">
        <v>885.6</v>
      </c>
      <c r="IO35" s="149">
        <v>893.2</v>
      </c>
      <c r="IP35" s="149">
        <v>901.6</v>
      </c>
      <c r="IQ35" s="149">
        <v>906.3</v>
      </c>
      <c r="IR35" s="149">
        <v>910.7</v>
      </c>
      <c r="IS35" s="149">
        <v>937.5</v>
      </c>
      <c r="IT35" s="149">
        <v>922.5</v>
      </c>
      <c r="IU35" s="149">
        <v>914.8</v>
      </c>
      <c r="IV35" s="149">
        <v>914.1</v>
      </c>
      <c r="IW35" s="149">
        <v>914.6</v>
      </c>
      <c r="IX35" s="149">
        <v>931.9</v>
      </c>
      <c r="IY35" s="149">
        <v>945.8</v>
      </c>
      <c r="IZ35" s="149">
        <v>950.3</v>
      </c>
      <c r="JA35" s="149">
        <v>955.3</v>
      </c>
      <c r="JB35" s="149">
        <v>964.2</v>
      </c>
      <c r="JC35" s="149">
        <v>999</v>
      </c>
      <c r="JD35" s="149">
        <v>942.12570000000005</v>
      </c>
      <c r="JE35" s="149">
        <v>971.25</v>
      </c>
      <c r="JF35" s="149">
        <v>988.92000000000007</v>
      </c>
      <c r="JG35" s="149">
        <v>993.47280000000001</v>
      </c>
      <c r="JH35" s="149">
        <v>1004.2</v>
      </c>
      <c r="JI35" s="149">
        <v>998.3</v>
      </c>
      <c r="JJ35"/>
      <c r="JK35"/>
    </row>
    <row r="36" spans="1:271" s="31" customFormat="1" ht="15.6" x14ac:dyDescent="0.3">
      <c r="A36" s="64"/>
      <c r="B36" s="67"/>
      <c r="C36" s="67"/>
      <c r="D36" s="67"/>
      <c r="E36" s="67"/>
      <c r="F36" s="67"/>
      <c r="G36" s="68"/>
      <c r="H36" s="68"/>
      <c r="I36" s="68"/>
      <c r="J36" s="68"/>
      <c r="K36" s="68"/>
      <c r="L36" s="68"/>
      <c r="M36" s="69"/>
      <c r="N36" s="68"/>
      <c r="O36" s="68"/>
      <c r="P36" s="68"/>
      <c r="Q36" s="68"/>
      <c r="R36" s="68"/>
      <c r="S36" s="68"/>
      <c r="T36" s="68"/>
      <c r="U36" s="68"/>
      <c r="V36" s="68"/>
      <c r="W36" s="68"/>
      <c r="X36" s="68"/>
      <c r="Y36" s="69"/>
      <c r="Z36" s="68"/>
      <c r="AA36" s="68"/>
      <c r="AB36" s="68"/>
      <c r="AC36" s="68"/>
      <c r="AD36" s="68"/>
      <c r="AE36" s="68"/>
      <c r="AF36" s="68"/>
      <c r="AG36" s="68"/>
      <c r="AH36" s="68"/>
      <c r="AI36" s="68"/>
      <c r="AJ36" s="68"/>
      <c r="AK36" s="69"/>
      <c r="AL36" s="68"/>
      <c r="AM36" s="68"/>
      <c r="AN36" s="68"/>
      <c r="AO36" s="68"/>
      <c r="AP36" s="68"/>
      <c r="AQ36" s="68"/>
      <c r="AR36" s="68"/>
      <c r="AS36" s="68"/>
      <c r="AT36" s="68"/>
      <c r="AU36" s="68"/>
      <c r="AV36" s="68"/>
      <c r="AW36" s="69"/>
      <c r="AX36" s="68"/>
      <c r="AY36" s="68"/>
      <c r="AZ36" s="68"/>
      <c r="BA36" s="68"/>
      <c r="BB36" s="68"/>
      <c r="BC36" s="68"/>
      <c r="BD36" s="68"/>
      <c r="BE36" s="68"/>
      <c r="BF36" s="68"/>
      <c r="BG36" s="68"/>
      <c r="BH36" s="68"/>
      <c r="BI36" s="69"/>
      <c r="BJ36" s="68"/>
      <c r="BK36" s="68"/>
      <c r="BL36" s="68"/>
      <c r="BM36" s="68"/>
      <c r="BN36" s="68"/>
      <c r="BO36" s="68"/>
      <c r="BP36" s="68"/>
      <c r="BQ36" s="68"/>
      <c r="BR36" s="68"/>
      <c r="BS36" s="68"/>
      <c r="BT36" s="68"/>
      <c r="BU36" s="69"/>
      <c r="BV36" s="68"/>
      <c r="BW36" s="68"/>
      <c r="BX36" s="68"/>
      <c r="BY36" s="68"/>
      <c r="BZ36" s="68"/>
      <c r="CA36" s="68"/>
      <c r="CB36" s="68"/>
      <c r="CC36" s="68"/>
      <c r="CD36" s="68"/>
      <c r="CE36" s="68"/>
      <c r="CF36" s="68"/>
      <c r="CG36" s="69"/>
      <c r="CH36" s="68"/>
      <c r="CI36" s="68"/>
      <c r="CJ36" s="68"/>
      <c r="CK36" s="68"/>
      <c r="CL36" s="68"/>
      <c r="CM36" s="68"/>
      <c r="CN36" s="68"/>
      <c r="CO36" s="68"/>
      <c r="CP36" s="68"/>
      <c r="CQ36" s="68"/>
      <c r="CR36" s="68"/>
      <c r="CS36" s="69"/>
      <c r="CT36" s="68"/>
      <c r="CU36" s="70"/>
      <c r="CV36" s="70"/>
      <c r="CW36" s="70"/>
      <c r="CX36" s="70"/>
      <c r="CY36" s="70"/>
      <c r="CZ36" s="70"/>
      <c r="DA36" s="70"/>
      <c r="DB36" s="70"/>
      <c r="DC36" s="70"/>
      <c r="DD36" s="70"/>
      <c r="DE36" s="70"/>
      <c r="DF36" s="70"/>
      <c r="DG36" s="70"/>
      <c r="DH36" s="70"/>
      <c r="DI36" s="70"/>
      <c r="DJ36" s="70"/>
      <c r="DK36" s="70"/>
      <c r="DL36" s="70"/>
      <c r="DM36" s="70"/>
      <c r="DN36" s="70"/>
      <c r="DO36" s="70"/>
      <c r="DP36" s="70"/>
      <c r="DQ36" s="70"/>
      <c r="DR36" s="70"/>
      <c r="DS36" s="70"/>
      <c r="DT36" s="70"/>
      <c r="DU36" s="70"/>
      <c r="DV36" s="70"/>
      <c r="DW36" s="70"/>
      <c r="DX36" s="70"/>
      <c r="DY36" s="70"/>
      <c r="DZ36" s="70"/>
      <c r="EA36" s="70"/>
      <c r="EB36" s="70"/>
      <c r="EC36" s="70"/>
      <c r="ED36" s="70"/>
      <c r="EE36" s="70"/>
      <c r="EF36" s="70"/>
      <c r="EG36" s="70"/>
      <c r="EH36" s="70"/>
      <c r="EI36" s="70"/>
      <c r="EJ36" s="70"/>
      <c r="EK36" s="70"/>
      <c r="EL36" s="71"/>
      <c r="EM36" s="71"/>
      <c r="EN36" s="71"/>
      <c r="EO36" s="71"/>
      <c r="EP36" s="71"/>
      <c r="EQ36" s="71"/>
      <c r="ER36" s="71"/>
      <c r="ES36" s="71"/>
      <c r="ET36" s="71"/>
      <c r="EU36" s="71"/>
      <c r="EV36" s="71"/>
      <c r="EW36" s="71"/>
      <c r="EX36" s="71"/>
      <c r="EY36" s="71"/>
      <c r="EZ36" s="71"/>
      <c r="FA36" s="71"/>
      <c r="FB36" s="101"/>
      <c r="FC36" s="101"/>
      <c r="FD36" s="102"/>
      <c r="FE36" s="101"/>
      <c r="FF36" s="101"/>
      <c r="FG36" s="101"/>
      <c r="FH36" s="101"/>
      <c r="FI36" s="101"/>
      <c r="FJ36" s="102"/>
      <c r="FK36" s="101"/>
      <c r="FL36" s="101"/>
      <c r="FM36" s="101"/>
      <c r="FN36" s="101"/>
      <c r="FO36" s="101"/>
      <c r="FP36" s="101"/>
      <c r="FQ36" s="102"/>
      <c r="FR36" s="102"/>
      <c r="FS36" s="102"/>
      <c r="FT36" s="103"/>
      <c r="FU36" s="104"/>
      <c r="FV36" s="104"/>
      <c r="FW36" s="59"/>
      <c r="FX36" s="59"/>
      <c r="FY36" s="103"/>
      <c r="FZ36" s="103"/>
      <c r="GA36" s="104"/>
      <c r="GB36" s="104"/>
      <c r="GC36" s="104"/>
      <c r="GD36" s="105"/>
      <c r="GE36" s="105"/>
      <c r="GF36" s="105"/>
      <c r="GG36"/>
      <c r="GH36" s="12"/>
      <c r="GI36" s="12"/>
      <c r="GJ36"/>
      <c r="GK36"/>
      <c r="GL36" s="61"/>
      <c r="GM36"/>
      <c r="GN36"/>
      <c r="GO36"/>
      <c r="GP36"/>
      <c r="GQ36"/>
      <c r="GR36"/>
      <c r="GS36" s="61"/>
      <c r="GT36" s="12"/>
      <c r="GU36"/>
      <c r="GV36" s="62"/>
      <c r="GW36" s="61"/>
      <c r="GX36"/>
      <c r="GY36"/>
      <c r="GZ36"/>
      <c r="HA36"/>
      <c r="HB36"/>
      <c r="HC36"/>
      <c r="HD36"/>
      <c r="HE36"/>
      <c r="HF36"/>
      <c r="HG36"/>
      <c r="HH36"/>
      <c r="HI36"/>
      <c r="HJ36"/>
      <c r="HK36"/>
      <c r="HL36"/>
      <c r="HM36"/>
      <c r="HN36"/>
      <c r="HO36" s="12"/>
      <c r="HP36"/>
      <c r="HQ36"/>
      <c r="HR36"/>
      <c r="HS36"/>
      <c r="HT36"/>
      <c r="HU36"/>
      <c r="HV36"/>
      <c r="HW36"/>
      <c r="HX36"/>
      <c r="HY36"/>
      <c r="HZ36"/>
      <c r="IA36" s="12"/>
      <c r="IB36"/>
      <c r="IC36"/>
      <c r="ID36"/>
      <c r="IE36"/>
      <c r="IF36"/>
      <c r="IG36"/>
      <c r="IH36"/>
      <c r="II36"/>
      <c r="IJ36"/>
      <c r="IK36"/>
      <c r="IL36"/>
      <c r="IM36"/>
      <c r="IN36"/>
      <c r="IO36"/>
      <c r="IP36"/>
      <c r="IQ36"/>
      <c r="IR36"/>
      <c r="IS36"/>
      <c r="IT36"/>
      <c r="IU36"/>
      <c r="IV36"/>
      <c r="IW36"/>
      <c r="IX36" s="12"/>
      <c r="IY36"/>
      <c r="IZ36"/>
      <c r="JA36"/>
      <c r="JB36"/>
      <c r="JC36"/>
      <c r="JD36"/>
      <c r="JE36"/>
      <c r="JF36"/>
      <c r="JG36"/>
      <c r="JH36"/>
      <c r="JI36"/>
      <c r="JJ36"/>
      <c r="JK36"/>
    </row>
    <row r="37" spans="1:271" s="31" customFormat="1" ht="15.6" x14ac:dyDescent="0.3">
      <c r="A37" s="64"/>
      <c r="B37" s="67"/>
      <c r="C37" s="67"/>
      <c r="D37" s="67"/>
      <c r="E37" s="67"/>
      <c r="F37" s="67"/>
      <c r="G37" s="68"/>
      <c r="H37" s="68"/>
      <c r="I37" s="68"/>
      <c r="J37" s="68"/>
      <c r="K37" s="68"/>
      <c r="L37" s="68"/>
      <c r="M37" s="69"/>
      <c r="N37" s="68"/>
      <c r="O37" s="68"/>
      <c r="P37" s="68"/>
      <c r="Q37" s="68"/>
      <c r="R37" s="68"/>
      <c r="S37" s="68"/>
      <c r="T37" s="68"/>
      <c r="U37" s="68"/>
      <c r="V37" s="68"/>
      <c r="W37" s="68"/>
      <c r="X37" s="68"/>
      <c r="Y37" s="69"/>
      <c r="Z37" s="68"/>
      <c r="AA37" s="68"/>
      <c r="AB37" s="68"/>
      <c r="AC37" s="68"/>
      <c r="AD37" s="68"/>
      <c r="AE37" s="68"/>
      <c r="AF37" s="68"/>
      <c r="AG37" s="68"/>
      <c r="AH37" s="68"/>
      <c r="AI37" s="68"/>
      <c r="AJ37" s="68"/>
      <c r="AK37" s="69"/>
      <c r="AL37" s="68"/>
      <c r="AM37" s="68"/>
      <c r="AN37" s="68"/>
      <c r="AO37" s="68"/>
      <c r="AP37" s="68"/>
      <c r="AQ37" s="68"/>
      <c r="AR37" s="68"/>
      <c r="AS37" s="68"/>
      <c r="AT37" s="68"/>
      <c r="AU37" s="68"/>
      <c r="AV37" s="68"/>
      <c r="AW37" s="69"/>
      <c r="AX37" s="68"/>
      <c r="AY37" s="68"/>
      <c r="AZ37" s="68"/>
      <c r="BA37" s="68"/>
      <c r="BB37" s="68"/>
      <c r="BC37" s="68"/>
      <c r="BD37" s="68"/>
      <c r="BE37" s="68"/>
      <c r="BF37" s="68"/>
      <c r="BG37" s="68"/>
      <c r="BH37" s="68"/>
      <c r="BI37" s="69"/>
      <c r="BJ37" s="68"/>
      <c r="BK37" s="68"/>
      <c r="BL37" s="68"/>
      <c r="BM37" s="68"/>
      <c r="BN37" s="68"/>
      <c r="BO37" s="68"/>
      <c r="BP37" s="68"/>
      <c r="BQ37" s="68"/>
      <c r="BR37" s="68"/>
      <c r="BS37" s="68"/>
      <c r="BT37" s="68"/>
      <c r="BU37" s="69"/>
      <c r="BV37" s="68"/>
      <c r="BW37" s="68"/>
      <c r="BX37" s="68"/>
      <c r="BY37" s="68"/>
      <c r="BZ37" s="68"/>
      <c r="CA37" s="68"/>
      <c r="CB37" s="68"/>
      <c r="CC37" s="68"/>
      <c r="CD37" s="68"/>
      <c r="CE37" s="68"/>
      <c r="CF37" s="68"/>
      <c r="CG37" s="69"/>
      <c r="CH37" s="68"/>
      <c r="CI37" s="68"/>
      <c r="CJ37" s="68"/>
      <c r="CK37" s="68"/>
      <c r="CL37" s="68"/>
      <c r="CM37" s="68"/>
      <c r="CN37" s="68"/>
      <c r="CO37" s="68"/>
      <c r="CP37" s="68"/>
      <c r="CQ37" s="68"/>
      <c r="CR37" s="68"/>
      <c r="CS37" s="69"/>
      <c r="CT37" s="68"/>
      <c r="CU37" s="70"/>
      <c r="CV37" s="70"/>
      <c r="CW37" s="70"/>
      <c r="CX37" s="70"/>
      <c r="CY37" s="70"/>
      <c r="CZ37" s="70"/>
      <c r="DA37" s="70"/>
      <c r="DB37" s="70"/>
      <c r="DC37" s="70"/>
      <c r="DD37" s="70"/>
      <c r="DE37" s="70"/>
      <c r="DF37" s="70"/>
      <c r="DG37" s="70"/>
      <c r="DH37" s="70"/>
      <c r="DI37" s="70"/>
      <c r="DJ37" s="70"/>
      <c r="DK37" s="70"/>
      <c r="DL37" s="70"/>
      <c r="DM37" s="70"/>
      <c r="DN37" s="70"/>
      <c r="DO37" s="70"/>
      <c r="DP37" s="70"/>
      <c r="DQ37" s="70"/>
      <c r="DR37" s="70"/>
      <c r="DS37" s="70"/>
      <c r="DT37" s="70"/>
      <c r="DU37" s="70"/>
      <c r="DV37" s="70"/>
      <c r="DW37" s="70"/>
      <c r="DX37" s="70"/>
      <c r="DY37" s="70"/>
      <c r="DZ37" s="70"/>
      <c r="EA37" s="70"/>
      <c r="EB37" s="70"/>
      <c r="EC37" s="70"/>
      <c r="ED37" s="70"/>
      <c r="EE37" s="70"/>
      <c r="EF37" s="70"/>
      <c r="EG37" s="70"/>
      <c r="EH37" s="70"/>
      <c r="EI37" s="70"/>
      <c r="EJ37" s="70"/>
      <c r="EK37" s="70"/>
      <c r="EL37" s="71"/>
      <c r="EM37" s="71"/>
      <c r="EN37" s="71"/>
      <c r="EO37" s="71"/>
      <c r="EP37" s="71"/>
      <c r="EQ37" s="71"/>
      <c r="ER37" s="71"/>
      <c r="ES37" s="71"/>
      <c r="ET37" s="71"/>
      <c r="EU37" s="71"/>
      <c r="EV37" s="71"/>
      <c r="EW37" s="71"/>
      <c r="EX37" s="71"/>
      <c r="EY37" s="71"/>
      <c r="EZ37" s="71"/>
      <c r="FA37" s="71"/>
      <c r="FB37" s="101"/>
      <c r="FC37" s="101"/>
      <c r="FD37" s="102"/>
      <c r="FE37" s="101"/>
      <c r="FF37" s="101"/>
      <c r="FG37" s="101"/>
      <c r="FH37" s="101"/>
      <c r="FI37" s="101"/>
      <c r="FJ37" s="102"/>
      <c r="FK37" s="101"/>
      <c r="FL37" s="101"/>
      <c r="FM37" s="101"/>
      <c r="FN37" s="101"/>
      <c r="FO37" s="101"/>
      <c r="FP37" s="101"/>
      <c r="FQ37" s="102"/>
      <c r="FR37" s="102"/>
      <c r="FS37" s="102"/>
      <c r="FT37" s="103"/>
      <c r="FU37" s="104"/>
      <c r="FV37" s="104"/>
      <c r="FW37" s="59"/>
      <c r="FX37" s="59"/>
      <c r="FY37" s="103"/>
      <c r="FZ37" s="103"/>
      <c r="GA37" s="104"/>
      <c r="GB37" s="104"/>
      <c r="GC37" s="104"/>
      <c r="GD37" s="105"/>
      <c r="GE37" s="105"/>
      <c r="GF37" s="105"/>
      <c r="GG37"/>
      <c r="GH37" s="12"/>
      <c r="GI37" s="12"/>
      <c r="GJ37"/>
      <c r="GK37"/>
      <c r="GL37" s="61"/>
      <c r="GM37"/>
      <c r="GN37"/>
      <c r="GO37"/>
      <c r="GP37"/>
      <c r="GQ37"/>
      <c r="GR37"/>
      <c r="GS37" s="61"/>
      <c r="GT37" s="12"/>
      <c r="GU37"/>
      <c r="GV37" s="62"/>
      <c r="GW37" s="61"/>
      <c r="GX37"/>
      <c r="GY37"/>
      <c r="GZ37"/>
      <c r="HA37"/>
      <c r="HB37"/>
      <c r="HC37"/>
      <c r="HD37"/>
      <c r="HE37"/>
      <c r="HF37"/>
      <c r="HG37"/>
      <c r="HH37"/>
      <c r="HI37"/>
      <c r="HJ37"/>
      <c r="HK37"/>
      <c r="HL37"/>
      <c r="HM37"/>
      <c r="HN37"/>
      <c r="HO37" s="12"/>
      <c r="HP37"/>
      <c r="HQ37"/>
      <c r="HR37"/>
      <c r="HS37"/>
      <c r="HT37"/>
      <c r="HU37"/>
      <c r="HV37"/>
      <c r="HW37"/>
      <c r="HX37"/>
      <c r="HY37"/>
      <c r="HZ37"/>
      <c r="IA37" s="12"/>
      <c r="IB37"/>
      <c r="IC37"/>
      <c r="ID37"/>
      <c r="IE37"/>
      <c r="IF37"/>
      <c r="IG37"/>
      <c r="IH37"/>
      <c r="II37"/>
      <c r="IJ37"/>
      <c r="IK37"/>
      <c r="IL37"/>
      <c r="IM37"/>
      <c r="IN37"/>
      <c r="IO37"/>
      <c r="IP37"/>
      <c r="IQ37"/>
      <c r="IR37"/>
      <c r="IS37"/>
      <c r="IT37"/>
      <c r="IU37"/>
      <c r="IV37"/>
      <c r="IW37"/>
      <c r="IX37" s="12"/>
      <c r="IY37"/>
      <c r="IZ37"/>
      <c r="JA37"/>
      <c r="JB37"/>
      <c r="JC37"/>
      <c r="JD37"/>
      <c r="JE37"/>
      <c r="JF37"/>
      <c r="JG37"/>
      <c r="JH37"/>
      <c r="JI37"/>
      <c r="JJ37"/>
      <c r="JK37"/>
    </row>
    <row r="38" spans="1:271" s="31" customFormat="1" x14ac:dyDescent="0.3">
      <c r="A38" s="63"/>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c r="IU38"/>
      <c r="IV38"/>
      <c r="IW38"/>
      <c r="IX38"/>
      <c r="IY38"/>
      <c r="IZ38"/>
      <c r="JA38"/>
      <c r="JB38"/>
      <c r="JC38"/>
      <c r="JD38"/>
      <c r="JE38"/>
      <c r="JF38"/>
      <c r="JG38"/>
      <c r="JH38"/>
      <c r="JI38"/>
      <c r="JJ38"/>
      <c r="JK38"/>
    </row>
    <row r="39" spans="1:271" x14ac:dyDescent="0.3">
      <c r="A39" s="64" t="s">
        <v>119</v>
      </c>
      <c r="B39" s="66"/>
      <c r="C39" s="66"/>
      <c r="D39" s="66"/>
      <c r="E39" s="66"/>
      <c r="F39" s="66"/>
      <c r="G39" s="66"/>
      <c r="H39" s="66"/>
      <c r="I39" s="66"/>
      <c r="J39" s="66"/>
      <c r="K39" s="66"/>
      <c r="L39" s="66"/>
      <c r="M39" s="66"/>
      <c r="N39" s="66"/>
      <c r="O39" s="66"/>
      <c r="P39" s="66"/>
      <c r="Q39" s="66"/>
      <c r="R39" s="66"/>
      <c r="S39" s="66"/>
      <c r="T39" s="66"/>
      <c r="U39" s="66"/>
      <c r="V39" s="66"/>
      <c r="W39" s="66"/>
      <c r="X39" s="66"/>
      <c r="Y39" s="66"/>
      <c r="Z39" s="66"/>
      <c r="AA39" s="66"/>
      <c r="AB39" s="66"/>
      <c r="AC39" s="66"/>
      <c r="AD39" s="66"/>
      <c r="AE39" s="66"/>
      <c r="AF39" s="66"/>
      <c r="AG39" s="66"/>
      <c r="AH39" s="66"/>
      <c r="AI39" s="66"/>
      <c r="AJ39" s="66"/>
      <c r="AK39" s="66"/>
      <c r="AL39" s="66"/>
      <c r="AM39" s="66"/>
      <c r="AN39" s="66"/>
      <c r="AO39" s="66"/>
      <c r="AP39" s="66"/>
      <c r="AQ39" s="66"/>
      <c r="AR39" s="66"/>
      <c r="AS39" s="66"/>
      <c r="AT39" s="66"/>
      <c r="AU39" s="66"/>
      <c r="AV39" s="66"/>
      <c r="AW39" s="66"/>
      <c r="AX39" s="66"/>
      <c r="AY39" s="66"/>
      <c r="AZ39" s="66"/>
      <c r="BA39" s="66"/>
      <c r="BB39" s="66"/>
      <c r="BC39" s="66"/>
      <c r="BD39" s="66"/>
      <c r="BE39" s="66"/>
      <c r="BF39" s="66"/>
      <c r="BG39" s="66"/>
      <c r="BH39" s="66"/>
      <c r="BI39" s="66"/>
      <c r="BJ39" s="66"/>
      <c r="BK39" s="66"/>
      <c r="BL39" s="66"/>
      <c r="BM39" s="66"/>
      <c r="BN39" s="66"/>
      <c r="BO39" s="66"/>
      <c r="BP39" s="66"/>
      <c r="BQ39" s="66"/>
      <c r="BR39" s="66"/>
      <c r="BS39" s="66"/>
      <c r="BT39" s="66"/>
      <c r="BU39" s="66"/>
      <c r="BV39" s="66"/>
      <c r="BW39" s="66"/>
      <c r="BX39" s="66"/>
      <c r="BY39" s="66"/>
      <c r="BZ39" s="66"/>
      <c r="CA39" s="66"/>
      <c r="CB39" s="66"/>
      <c r="CC39" s="66"/>
      <c r="CD39" s="66"/>
      <c r="CE39" s="66"/>
      <c r="CF39" s="66"/>
      <c r="CG39" s="66"/>
      <c r="CH39" s="66"/>
      <c r="CI39" s="66"/>
      <c r="CJ39" s="66"/>
      <c r="CK39" s="66"/>
      <c r="CL39" s="66"/>
      <c r="CM39" s="66"/>
      <c r="CN39" s="66"/>
      <c r="CO39" s="66"/>
      <c r="CP39" s="66"/>
      <c r="CQ39" s="66"/>
      <c r="CR39" s="66"/>
      <c r="CS39" s="66"/>
      <c r="CT39" s="66"/>
      <c r="CU39" s="66"/>
      <c r="CV39" s="66"/>
      <c r="CW39" s="66"/>
      <c r="CX39" s="66"/>
      <c r="CY39" s="66"/>
      <c r="CZ39" s="66"/>
      <c r="DA39" s="66"/>
      <c r="DB39" s="66"/>
      <c r="DC39" s="66"/>
      <c r="DD39" s="66"/>
      <c r="DE39" s="66"/>
      <c r="DF39" s="66"/>
      <c r="DG39" s="66"/>
      <c r="DH39" s="66"/>
      <c r="DI39" s="66"/>
      <c r="DJ39" s="66"/>
      <c r="DK39" s="66"/>
      <c r="DL39" s="66"/>
      <c r="DM39" s="66"/>
      <c r="DN39" s="66"/>
      <c r="DO39" s="66"/>
      <c r="DP39" s="66"/>
      <c r="DQ39" s="66"/>
      <c r="DR39" s="66"/>
      <c r="DS39" s="66"/>
      <c r="DT39" s="66"/>
      <c r="DU39" s="66"/>
      <c r="DV39" s="66"/>
      <c r="DW39" s="66"/>
      <c r="DX39" s="66"/>
      <c r="DY39" s="66"/>
      <c r="DZ39" s="66"/>
      <c r="EA39" s="66"/>
      <c r="EB39" s="66"/>
      <c r="EC39" s="66"/>
      <c r="ED39" s="66">
        <v>14.54</v>
      </c>
      <c r="EE39" s="66">
        <v>28.52</v>
      </c>
      <c r="EF39" s="66">
        <v>45.08</v>
      </c>
      <c r="EG39" s="66">
        <v>61.34</v>
      </c>
      <c r="EH39" s="66">
        <v>81.19</v>
      </c>
      <c r="EI39" s="66">
        <v>100.4</v>
      </c>
      <c r="EJ39" s="66">
        <v>122.24000000000001</v>
      </c>
      <c r="EK39" s="66">
        <v>144.96</v>
      </c>
      <c r="EL39" s="66">
        <v>164.34</v>
      </c>
      <c r="EM39" s="66">
        <v>186.31</v>
      </c>
      <c r="EN39" s="66">
        <v>204.98599999999999</v>
      </c>
      <c r="EO39" s="66">
        <v>232.07599999999999</v>
      </c>
      <c r="EP39" s="66">
        <v>234.83600000000004</v>
      </c>
      <c r="EQ39" s="66">
        <v>239.40600000000003</v>
      </c>
      <c r="ER39" s="66">
        <v>242.25600000000003</v>
      </c>
      <c r="ES39" s="66">
        <v>246.37600000000003</v>
      </c>
      <c r="ET39" s="66">
        <v>251.24600000000001</v>
      </c>
      <c r="EU39" s="66">
        <v>256.17599999999999</v>
      </c>
      <c r="EV39" s="66">
        <v>256.47199999999998</v>
      </c>
      <c r="EW39" s="66">
        <v>258.54199999999997</v>
      </c>
      <c r="EX39" s="66">
        <v>262.09199999999998</v>
      </c>
      <c r="EY39" s="66">
        <v>263.322</v>
      </c>
      <c r="EZ39" s="66">
        <v>266.90599999999995</v>
      </c>
      <c r="FA39" s="66">
        <v>269.82600000000002</v>
      </c>
      <c r="FB39" s="66">
        <v>273.75200000000001</v>
      </c>
      <c r="FC39" s="66">
        <v>273.83699999999999</v>
      </c>
      <c r="FD39" s="66">
        <v>276.84699999999998</v>
      </c>
      <c r="FE39" s="66">
        <v>277.98699999999997</v>
      </c>
      <c r="FF39" s="66">
        <v>281.767</v>
      </c>
      <c r="FG39" s="66">
        <v>284.16699999999997</v>
      </c>
      <c r="FH39" s="66">
        <v>287.49099999999999</v>
      </c>
      <c r="FI39" s="66">
        <v>291.11699999999996</v>
      </c>
      <c r="FJ39" s="66">
        <v>294.17700000000002</v>
      </c>
      <c r="FK39" s="66">
        <v>299.17699999999996</v>
      </c>
      <c r="FL39" s="66">
        <v>303.59700000000004</v>
      </c>
      <c r="FM39" s="66">
        <v>307.14699999999999</v>
      </c>
      <c r="FN39" s="66">
        <v>311.02100000000007</v>
      </c>
      <c r="FO39" s="66">
        <v>316.56600000000003</v>
      </c>
      <c r="FP39" s="66">
        <v>322.19600000000003</v>
      </c>
      <c r="FQ39" s="66">
        <v>326.87599999999998</v>
      </c>
      <c r="FR39" s="66">
        <v>333.63599999999997</v>
      </c>
      <c r="FS39" s="66">
        <v>337.89599999999996</v>
      </c>
      <c r="FT39" s="66">
        <v>342.536</v>
      </c>
      <c r="FU39" s="66">
        <v>345.72</v>
      </c>
      <c r="FV39" s="66">
        <v>347.43</v>
      </c>
      <c r="FW39" s="66">
        <v>347.43</v>
      </c>
      <c r="FX39" s="66">
        <v>351.34999999999997</v>
      </c>
      <c r="FY39" s="66">
        <v>350.39</v>
      </c>
      <c r="FZ39" s="66">
        <v>350.18999999999994</v>
      </c>
      <c r="GA39" s="66">
        <v>350.21</v>
      </c>
      <c r="GB39" s="66">
        <v>349.55999999999989</v>
      </c>
      <c r="GC39" s="66">
        <v>350.8599999999999</v>
      </c>
      <c r="GD39" s="66">
        <v>350.4</v>
      </c>
      <c r="GE39" s="66">
        <v>346.6</v>
      </c>
      <c r="GF39" s="66">
        <v>348.7</v>
      </c>
      <c r="GG39" s="66">
        <v>349.9</v>
      </c>
      <c r="GH39" s="66">
        <v>348.7</v>
      </c>
      <c r="GI39" s="66">
        <v>349.9</v>
      </c>
      <c r="GJ39" s="66">
        <v>348.4</v>
      </c>
      <c r="GK39" s="66">
        <v>348.2</v>
      </c>
      <c r="GL39" s="66">
        <v>350.40000000000003</v>
      </c>
      <c r="GM39" s="66">
        <v>351.00000000000006</v>
      </c>
      <c r="GN39" s="66">
        <v>349.70000000000005</v>
      </c>
      <c r="GO39" s="66">
        <v>345.70000000000005</v>
      </c>
      <c r="GP39" s="66">
        <v>345.90000000000003</v>
      </c>
      <c r="GQ39" s="66">
        <v>350.8</v>
      </c>
      <c r="GR39" s="66">
        <v>356.1</v>
      </c>
      <c r="GS39" s="66">
        <v>359.7</v>
      </c>
      <c r="GT39" s="66">
        <v>369.2</v>
      </c>
      <c r="GU39" s="66">
        <v>378.49999999999994</v>
      </c>
      <c r="GV39" s="66">
        <v>386.5</v>
      </c>
      <c r="GW39" s="66">
        <v>397.90000000000003</v>
      </c>
      <c r="GX39" s="66">
        <v>403.20000000000005</v>
      </c>
      <c r="GY39" s="66">
        <v>411.2000000000001</v>
      </c>
      <c r="GZ39" s="66">
        <v>428.60000000000008</v>
      </c>
      <c r="HA39" s="66">
        <v>447.59999999999997</v>
      </c>
      <c r="HB39" s="66">
        <v>455.29999999999995</v>
      </c>
      <c r="HC39" s="66">
        <v>461.09999999999997</v>
      </c>
      <c r="HD39" s="66">
        <v>465.49999999999994</v>
      </c>
      <c r="HE39" s="66">
        <v>472.32999999999993</v>
      </c>
      <c r="HF39" s="66">
        <v>480.43</v>
      </c>
      <c r="HG39" s="66">
        <v>485.63</v>
      </c>
      <c r="HH39" s="66">
        <v>490.03999999999996</v>
      </c>
      <c r="HI39" s="66">
        <v>498.18999999999994</v>
      </c>
      <c r="HJ39" s="66">
        <v>494.84999999999997</v>
      </c>
      <c r="HK39" s="66">
        <v>489.72999999999996</v>
      </c>
      <c r="HL39" s="66">
        <v>478.62</v>
      </c>
      <c r="HM39" s="66">
        <v>474.86</v>
      </c>
      <c r="HN39" s="66">
        <v>471.85</v>
      </c>
      <c r="HO39" s="66">
        <v>472.34</v>
      </c>
      <c r="HP39" s="66">
        <v>472.5</v>
      </c>
      <c r="HQ39" s="66">
        <v>476.85</v>
      </c>
      <c r="HR39" s="66">
        <v>476.40999999999997</v>
      </c>
      <c r="HS39" s="66">
        <v>473.6</v>
      </c>
      <c r="HT39" s="66">
        <v>474.58000000000004</v>
      </c>
      <c r="HU39" s="66">
        <v>475.18</v>
      </c>
      <c r="HV39" s="66">
        <v>484.09999999999997</v>
      </c>
      <c r="HW39" s="66">
        <v>494.12</v>
      </c>
      <c r="HX39" s="66">
        <v>506.22</v>
      </c>
      <c r="HY39" s="66">
        <v>507.31</v>
      </c>
      <c r="HZ39" s="66">
        <v>517.99</v>
      </c>
      <c r="IA39" s="66">
        <v>528.93000000000006</v>
      </c>
      <c r="IB39" s="66">
        <v>537.04</v>
      </c>
      <c r="IC39" s="66">
        <v>537.67999999999995</v>
      </c>
      <c r="ID39" s="66">
        <v>537.12</v>
      </c>
      <c r="IE39" s="66">
        <v>539.03</v>
      </c>
      <c r="IF39" s="66">
        <v>539.74000000000012</v>
      </c>
      <c r="IG39" s="66">
        <v>538.09</v>
      </c>
      <c r="IH39" s="66">
        <v>536.46728677238082</v>
      </c>
      <c r="II39" s="66">
        <v>533.62338555507347</v>
      </c>
      <c r="IJ39" s="66">
        <v>529.4082544672325</v>
      </c>
      <c r="IK39" s="66">
        <v>529.65436211240149</v>
      </c>
      <c r="IL39" s="66">
        <v>523.6557325173834</v>
      </c>
      <c r="IM39" s="66">
        <v>521.13351429633212</v>
      </c>
      <c r="IN39" s="66">
        <v>520.59375919849776</v>
      </c>
      <c r="IO39" s="66">
        <v>521.44852786266006</v>
      </c>
      <c r="IP39" s="66">
        <v>520.58334444268769</v>
      </c>
      <c r="IQ39" s="66">
        <v>524.22649048160906</v>
      </c>
      <c r="IR39" s="66">
        <v>524.91647660087551</v>
      </c>
      <c r="IS39" s="66">
        <v>524.76838580508763</v>
      </c>
      <c r="IT39" s="66">
        <v>527.80401136338196</v>
      </c>
      <c r="IU39" s="66">
        <v>530.61650814302061</v>
      </c>
      <c r="IV39" s="66">
        <v>533.68454885632866</v>
      </c>
      <c r="IW39" s="66">
        <v>536.65647710325322</v>
      </c>
      <c r="IX39" s="66">
        <v>541.7461573677756</v>
      </c>
      <c r="IY39" s="66">
        <v>540.65693426802125</v>
      </c>
      <c r="IZ39" s="66">
        <v>543.79448204992161</v>
      </c>
      <c r="JA39" s="66">
        <v>546.9235983961504</v>
      </c>
      <c r="JB39" s="66"/>
      <c r="JC39" s="66"/>
      <c r="JD39" s="66"/>
      <c r="JE39" s="66"/>
      <c r="JF39" s="66"/>
      <c r="JG39" s="66"/>
      <c r="JH39" s="66"/>
      <c r="JI39" s="66"/>
      <c r="JJ39" s="66"/>
      <c r="JK39" s="66"/>
    </row>
    <row r="41" spans="1:271" ht="16.2" hidden="1" thickBot="1" x14ac:dyDescent="0.35">
      <c r="EN41" s="55">
        <v>42309</v>
      </c>
      <c r="EO41" s="55">
        <v>42339</v>
      </c>
      <c r="EP41" s="55">
        <v>42370</v>
      </c>
      <c r="EQ41" s="55">
        <v>42401</v>
      </c>
      <c r="ER41" s="55">
        <v>42430</v>
      </c>
      <c r="ES41" s="55">
        <v>42461</v>
      </c>
      <c r="ET41" s="55">
        <v>42491</v>
      </c>
      <c r="EU41" s="56">
        <v>42522</v>
      </c>
      <c r="EV41" s="57">
        <v>42552</v>
      </c>
      <c r="EW41" s="55">
        <v>42583</v>
      </c>
      <c r="EX41" s="55">
        <v>42614</v>
      </c>
      <c r="EY41" s="55">
        <v>42644</v>
      </c>
      <c r="EZ41" s="55">
        <v>42675</v>
      </c>
      <c r="FA41" s="55">
        <v>42705</v>
      </c>
      <c r="FB41" s="55">
        <v>42736</v>
      </c>
      <c r="FC41" s="55">
        <v>42767</v>
      </c>
      <c r="FD41" s="55">
        <v>42795</v>
      </c>
      <c r="FE41" s="55">
        <v>42826</v>
      </c>
      <c r="FF41" s="55">
        <v>42856</v>
      </c>
      <c r="FG41" s="56">
        <v>42887</v>
      </c>
      <c r="FH41" s="57">
        <v>42917</v>
      </c>
      <c r="FI41" s="55">
        <v>42948</v>
      </c>
      <c r="FJ41" s="55">
        <v>42979</v>
      </c>
      <c r="FK41" s="55">
        <v>43009</v>
      </c>
      <c r="FL41" s="55">
        <v>43040</v>
      </c>
      <c r="FM41" s="55">
        <v>43070</v>
      </c>
      <c r="FN41" s="55">
        <v>43101</v>
      </c>
      <c r="FO41" s="55">
        <v>43132</v>
      </c>
      <c r="FP41" s="55">
        <v>43160</v>
      </c>
      <c r="FQ41" s="55">
        <v>43191</v>
      </c>
      <c r="FR41" s="55">
        <v>43221</v>
      </c>
      <c r="FS41" s="56">
        <v>43252</v>
      </c>
      <c r="FT41" s="57">
        <v>43282</v>
      </c>
      <c r="FU41" s="55">
        <v>43313</v>
      </c>
      <c r="FV41" s="55">
        <v>43344</v>
      </c>
      <c r="FW41" s="55">
        <v>43374</v>
      </c>
      <c r="FX41" s="55">
        <v>43405</v>
      </c>
      <c r="FY41" s="55">
        <v>43435</v>
      </c>
      <c r="FZ41" s="55">
        <v>43466</v>
      </c>
      <c r="GA41" s="55">
        <v>43497</v>
      </c>
      <c r="GB41" s="55">
        <v>43525</v>
      </c>
      <c r="GC41" s="55">
        <v>43556</v>
      </c>
      <c r="GD41" s="55">
        <v>43586</v>
      </c>
      <c r="GE41" s="55">
        <v>43617</v>
      </c>
      <c r="GF41" s="55">
        <v>43647</v>
      </c>
      <c r="GG41" s="55">
        <v>43678</v>
      </c>
      <c r="GH41" s="55">
        <v>43709</v>
      </c>
      <c r="GI41" s="55">
        <v>43739</v>
      </c>
      <c r="GJ41" s="55">
        <v>43770</v>
      </c>
      <c r="GK41" s="55">
        <v>43800</v>
      </c>
      <c r="GL41" s="55">
        <v>43831</v>
      </c>
      <c r="GM41" s="55">
        <v>43862</v>
      </c>
      <c r="GN41" s="55">
        <v>43891</v>
      </c>
      <c r="GO41" s="55">
        <v>43922</v>
      </c>
      <c r="GP41" s="55">
        <v>43952</v>
      </c>
      <c r="GQ41" s="55">
        <v>43983</v>
      </c>
      <c r="GR41" s="55">
        <v>44013</v>
      </c>
      <c r="GS41" s="55">
        <v>44044</v>
      </c>
      <c r="GT41" s="55">
        <v>44075</v>
      </c>
      <c r="GU41" s="55">
        <v>44105</v>
      </c>
      <c r="GV41" s="55">
        <v>44136</v>
      </c>
      <c r="GW41" s="55">
        <v>44166</v>
      </c>
      <c r="GX41" s="55">
        <v>44197</v>
      </c>
      <c r="GY41" s="55">
        <v>44228</v>
      </c>
      <c r="GZ41" s="55">
        <v>44256</v>
      </c>
      <c r="HA41" s="55">
        <v>44287</v>
      </c>
      <c r="HB41" s="55">
        <v>44317</v>
      </c>
      <c r="HC41" s="55">
        <v>44348</v>
      </c>
      <c r="HD41" s="55">
        <v>44378</v>
      </c>
      <c r="HE41" s="55">
        <v>44409</v>
      </c>
      <c r="HF41" s="55">
        <v>44440</v>
      </c>
      <c r="HG41" s="55">
        <v>44470</v>
      </c>
      <c r="HH41" s="55">
        <v>44501</v>
      </c>
      <c r="HI41" s="55">
        <v>44531</v>
      </c>
      <c r="HJ41" s="55">
        <v>44562</v>
      </c>
      <c r="HK41" s="55">
        <v>44593</v>
      </c>
      <c r="HL41" s="55">
        <v>44621</v>
      </c>
      <c r="HM41" s="55">
        <v>44652</v>
      </c>
      <c r="HN41" s="55">
        <v>44682</v>
      </c>
      <c r="HO41" s="55">
        <v>44713</v>
      </c>
      <c r="HP41" s="55">
        <v>44743</v>
      </c>
      <c r="HQ41" s="55">
        <v>44774</v>
      </c>
      <c r="HR41" s="55">
        <v>44805</v>
      </c>
      <c r="HS41" s="55">
        <v>44835</v>
      </c>
      <c r="HT41" s="55">
        <v>44866</v>
      </c>
      <c r="HU41" s="55">
        <v>44896</v>
      </c>
      <c r="HV41" s="55">
        <v>44927</v>
      </c>
      <c r="HW41" s="55">
        <v>44958</v>
      </c>
      <c r="HX41" s="55">
        <v>44986</v>
      </c>
      <c r="HY41" s="55">
        <v>45017</v>
      </c>
      <c r="HZ41" s="55">
        <v>45047</v>
      </c>
      <c r="IA41" s="55">
        <v>45078</v>
      </c>
      <c r="IB41" s="55">
        <v>45108</v>
      </c>
      <c r="IC41" s="55">
        <v>45139</v>
      </c>
      <c r="ID41" s="55">
        <v>45170</v>
      </c>
      <c r="IE41" s="55">
        <v>45200</v>
      </c>
      <c r="IF41" s="55">
        <v>45231</v>
      </c>
      <c r="IG41" s="55">
        <v>45261</v>
      </c>
      <c r="IH41" s="55">
        <v>45292</v>
      </c>
      <c r="II41" s="55">
        <v>45323</v>
      </c>
      <c r="IJ41" s="55">
        <v>45352</v>
      </c>
      <c r="IK41" s="55">
        <v>45383</v>
      </c>
      <c r="IL41" s="55">
        <v>45413</v>
      </c>
      <c r="IM41" s="55">
        <v>45444</v>
      </c>
      <c r="IN41" s="55">
        <v>45474</v>
      </c>
      <c r="IO41" s="55">
        <v>45505</v>
      </c>
      <c r="IP41" s="55">
        <v>45536</v>
      </c>
      <c r="IQ41" s="55">
        <v>45566</v>
      </c>
      <c r="IR41" s="55">
        <v>45597</v>
      </c>
      <c r="IS41" s="55">
        <v>45627</v>
      </c>
      <c r="IT41" s="55">
        <v>45658</v>
      </c>
      <c r="IU41" s="55">
        <v>45689</v>
      </c>
      <c r="IV41" s="55">
        <v>45717</v>
      </c>
      <c r="IW41" s="55">
        <v>45748</v>
      </c>
      <c r="IX41" s="55">
        <v>45778</v>
      </c>
      <c r="IY41" s="55">
        <v>45809</v>
      </c>
      <c r="IZ41" s="55">
        <v>45839</v>
      </c>
      <c r="JA41" s="55">
        <v>45870</v>
      </c>
      <c r="JB41" s="55">
        <v>45901</v>
      </c>
      <c r="JC41" s="55">
        <v>45931</v>
      </c>
      <c r="JD41" s="55">
        <v>45962</v>
      </c>
    </row>
    <row r="42" spans="1:271" ht="15.6" hidden="1" x14ac:dyDescent="0.3">
      <c r="EM42" t="s">
        <v>86</v>
      </c>
      <c r="EN42" s="51">
        <v>319</v>
      </c>
      <c r="EO42" s="51">
        <v>327.8</v>
      </c>
      <c r="EP42" s="51">
        <v>326.3</v>
      </c>
      <c r="EQ42" s="51">
        <v>328.5</v>
      </c>
      <c r="ER42" s="51">
        <v>317.3</v>
      </c>
      <c r="ES42" s="51">
        <v>322.89999999999998</v>
      </c>
      <c r="ET42" s="51">
        <v>330.7</v>
      </c>
      <c r="EU42" s="51">
        <v>354.9</v>
      </c>
      <c r="EV42" s="51">
        <v>367.4</v>
      </c>
      <c r="EW42" s="51">
        <v>366.3</v>
      </c>
      <c r="EX42" s="51">
        <v>363.7</v>
      </c>
      <c r="EY42" s="51">
        <v>367</v>
      </c>
      <c r="EZ42" s="51">
        <v>360.9</v>
      </c>
      <c r="FA42" s="51">
        <v>378.8</v>
      </c>
      <c r="FB42" s="51">
        <v>380.8</v>
      </c>
      <c r="FC42" s="51">
        <v>377.7</v>
      </c>
      <c r="FD42" s="51">
        <v>366</v>
      </c>
      <c r="FE42" s="51">
        <v>371.7</v>
      </c>
      <c r="FF42" s="51">
        <v>392.3</v>
      </c>
      <c r="FG42" s="51">
        <v>407.9</v>
      </c>
      <c r="FH42" s="52">
        <v>408.9</v>
      </c>
      <c r="FI42" s="51">
        <v>405</v>
      </c>
      <c r="FJ42" s="51">
        <v>403</v>
      </c>
      <c r="FK42" s="51">
        <v>413.6</v>
      </c>
      <c r="FL42" s="51">
        <v>424.8</v>
      </c>
      <c r="FM42" s="52">
        <v>422.6</v>
      </c>
      <c r="FN42" s="51">
        <v>424.1</v>
      </c>
      <c r="FO42" s="51">
        <v>448</v>
      </c>
      <c r="FP42" s="51">
        <v>447.7</v>
      </c>
      <c r="FQ42" s="51">
        <v>445.9</v>
      </c>
      <c r="FR42" s="51">
        <v>441.9</v>
      </c>
      <c r="FS42" s="51">
        <v>468.7</v>
      </c>
      <c r="FT42" s="53">
        <v>476.5</v>
      </c>
      <c r="FU42" s="54">
        <v>475</v>
      </c>
      <c r="FV42" s="54">
        <v>452.2</v>
      </c>
      <c r="FW42">
        <v>457.3</v>
      </c>
      <c r="FX42">
        <v>468.7</v>
      </c>
      <c r="FY42">
        <v>478.5</v>
      </c>
      <c r="FZ42">
        <v>478.9</v>
      </c>
      <c r="GA42">
        <v>473.5</v>
      </c>
      <c r="GB42" s="12">
        <v>465</v>
      </c>
      <c r="GC42" s="12">
        <v>464.2</v>
      </c>
      <c r="GD42">
        <v>468.3</v>
      </c>
      <c r="GE42">
        <v>484.3</v>
      </c>
      <c r="GF42">
        <v>492.9</v>
      </c>
      <c r="GG42">
        <v>491.8</v>
      </c>
      <c r="GH42">
        <v>490.8</v>
      </c>
      <c r="GI42">
        <v>489.3</v>
      </c>
      <c r="GJ42">
        <v>489.5</v>
      </c>
      <c r="GK42">
        <v>487.4</v>
      </c>
      <c r="GL42">
        <v>482.9</v>
      </c>
      <c r="GM42">
        <v>479.8</v>
      </c>
      <c r="GN42">
        <v>457.5</v>
      </c>
      <c r="GO42">
        <v>475.1</v>
      </c>
      <c r="GP42">
        <v>489.6</v>
      </c>
      <c r="GQ42">
        <v>543.79999999999995</v>
      </c>
      <c r="GR42">
        <v>555.9</v>
      </c>
      <c r="GS42">
        <v>556.1</v>
      </c>
      <c r="GT42">
        <v>576.5</v>
      </c>
      <c r="GU42">
        <v>581.6</v>
      </c>
      <c r="GV42">
        <v>590.20000000000005</v>
      </c>
      <c r="GW42">
        <v>675.6</v>
      </c>
      <c r="GX42">
        <v>705.3</v>
      </c>
      <c r="GY42">
        <v>692.4</v>
      </c>
      <c r="GZ42">
        <v>685.7</v>
      </c>
      <c r="HA42">
        <v>679.7</v>
      </c>
      <c r="HB42">
        <v>689.5</v>
      </c>
      <c r="HC42">
        <v>715.2</v>
      </c>
      <c r="HD42">
        <v>704.8</v>
      </c>
      <c r="HE42">
        <v>751.7</v>
      </c>
      <c r="HF42">
        <v>757</v>
      </c>
      <c r="HG42">
        <v>757</v>
      </c>
      <c r="HH42">
        <v>783.9</v>
      </c>
      <c r="HI42">
        <v>817.5</v>
      </c>
      <c r="HJ42">
        <v>856.1</v>
      </c>
      <c r="HK42">
        <v>867.3</v>
      </c>
      <c r="HL42">
        <v>861.4</v>
      </c>
      <c r="HM42" s="12">
        <v>884</v>
      </c>
      <c r="HN42">
        <v>880.4</v>
      </c>
      <c r="HO42">
        <v>871.2</v>
      </c>
      <c r="HP42">
        <v>884.8</v>
      </c>
      <c r="HQ42" s="12">
        <v>871</v>
      </c>
      <c r="HR42">
        <v>895.3</v>
      </c>
      <c r="HS42" s="12">
        <v>877</v>
      </c>
      <c r="HT42">
        <v>866.2</v>
      </c>
      <c r="HU42" s="12">
        <v>868.9</v>
      </c>
      <c r="HV42">
        <v>911.1</v>
      </c>
      <c r="HW42" s="12">
        <v>911.2</v>
      </c>
      <c r="HX42">
        <v>883.7</v>
      </c>
      <c r="HY42" s="12">
        <v>860.5</v>
      </c>
      <c r="HZ42">
        <v>864.8</v>
      </c>
      <c r="IA42" s="12">
        <v>921.4</v>
      </c>
      <c r="IB42">
        <v>945.2</v>
      </c>
      <c r="IC42" s="12">
        <v>920</v>
      </c>
      <c r="ID42">
        <v>886.1</v>
      </c>
      <c r="IE42" s="12">
        <v>891.2</v>
      </c>
      <c r="IF42">
        <v>892</v>
      </c>
      <c r="IG42" s="12">
        <v>901.7</v>
      </c>
      <c r="IH42">
        <v>894.7</v>
      </c>
      <c r="II42" s="12">
        <v>891.4</v>
      </c>
      <c r="IJ42">
        <v>868.7</v>
      </c>
      <c r="IK42" s="12">
        <v>904.8</v>
      </c>
      <c r="IL42">
        <v>893</v>
      </c>
      <c r="IM42" s="12">
        <v>924.3</v>
      </c>
      <c r="IN42">
        <v>909.1</v>
      </c>
      <c r="IO42" s="12">
        <v>905.5</v>
      </c>
      <c r="IP42">
        <v>887.4</v>
      </c>
      <c r="IQ42">
        <v>898.2</v>
      </c>
      <c r="IR42">
        <v>892.2</v>
      </c>
      <c r="IS42">
        <v>889.1</v>
      </c>
      <c r="IT42" s="12">
        <v>878</v>
      </c>
      <c r="IU42">
        <v>865.4</v>
      </c>
      <c r="IV42">
        <v>842.6</v>
      </c>
      <c r="IW42">
        <v>867.6</v>
      </c>
      <c r="IX42">
        <v>871.5</v>
      </c>
      <c r="IY42">
        <v>925.1</v>
      </c>
      <c r="IZ42">
        <v>921</v>
      </c>
      <c r="JA42">
        <v>921.1</v>
      </c>
      <c r="JB42">
        <v>897.2</v>
      </c>
      <c r="JC42">
        <v>939.5</v>
      </c>
      <c r="JD42">
        <v>940.3</v>
      </c>
    </row>
    <row r="43" spans="1:271" ht="15.6" hidden="1" x14ac:dyDescent="0.3">
      <c r="EM43" t="s">
        <v>121</v>
      </c>
      <c r="EN43" s="52">
        <v>8.9</v>
      </c>
      <c r="EO43" s="52">
        <v>8.9</v>
      </c>
      <c r="EP43" s="52">
        <v>8.8000000000000007</v>
      </c>
      <c r="EQ43" s="52">
        <v>7.1</v>
      </c>
      <c r="ER43" s="52">
        <v>6.7</v>
      </c>
      <c r="ES43" s="52">
        <v>6.7</v>
      </c>
      <c r="ET43" s="52">
        <v>6.8</v>
      </c>
      <c r="EU43" s="52">
        <v>7.2</v>
      </c>
      <c r="EV43" s="52">
        <v>7.4</v>
      </c>
      <c r="EW43" s="52">
        <v>7.2</v>
      </c>
      <c r="EX43" s="52">
        <v>6.9</v>
      </c>
      <c r="EY43" s="52">
        <v>7</v>
      </c>
      <c r="EZ43" s="52">
        <v>6.7</v>
      </c>
      <c r="FA43" s="52">
        <v>7.1</v>
      </c>
      <c r="FB43" s="52">
        <v>7.1</v>
      </c>
      <c r="FC43" s="52">
        <v>6.9</v>
      </c>
      <c r="FD43" s="51">
        <v>6.7</v>
      </c>
      <c r="FE43" s="52">
        <v>6.7</v>
      </c>
      <c r="FF43" s="52">
        <v>7.1</v>
      </c>
      <c r="FG43" s="52">
        <v>7.5</v>
      </c>
      <c r="FH43" s="52">
        <v>7.5</v>
      </c>
      <c r="FI43" s="52">
        <v>7.4</v>
      </c>
      <c r="FJ43" s="51">
        <v>7.3</v>
      </c>
      <c r="FK43" s="52">
        <v>7.5</v>
      </c>
      <c r="FL43" s="52">
        <v>7.7</v>
      </c>
      <c r="FM43" s="52">
        <v>7.6</v>
      </c>
      <c r="FN43" s="52">
        <v>7.4</v>
      </c>
      <c r="FO43" s="52">
        <v>7.9</v>
      </c>
      <c r="FP43" s="52">
        <v>7.8</v>
      </c>
      <c r="FQ43" s="51">
        <v>8</v>
      </c>
      <c r="FR43" s="51">
        <v>7.5</v>
      </c>
      <c r="FS43" s="51">
        <v>8</v>
      </c>
      <c r="FT43" s="53">
        <v>8.1999999999999993</v>
      </c>
      <c r="FU43" s="58">
        <v>8.1</v>
      </c>
      <c r="FV43" s="58">
        <v>7.8</v>
      </c>
      <c r="FW43" s="59">
        <v>7.7</v>
      </c>
      <c r="FX43" s="59">
        <v>8.1999999999999993</v>
      </c>
      <c r="FY43" s="53">
        <v>8.4</v>
      </c>
      <c r="FZ43" s="53">
        <v>8.1</v>
      </c>
      <c r="GA43" s="58">
        <v>7.9</v>
      </c>
      <c r="GB43" s="58">
        <v>7.8</v>
      </c>
      <c r="GC43" s="58">
        <v>7.5</v>
      </c>
      <c r="GD43" s="60">
        <v>7.5</v>
      </c>
      <c r="GE43" s="60">
        <v>7.9</v>
      </c>
      <c r="GF43" s="60">
        <v>8</v>
      </c>
      <c r="GG43">
        <v>8.1</v>
      </c>
      <c r="GH43" s="12">
        <v>8</v>
      </c>
      <c r="GI43" s="12">
        <v>7.5</v>
      </c>
      <c r="GJ43">
        <v>7.4</v>
      </c>
      <c r="GK43">
        <v>7.4</v>
      </c>
      <c r="GL43" s="61">
        <v>7.4</v>
      </c>
      <c r="GM43">
        <v>7.4</v>
      </c>
      <c r="GN43">
        <v>7.1</v>
      </c>
      <c r="GO43">
        <v>7.7</v>
      </c>
      <c r="GP43">
        <v>8.1999999999999993</v>
      </c>
      <c r="GQ43">
        <v>9.1999999999999993</v>
      </c>
      <c r="GR43">
        <v>9.5</v>
      </c>
      <c r="GS43" s="61">
        <v>9.6</v>
      </c>
      <c r="GT43" s="12">
        <v>10</v>
      </c>
      <c r="GU43">
        <v>9.6999999999999993</v>
      </c>
      <c r="GV43" s="62">
        <v>10.9</v>
      </c>
      <c r="GW43" s="61">
        <v>12.5</v>
      </c>
      <c r="GX43">
        <v>12</v>
      </c>
      <c r="GY43">
        <v>11.7</v>
      </c>
      <c r="GZ43">
        <v>12.2</v>
      </c>
      <c r="HA43">
        <v>11.9</v>
      </c>
      <c r="HB43">
        <v>14.7</v>
      </c>
      <c r="HC43">
        <v>11.8</v>
      </c>
      <c r="HD43">
        <v>11.5</v>
      </c>
      <c r="HE43">
        <v>12.1</v>
      </c>
      <c r="HF43">
        <v>12.4</v>
      </c>
      <c r="HG43">
        <v>12.8</v>
      </c>
      <c r="HH43">
        <v>13</v>
      </c>
      <c r="HI43">
        <v>13.4</v>
      </c>
      <c r="HJ43">
        <v>13.9</v>
      </c>
      <c r="HK43">
        <v>14.4</v>
      </c>
      <c r="HL43">
        <v>14.5</v>
      </c>
      <c r="HM43">
        <v>14.9</v>
      </c>
      <c r="HN43">
        <v>14.7</v>
      </c>
      <c r="HO43" s="12">
        <v>14.4</v>
      </c>
      <c r="HP43">
        <v>14.4</v>
      </c>
      <c r="HQ43">
        <v>14</v>
      </c>
      <c r="HR43">
        <v>13.7</v>
      </c>
      <c r="HS43">
        <v>13.9</v>
      </c>
      <c r="HT43">
        <v>12.6</v>
      </c>
      <c r="HU43">
        <v>13.4</v>
      </c>
      <c r="HV43">
        <v>12.8</v>
      </c>
      <c r="HW43">
        <v>12.6</v>
      </c>
      <c r="HX43">
        <v>12</v>
      </c>
      <c r="HY43">
        <v>11.4</v>
      </c>
      <c r="HZ43">
        <v>11.5</v>
      </c>
      <c r="IA43" s="12">
        <v>12</v>
      </c>
      <c r="IB43">
        <v>12.3</v>
      </c>
      <c r="IC43">
        <v>11.9</v>
      </c>
      <c r="ID43">
        <v>11.4</v>
      </c>
      <c r="IE43">
        <v>11.4</v>
      </c>
      <c r="IF43">
        <v>11.4</v>
      </c>
      <c r="IG43">
        <v>11.6</v>
      </c>
      <c r="IH43">
        <v>11.5</v>
      </c>
      <c r="II43">
        <v>11.5</v>
      </c>
      <c r="IJ43">
        <v>11.1</v>
      </c>
      <c r="IK43">
        <v>11.6</v>
      </c>
      <c r="IL43">
        <v>11.5</v>
      </c>
      <c r="IM43">
        <v>11.9</v>
      </c>
      <c r="IN43">
        <v>11.5</v>
      </c>
      <c r="IO43">
        <v>10.4</v>
      </c>
      <c r="IP43">
        <v>10.199999999999999</v>
      </c>
      <c r="IQ43">
        <v>10.3</v>
      </c>
      <c r="IR43">
        <v>10.3</v>
      </c>
      <c r="IS43">
        <v>10.199999999999999</v>
      </c>
      <c r="IT43">
        <v>10.1</v>
      </c>
      <c r="IU43">
        <v>9.9</v>
      </c>
      <c r="IV43">
        <v>9.6999999999999993</v>
      </c>
      <c r="IW43">
        <v>10</v>
      </c>
      <c r="IX43" s="12">
        <v>10</v>
      </c>
      <c r="IY43">
        <v>10.6</v>
      </c>
      <c r="IZ43">
        <v>10.7</v>
      </c>
      <c r="JA43">
        <v>10.7</v>
      </c>
      <c r="JB43">
        <v>10.4</v>
      </c>
      <c r="JC43">
        <v>10.9</v>
      </c>
    </row>
    <row r="44" spans="1:271" ht="15.6" hidden="1" x14ac:dyDescent="0.3">
      <c r="EN44" s="52">
        <v>12.4</v>
      </c>
      <c r="EO44" s="52">
        <v>12.5</v>
      </c>
      <c r="EP44" s="52">
        <v>12.6</v>
      </c>
      <c r="EQ44" s="52">
        <v>9.6999999999999993</v>
      </c>
      <c r="ER44" s="52">
        <v>9.3000000000000007</v>
      </c>
      <c r="ES44" s="52">
        <v>9.4</v>
      </c>
      <c r="ET44" s="52">
        <v>9.5</v>
      </c>
      <c r="EU44" s="52">
        <v>10.1</v>
      </c>
      <c r="EV44" s="52">
        <v>10.4</v>
      </c>
      <c r="EW44" s="52">
        <v>10.199999999999999</v>
      </c>
      <c r="EX44" s="52">
        <v>10</v>
      </c>
      <c r="EY44" s="52">
        <v>10</v>
      </c>
      <c r="EZ44" s="52">
        <v>9.6999999999999993</v>
      </c>
      <c r="FA44" s="52">
        <v>10.1</v>
      </c>
      <c r="FB44" s="52">
        <v>10.1</v>
      </c>
      <c r="FC44" s="52">
        <v>9.8000000000000007</v>
      </c>
      <c r="FD44" s="52">
        <v>9.4</v>
      </c>
      <c r="FE44" s="52">
        <v>9.4</v>
      </c>
      <c r="FF44" s="52">
        <v>9.8000000000000007</v>
      </c>
      <c r="FG44" s="52">
        <v>10.1</v>
      </c>
      <c r="FH44" s="52">
        <v>10</v>
      </c>
      <c r="FI44" s="52">
        <v>9.9</v>
      </c>
      <c r="FJ44" s="52">
        <v>9.6999999999999993</v>
      </c>
      <c r="FK44" s="51">
        <v>9.9</v>
      </c>
      <c r="FL44" s="52">
        <v>10.1</v>
      </c>
      <c r="FM44" s="51">
        <v>9.9</v>
      </c>
      <c r="FN44" s="52">
        <v>9.9</v>
      </c>
      <c r="FO44" s="52">
        <v>10.3</v>
      </c>
      <c r="FP44" s="51">
        <v>10.199999999999999</v>
      </c>
      <c r="FQ44" s="51">
        <v>10.1</v>
      </c>
      <c r="FR44" s="52">
        <v>9.9</v>
      </c>
      <c r="FS44" s="52">
        <v>10.4</v>
      </c>
      <c r="FT44" s="58">
        <v>10.5</v>
      </c>
      <c r="FU44" s="53">
        <v>10.3</v>
      </c>
      <c r="FV44" s="58">
        <v>9.6999999999999993</v>
      </c>
      <c r="FW44" s="59">
        <v>9.6999999999999993</v>
      </c>
      <c r="FX44" s="59">
        <v>9.9</v>
      </c>
      <c r="FY44" s="59">
        <v>10</v>
      </c>
      <c r="FZ44" s="72">
        <v>9.9</v>
      </c>
      <c r="GA44" s="72">
        <v>9.6</v>
      </c>
      <c r="GB44" s="59">
        <v>9.4</v>
      </c>
      <c r="GC44" s="59">
        <v>9.3000000000000007</v>
      </c>
      <c r="GD44" s="73">
        <v>9.3000000000000007</v>
      </c>
      <c r="GE44" s="73">
        <v>9.6</v>
      </c>
      <c r="GF44" s="73">
        <v>9.6999999999999993</v>
      </c>
      <c r="GG44">
        <v>9.6</v>
      </c>
      <c r="GH44">
        <v>9.6</v>
      </c>
      <c r="GI44">
        <v>9.5</v>
      </c>
      <c r="GJ44">
        <v>9.6</v>
      </c>
      <c r="GK44">
        <v>9.5</v>
      </c>
      <c r="GL44">
        <v>9.4</v>
      </c>
      <c r="GM44">
        <v>9.4</v>
      </c>
      <c r="GN44" s="12">
        <v>9</v>
      </c>
      <c r="GO44">
        <v>9.4</v>
      </c>
      <c r="GP44">
        <v>9.6999999999999993</v>
      </c>
      <c r="GQ44">
        <v>10.8</v>
      </c>
      <c r="GR44">
        <v>9.6</v>
      </c>
      <c r="GS44">
        <v>9.6999999999999993</v>
      </c>
      <c r="GT44">
        <v>10.1</v>
      </c>
      <c r="GU44">
        <v>9.8000000000000007</v>
      </c>
      <c r="GV44" s="62">
        <v>9</v>
      </c>
      <c r="GW44">
        <v>14.1</v>
      </c>
      <c r="GX44">
        <v>14.8</v>
      </c>
      <c r="GY44">
        <v>14.6</v>
      </c>
      <c r="GZ44">
        <v>14.6</v>
      </c>
      <c r="HA44">
        <v>14.5</v>
      </c>
      <c r="HB44">
        <v>11.6</v>
      </c>
      <c r="HC44">
        <v>15.3</v>
      </c>
      <c r="HD44">
        <v>15</v>
      </c>
      <c r="HE44">
        <v>15.9</v>
      </c>
      <c r="HF44">
        <v>15.9</v>
      </c>
      <c r="HG44" s="62">
        <v>9.3000000000000007</v>
      </c>
      <c r="HH44">
        <v>16.100000000000001</v>
      </c>
      <c r="HI44">
        <v>16.5</v>
      </c>
      <c r="HJ44">
        <v>17</v>
      </c>
      <c r="HK44">
        <v>17.100000000000001</v>
      </c>
      <c r="HL44">
        <v>16.8</v>
      </c>
      <c r="HM44">
        <v>17.100000000000001</v>
      </c>
      <c r="HN44">
        <v>16.8</v>
      </c>
      <c r="HO44">
        <v>16.399999999999999</v>
      </c>
      <c r="HP44">
        <v>16.399999999999999</v>
      </c>
      <c r="HQ44">
        <v>16</v>
      </c>
      <c r="HR44">
        <v>16.2</v>
      </c>
      <c r="HS44">
        <v>15.6</v>
      </c>
      <c r="HT44">
        <v>15.2</v>
      </c>
      <c r="HU44">
        <v>15</v>
      </c>
      <c r="HV44">
        <v>15.4</v>
      </c>
      <c r="HW44">
        <v>15</v>
      </c>
      <c r="HX44">
        <v>14.2</v>
      </c>
      <c r="HY44">
        <v>13.5</v>
      </c>
      <c r="HZ44">
        <v>13.2</v>
      </c>
      <c r="IA44">
        <v>13.8</v>
      </c>
      <c r="IB44">
        <v>13.8</v>
      </c>
      <c r="IC44">
        <v>13.2</v>
      </c>
      <c r="ID44">
        <v>12.4</v>
      </c>
      <c r="IE44">
        <v>12.3</v>
      </c>
      <c r="IF44">
        <v>12.1</v>
      </c>
      <c r="IG44">
        <v>12</v>
      </c>
      <c r="IH44">
        <v>11.8</v>
      </c>
      <c r="II44">
        <v>11.6</v>
      </c>
      <c r="IJ44">
        <v>11.2</v>
      </c>
      <c r="IK44">
        <v>11.6</v>
      </c>
      <c r="IL44">
        <v>11.4</v>
      </c>
      <c r="IM44">
        <v>11.7</v>
      </c>
      <c r="IN44">
        <v>11.5</v>
      </c>
      <c r="IO44">
        <v>11.4</v>
      </c>
      <c r="IP44">
        <v>11.1</v>
      </c>
      <c r="IQ44">
        <v>11.2</v>
      </c>
      <c r="IR44">
        <v>11.1</v>
      </c>
      <c r="IS44">
        <v>11</v>
      </c>
      <c r="IT44">
        <v>10.8</v>
      </c>
      <c r="IU44">
        <v>10.6</v>
      </c>
      <c r="IV44">
        <v>10.199999999999999</v>
      </c>
      <c r="IW44">
        <v>10.5</v>
      </c>
      <c r="IX44">
        <v>10.5</v>
      </c>
      <c r="IY44">
        <v>11</v>
      </c>
      <c r="IZ44">
        <v>10.9</v>
      </c>
      <c r="JA44">
        <v>10.8</v>
      </c>
      <c r="JB44">
        <v>10.4</v>
      </c>
      <c r="JC44">
        <v>10.9</v>
      </c>
      <c r="JD44">
        <v>10.9</v>
      </c>
    </row>
    <row r="52" spans="251:281" ht="16.2" thickBot="1" x14ac:dyDescent="0.35">
      <c r="IQ52" t="s">
        <v>160</v>
      </c>
      <c r="IR52" s="55">
        <v>45292</v>
      </c>
      <c r="IS52" s="55">
        <v>45323</v>
      </c>
      <c r="IT52" s="55">
        <v>45352</v>
      </c>
      <c r="IU52" s="55">
        <v>45383</v>
      </c>
      <c r="IV52" s="55">
        <v>45413</v>
      </c>
      <c r="IW52" s="55">
        <v>45444</v>
      </c>
      <c r="IX52" s="55">
        <v>45474</v>
      </c>
      <c r="IY52" s="55">
        <v>45505</v>
      </c>
      <c r="IZ52" s="55">
        <v>45536</v>
      </c>
      <c r="JA52" s="55">
        <v>45566</v>
      </c>
      <c r="JB52" s="55">
        <v>45597</v>
      </c>
      <c r="JC52" s="55">
        <v>45627</v>
      </c>
      <c r="JD52" s="55">
        <v>45658</v>
      </c>
      <c r="JE52" s="55">
        <v>45689</v>
      </c>
      <c r="JF52" s="55">
        <v>45717</v>
      </c>
      <c r="JG52" s="55">
        <v>45748</v>
      </c>
      <c r="JH52" s="55">
        <v>45778</v>
      </c>
      <c r="JI52" s="55">
        <v>45809</v>
      </c>
      <c r="JJ52" s="55">
        <v>45839</v>
      </c>
      <c r="JK52" s="55">
        <v>45870</v>
      </c>
      <c r="JL52" s="55">
        <v>45901</v>
      </c>
      <c r="JM52" s="55">
        <v>45931</v>
      </c>
      <c r="JN52" s="55">
        <v>45962</v>
      </c>
      <c r="JO52" s="55">
        <v>45992</v>
      </c>
      <c r="JP52" s="55">
        <v>46023</v>
      </c>
      <c r="JQ52" s="55">
        <v>46054</v>
      </c>
      <c r="JR52" s="55">
        <v>46082</v>
      </c>
      <c r="JS52" s="55">
        <v>46113</v>
      </c>
      <c r="JT52" s="55">
        <v>46143</v>
      </c>
      <c r="JU52" s="55">
        <v>46174</v>
      </c>
    </row>
    <row r="53" spans="251:281" x14ac:dyDescent="0.3">
      <c r="IQ53" t="s">
        <v>161</v>
      </c>
      <c r="IR53" s="118">
        <v>8.4366750866370346</v>
      </c>
      <c r="IS53" s="118">
        <v>6.9432166905805115</v>
      </c>
      <c r="IT53" s="118">
        <v>7.568981592694235</v>
      </c>
      <c r="IU53" s="118">
        <v>7.215980592047111</v>
      </c>
      <c r="IV53" s="118">
        <v>6.6455161968700827</v>
      </c>
      <c r="IW53" s="118">
        <v>6.3903632230696061</v>
      </c>
      <c r="IX53" s="118">
        <v>4.1496082806696588</v>
      </c>
      <c r="IY53" s="118">
        <v>2.0865515630528186</v>
      </c>
      <c r="IZ53" s="118">
        <v>1.0487266050652089</v>
      </c>
      <c r="JA53" s="118">
        <v>0.35022944120872701</v>
      </c>
      <c r="JB53" s="118">
        <v>4.9347603370220705</v>
      </c>
      <c r="JC53" s="118">
        <v>6.0373791687408085</v>
      </c>
      <c r="JD53" s="118">
        <v>5.4156989381062282</v>
      </c>
      <c r="JE53" s="118">
        <v>4.0067297634374999</v>
      </c>
      <c r="JF53" s="118">
        <v>3.0902829502653217</v>
      </c>
      <c r="JG53" s="118">
        <v>2.1207709653357609</v>
      </c>
      <c r="JH53" s="118">
        <v>0.8971696737206214</v>
      </c>
      <c r="JI53" s="118">
        <v>1.0367858928119977</v>
      </c>
      <c r="JJ53" s="118">
        <v>1.8062297250224901</v>
      </c>
      <c r="JK53" s="118">
        <v>2.4703699433658244</v>
      </c>
      <c r="JL53" s="118">
        <v>3.4419387644989419</v>
      </c>
      <c r="JM53" s="118">
        <v>4.0103627518651042</v>
      </c>
      <c r="JN53" s="118">
        <v>3.4802784222737859</v>
      </c>
      <c r="JO53" s="118">
        <v>3.0443192610505765</v>
      </c>
      <c r="JP53" s="118">
        <v>1.9887808633507253</v>
      </c>
      <c r="JQ53" s="118">
        <v>2.4651753185967795</v>
      </c>
      <c r="JR53" s="118">
        <v>4.5288534423554072</v>
      </c>
      <c r="JS53" s="118">
        <v>5.4774851302539451</v>
      </c>
      <c r="JT53" s="118">
        <v>7.9438825471977781</v>
      </c>
      <c r="JU53" s="118">
        <v>7.1063670507451659</v>
      </c>
    </row>
    <row r="54" spans="251:281" ht="15.6" x14ac:dyDescent="0.3">
      <c r="IQ54" t="s">
        <v>162</v>
      </c>
      <c r="IR54" s="112">
        <v>126.59030090329085</v>
      </c>
      <c r="IS54" s="113">
        <v>124.79980657149777</v>
      </c>
      <c r="IT54" s="114">
        <v>125.18665388280161</v>
      </c>
      <c r="IU54" s="114">
        <v>126.72397875814751</v>
      </c>
      <c r="IV54" s="114">
        <v>129.18648413242926</v>
      </c>
      <c r="IW54" s="114">
        <v>132.41932793699749</v>
      </c>
      <c r="IX54" s="114">
        <v>128.84887131203766</v>
      </c>
      <c r="IY54" s="115">
        <v>127.01434047644291</v>
      </c>
      <c r="IZ54" s="114">
        <v>126.22508260386849</v>
      </c>
      <c r="JA54" s="114">
        <v>125.46826734114039</v>
      </c>
      <c r="JB54" s="114">
        <v>129.30000000000001</v>
      </c>
      <c r="JC54" s="114">
        <v>132.85545577061853</v>
      </c>
      <c r="JD54" s="114">
        <v>133.44605048505585</v>
      </c>
      <c r="JE54" s="116">
        <v>129.8001975661104</v>
      </c>
      <c r="JF54" s="116">
        <v>129.05527570374949</v>
      </c>
      <c r="JG54" s="116">
        <v>129.41150410576856</v>
      </c>
      <c r="JH54" s="116">
        <v>130.34550609061131</v>
      </c>
      <c r="JI54" s="116">
        <v>133.79223284840472</v>
      </c>
      <c r="JJ54" s="116">
        <v>131.17617792603167</v>
      </c>
      <c r="JK54" s="116">
        <v>130.15206456733728</v>
      </c>
      <c r="JL54" s="116">
        <v>130.56967265253184</v>
      </c>
      <c r="JM54" s="117">
        <v>130.5</v>
      </c>
      <c r="JN54" s="117">
        <v>133.80000000000001</v>
      </c>
      <c r="JO54" s="117">
        <v>136.9</v>
      </c>
      <c r="JP54" s="117">
        <v>136.1</v>
      </c>
      <c r="JQ54" s="117">
        <v>133</v>
      </c>
      <c r="JR54" s="117">
        <v>134.9</v>
      </c>
      <c r="JS54" s="117">
        <v>136.5</v>
      </c>
      <c r="JT54" s="117">
        <v>140.69999999999999</v>
      </c>
      <c r="JU54" s="84">
        <v>143.30000000000001</v>
      </c>
    </row>
    <row r="55" spans="251:281" x14ac:dyDescent="0.3">
      <c r="IQ55" t="s">
        <v>156</v>
      </c>
      <c r="IR55" s="86">
        <v>4.3174636754148343</v>
      </c>
      <c r="IS55" s="86">
        <v>3.5451959819248202</v>
      </c>
      <c r="IT55" s="86">
        <v>3.4295747101066976</v>
      </c>
      <c r="IU55" s="86">
        <v>3.3590716959059685</v>
      </c>
      <c r="IV55" s="86">
        <v>3.2089233227006186</v>
      </c>
      <c r="IW55" s="86">
        <v>1.8022251822946478</v>
      </c>
      <c r="IX55" s="86">
        <v>1.252310392732614</v>
      </c>
      <c r="IY55" s="86">
        <v>1.3267700548199812</v>
      </c>
      <c r="IZ55" s="86">
        <v>0.59244026095761626</v>
      </c>
      <c r="JA55" s="86">
        <v>-6.8454805358653115E-2</v>
      </c>
      <c r="JB55" s="86">
        <v>1.0765126195342312</v>
      </c>
      <c r="JC55" s="86">
        <v>5.2559271673344288</v>
      </c>
      <c r="JD55" s="86">
        <v>3.4734343561925396</v>
      </c>
      <c r="JE55" s="86">
        <v>3.2095629613392296</v>
      </c>
      <c r="JF55" s="86">
        <v>3.0624273823622872</v>
      </c>
      <c r="JG55" s="86">
        <v>3.1564765573454778</v>
      </c>
      <c r="JH55" s="86">
        <v>3.5873873620833718</v>
      </c>
      <c r="JI55" s="86">
        <v>3.0071875649395396</v>
      </c>
      <c r="JJ55" s="86">
        <v>3.82586051424747</v>
      </c>
      <c r="JK55" s="86">
        <v>3.9352073900426054</v>
      </c>
      <c r="JL55" s="86">
        <v>3.4811705908746937</v>
      </c>
      <c r="JM55" s="86">
        <v>4.0449951134574391</v>
      </c>
      <c r="JN55" s="86">
        <v>7.9905069890777725</v>
      </c>
      <c r="JO55" s="86">
        <v>5.5072193071911357</v>
      </c>
      <c r="JP55" s="86">
        <v>6.0018307641906965</v>
      </c>
      <c r="JQ55" s="86">
        <v>4.6893421340141295</v>
      </c>
      <c r="JR55" s="86">
        <v>6.9132957168584586</v>
      </c>
      <c r="JS55" s="86">
        <v>8.8816670250301719</v>
      </c>
      <c r="JT55" s="86">
        <v>11.718529318103021</v>
      </c>
      <c r="JU55" s="86">
        <v>13.128695692556525</v>
      </c>
    </row>
    <row r="56" spans="251:281" x14ac:dyDescent="0.3">
      <c r="IQ56" t="s">
        <v>163</v>
      </c>
      <c r="IR56" s="86">
        <v>12.264309396149686</v>
      </c>
      <c r="IS56" s="86">
        <v>10.177439143917422</v>
      </c>
      <c r="IT56" s="86">
        <v>11.560311861991579</v>
      </c>
      <c r="IU56" s="86">
        <v>10.842691476660416</v>
      </c>
      <c r="IV56" s="86">
        <v>3.8394844450087229</v>
      </c>
      <c r="IW56" s="86">
        <v>10.473871065427032</v>
      </c>
      <c r="IX56" s="86">
        <v>6.751901417341033</v>
      </c>
      <c r="IY56" s="86">
        <v>2.7662527249190161</v>
      </c>
      <c r="IZ56" s="86">
        <v>1.4639716777639311</v>
      </c>
      <c r="JA56" s="86">
        <v>0.73042924145370058</v>
      </c>
      <c r="JB56" s="86">
        <v>6.9271628972579213</v>
      </c>
      <c r="JC56" s="86">
        <v>6.731822018373701</v>
      </c>
      <c r="JD56" s="86">
        <v>7.0927259495314088</v>
      </c>
      <c r="JE56" s="86">
        <v>4.730658585401315</v>
      </c>
      <c r="JF56" s="86">
        <v>3.1151845119574029</v>
      </c>
      <c r="JG56" s="86">
        <v>1.2126338748632115</v>
      </c>
      <c r="JH56" s="86">
        <v>4.2245164054879325</v>
      </c>
      <c r="JI56" s="86">
        <v>-0.57924397872938238</v>
      </c>
      <c r="JJ56" s="86">
        <v>8.5691316934255468E-2</v>
      </c>
      <c r="JK56" s="86">
        <v>1.1782810155501533</v>
      </c>
      <c r="JL56" s="86">
        <v>3.4065423698478536</v>
      </c>
      <c r="JM56" s="86">
        <v>3.9089282512687396</v>
      </c>
      <c r="JN56" s="86">
        <v>1.3057063535765412</v>
      </c>
      <c r="JO56" s="86">
        <v>0.91336928526017935</v>
      </c>
      <c r="JP56" s="86">
        <v>-2.0550277261371708</v>
      </c>
      <c r="JQ56" s="86">
        <v>0.46816510318059557</v>
      </c>
      <c r="JR56" s="86">
        <v>2.4813006841841956</v>
      </c>
      <c r="JS56" s="86">
        <v>2.4929002163776692</v>
      </c>
      <c r="JT56" s="86">
        <v>4.4928755942230225</v>
      </c>
      <c r="JU56" s="86">
        <v>1.9408768701447032</v>
      </c>
    </row>
  </sheetData>
  <dataValidations count="1">
    <dataValidation type="textLength" errorStyle="information" allowBlank="1" showInputMessage="1" error="XLBVal:6=0_x000d__x000a_" sqref="DD3:DE37" xr:uid="{1FD1E92C-CEF5-4549-B998-2E40DBDB143C}">
      <formula1>0</formula1>
      <formula2>10000</formula2>
    </dataValidation>
  </dataValidations>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Consolidation</vt:lpstr>
      <vt:lpstr>Data</vt:lpstr>
      <vt:lpstr>Monetary Policy Data</vt:lpstr>
      <vt:lpstr>GDP</vt:lpstr>
      <vt:lpstr>Monthly indicators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Antonio Moeaki</dc:creator>
  <cp:lastModifiedBy>Antonio Moeaki</cp:lastModifiedBy>
  <dcterms:created xsi:type="dcterms:W3CDTF">2026-01-06T21:20:46Z</dcterms:created>
  <dcterms:modified xsi:type="dcterms:W3CDTF">2026-07-30T03:33:39Z</dcterms:modified>
</cp:coreProperties>
</file>