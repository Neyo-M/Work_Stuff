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amoeaki\Downloads\"/>
    </mc:Choice>
  </mc:AlternateContent>
  <xr:revisionPtr revIDLastSave="0" documentId="8_{E6D537BF-2953-4BBE-9456-026F0A746159}" xr6:coauthVersionLast="47" xr6:coauthVersionMax="47" xr10:uidLastSave="{00000000-0000-0000-0000-000000000000}"/>
  <workbookProtection lockStructure="1"/>
  <bookViews>
    <workbookView xWindow="-108" yWindow="-108" windowWidth="23256" windowHeight="13896" xr2:uid="{00000000-000D-0000-FFFF-FFFF00000000}"/>
  </bookViews>
  <sheets>
    <sheet name="DQAF_Input" sheetId="1" r:id="rId1"/>
    <sheet name="__lists" sheetId="2" state="hidden" r:id="rId2"/>
    <sheet name="__key" sheetId="3" state="hidden" r:id="rId3"/>
    <sheet name="__weights_indicator" sheetId="4" state="hidden" r:id="rId4"/>
    <sheet name="__weights_element" sheetId="5" state="hidden" r:id="rId5"/>
    <sheet name="__rbp_p" sheetId="6" state="hidden" r:id="rId6"/>
    <sheet name="Maturity by Indicator" sheetId="7" r:id="rId7"/>
    <sheet name="Maturity by Element" sheetId="8" r:id="rId8"/>
    <sheet name="Maturity by Dimension" sheetId="9" r:id="rId9"/>
    <sheet name="S&amp;C Not Relevant" sheetId="10" r:id="rId10"/>
    <sheet name="Draft Action Plan" sheetId="11" r:id="rId11"/>
  </sheets>
  <calcPr calcId="191028" calcOnSave="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2" i="8" l="1"/>
  <c r="J12" i="8"/>
  <c r="F12" i="8"/>
  <c r="B12" i="8"/>
  <c r="L11" i="8"/>
  <c r="J11" i="8"/>
  <c r="F11" i="8"/>
  <c r="B11" i="8"/>
  <c r="L10" i="8"/>
  <c r="J10" i="8"/>
  <c r="F10" i="8"/>
  <c r="B10" i="8"/>
  <c r="L9" i="8"/>
  <c r="J9" i="8"/>
  <c r="F9" i="8"/>
  <c r="B9" i="8"/>
  <c r="L8" i="8"/>
  <c r="J8" i="8"/>
  <c r="F8" i="8"/>
  <c r="B8" i="8"/>
  <c r="L7" i="8"/>
  <c r="J7" i="8"/>
  <c r="F7" i="8"/>
  <c r="B7" i="8"/>
  <c r="L6" i="8"/>
  <c r="J6" i="8"/>
  <c r="F6" i="8"/>
  <c r="B6" i="8"/>
  <c r="L5" i="8"/>
  <c r="J5" i="8"/>
  <c r="F5" i="8"/>
  <c r="B5" i="8"/>
  <c r="L4" i="8"/>
  <c r="J4" i="8"/>
  <c r="F4" i="8"/>
  <c r="B4" i="8"/>
  <c r="L3" i="8"/>
  <c r="J3" i="8"/>
  <c r="F3" i="8"/>
  <c r="B3" i="8"/>
  <c r="L2" i="8"/>
  <c r="J2" i="8"/>
  <c r="F2" i="8"/>
  <c r="B2" i="8"/>
  <c r="L14" i="7"/>
  <c r="J14" i="7"/>
  <c r="F14" i="7"/>
  <c r="B14" i="7"/>
  <c r="L13" i="7"/>
  <c r="J13" i="7"/>
  <c r="F13" i="7"/>
  <c r="B13" i="7"/>
  <c r="L12" i="7"/>
  <c r="J12" i="7"/>
  <c r="F12" i="7"/>
  <c r="B12" i="7"/>
  <c r="L11" i="7"/>
  <c r="J11" i="7"/>
  <c r="F11" i="7"/>
  <c r="B11" i="7"/>
  <c r="L10" i="7"/>
  <c r="J10" i="7"/>
  <c r="F10" i="7"/>
  <c r="B10" i="7"/>
  <c r="L9" i="7"/>
  <c r="J9" i="7"/>
  <c r="F9" i="7"/>
  <c r="B9" i="7"/>
  <c r="L8" i="7"/>
  <c r="J8" i="7"/>
  <c r="F8" i="7"/>
  <c r="B8" i="7"/>
  <c r="L7" i="7"/>
  <c r="J7" i="7"/>
  <c r="F7" i="7"/>
  <c r="B7" i="7"/>
  <c r="L6" i="7"/>
  <c r="J6" i="7"/>
  <c r="F6" i="7"/>
  <c r="B6" i="7"/>
  <c r="L5" i="7"/>
  <c r="J5" i="7"/>
  <c r="F5" i="7"/>
  <c r="B5" i="7"/>
  <c r="L4" i="7"/>
  <c r="J4" i="7"/>
  <c r="F4" i="7"/>
  <c r="B4" i="7"/>
  <c r="L3" i="7"/>
  <c r="J3" i="7"/>
  <c r="F3" i="7"/>
  <c r="B3" i="7"/>
  <c r="L2" i="7"/>
  <c r="J2" i="7"/>
  <c r="F2" i="7"/>
  <c r="B2" i="7"/>
  <c r="Y129" i="1"/>
  <c r="Z129" i="1" s="1"/>
  <c r="U129" i="1"/>
  <c r="M129" i="1"/>
  <c r="J129" i="1"/>
  <c r="Y128" i="1"/>
  <c r="Z128" i="1" s="1"/>
  <c r="U128" i="1"/>
  <c r="M128" i="1"/>
  <c r="J128" i="1"/>
  <c r="Y127" i="1"/>
  <c r="Z127" i="1" s="1"/>
  <c r="U127" i="1"/>
  <c r="M127" i="1"/>
  <c r="Y126" i="1"/>
  <c r="Z126" i="1" s="1"/>
  <c r="U126" i="1"/>
  <c r="M126" i="1"/>
  <c r="J126" i="1"/>
  <c r="Y125" i="1"/>
  <c r="Z125" i="1" s="1"/>
  <c r="U125" i="1"/>
  <c r="M125" i="1"/>
  <c r="J125" i="1"/>
  <c r="Y124" i="1"/>
  <c r="Z124" i="1" s="1"/>
  <c r="U124" i="1"/>
  <c r="M124" i="1"/>
  <c r="J124" i="1"/>
  <c r="Y123" i="1"/>
  <c r="Z123" i="1" s="1"/>
  <c r="U123" i="1"/>
  <c r="M123" i="1"/>
  <c r="J123" i="1"/>
  <c r="Y122" i="1"/>
  <c r="Z122" i="1" s="1"/>
  <c r="U122" i="1"/>
  <c r="M122" i="1"/>
  <c r="J122" i="1"/>
  <c r="Y120" i="1"/>
  <c r="Z120" i="1" s="1"/>
  <c r="U120" i="1"/>
  <c r="M120" i="1"/>
  <c r="J120" i="1"/>
  <c r="Y119" i="1"/>
  <c r="Z119" i="1" s="1"/>
  <c r="U119" i="1"/>
  <c r="M119" i="1"/>
  <c r="J119" i="1"/>
  <c r="Y118" i="1"/>
  <c r="Z118" i="1" s="1"/>
  <c r="U118" i="1"/>
  <c r="M118" i="1"/>
  <c r="J118" i="1"/>
  <c r="Y117" i="1"/>
  <c r="Z117" i="1" s="1"/>
  <c r="U117" i="1"/>
  <c r="M117" i="1"/>
  <c r="J117" i="1"/>
  <c r="Y116" i="1"/>
  <c r="Z116" i="1" s="1"/>
  <c r="U116" i="1"/>
  <c r="M116" i="1"/>
  <c r="J116" i="1"/>
  <c r="Y115" i="1"/>
  <c r="Z115" i="1" s="1"/>
  <c r="U115" i="1"/>
  <c r="M115" i="1"/>
  <c r="J115" i="1"/>
  <c r="Y114" i="1"/>
  <c r="Z114" i="1" s="1"/>
  <c r="U114" i="1"/>
  <c r="M114" i="1"/>
  <c r="J114" i="1"/>
  <c r="Y112" i="1"/>
  <c r="Z112" i="1" s="1"/>
  <c r="U112" i="1"/>
  <c r="M112" i="1"/>
  <c r="J112" i="1"/>
  <c r="Y111" i="1"/>
  <c r="Z111" i="1" s="1"/>
  <c r="U111" i="1"/>
  <c r="M111" i="1"/>
  <c r="J111" i="1"/>
  <c r="Y110" i="1"/>
  <c r="Z110" i="1" s="1"/>
  <c r="U110" i="1"/>
  <c r="M110" i="1"/>
  <c r="J110" i="1"/>
  <c r="Y109" i="1"/>
  <c r="Z109" i="1" s="1"/>
  <c r="U109" i="1"/>
  <c r="M109" i="1"/>
  <c r="J109" i="1"/>
  <c r="Y108" i="1"/>
  <c r="Z108" i="1" s="1"/>
  <c r="U108" i="1"/>
  <c r="M108" i="1"/>
  <c r="J108" i="1"/>
  <c r="Y107" i="1"/>
  <c r="Z107" i="1" s="1"/>
  <c r="U107" i="1"/>
  <c r="M107" i="1"/>
  <c r="J107" i="1"/>
  <c r="Y106" i="1"/>
  <c r="Z106" i="1" s="1"/>
  <c r="U106" i="1"/>
  <c r="M106" i="1"/>
  <c r="J106" i="1"/>
  <c r="Y105" i="1"/>
  <c r="Z105" i="1" s="1"/>
  <c r="U105" i="1"/>
  <c r="M105" i="1"/>
  <c r="J105" i="1"/>
  <c r="Y104" i="1"/>
  <c r="Z104" i="1" s="1"/>
  <c r="U104" i="1"/>
  <c r="M104" i="1"/>
  <c r="J104" i="1"/>
  <c r="Y103" i="1"/>
  <c r="Z103" i="1" s="1"/>
  <c r="U103" i="1"/>
  <c r="M103" i="1"/>
  <c r="J103" i="1"/>
  <c r="Y102" i="1"/>
  <c r="Z102" i="1" s="1"/>
  <c r="U102" i="1"/>
  <c r="M102" i="1"/>
  <c r="J102" i="1"/>
  <c r="Y101" i="1"/>
  <c r="Z101" i="1" s="1"/>
  <c r="U101" i="1"/>
  <c r="M101" i="1"/>
  <c r="J101" i="1"/>
  <c r="Y100" i="1"/>
  <c r="Z100" i="1" s="1"/>
  <c r="U100" i="1"/>
  <c r="M100" i="1"/>
  <c r="J100" i="1"/>
  <c r="Y99" i="1"/>
  <c r="Z99" i="1" s="1"/>
  <c r="U99" i="1"/>
  <c r="M99" i="1"/>
  <c r="J99" i="1"/>
  <c r="Y98" i="1"/>
  <c r="Z98" i="1" s="1"/>
  <c r="U98" i="1"/>
  <c r="M98" i="1"/>
  <c r="J98" i="1"/>
  <c r="Y96" i="1"/>
  <c r="Z96" i="1" s="1"/>
  <c r="U96" i="1"/>
  <c r="M96" i="1"/>
  <c r="J96" i="1"/>
  <c r="Y95" i="1"/>
  <c r="Z95" i="1" s="1"/>
  <c r="U95" i="1"/>
  <c r="M95" i="1"/>
  <c r="J95" i="1"/>
  <c r="Y94" i="1"/>
  <c r="Z94" i="1" s="1"/>
  <c r="U94" i="1"/>
  <c r="M94" i="1"/>
  <c r="J94" i="1"/>
  <c r="Y92" i="1"/>
  <c r="Z92" i="1" s="1"/>
  <c r="U92" i="1"/>
  <c r="M92" i="1"/>
  <c r="J92" i="1"/>
  <c r="Y91" i="1"/>
  <c r="Z91" i="1" s="1"/>
  <c r="U91" i="1"/>
  <c r="M91" i="1"/>
  <c r="J91" i="1"/>
  <c r="Y90" i="1"/>
  <c r="Z90" i="1" s="1"/>
  <c r="U90" i="1"/>
  <c r="M90" i="1"/>
  <c r="J90" i="1"/>
  <c r="Y89" i="1"/>
  <c r="Z89" i="1" s="1"/>
  <c r="U89" i="1"/>
  <c r="M89" i="1"/>
  <c r="J89" i="1"/>
  <c r="Y88" i="1"/>
  <c r="Z88" i="1" s="1"/>
  <c r="U88" i="1"/>
  <c r="M88" i="1"/>
  <c r="J88" i="1"/>
  <c r="Y86" i="1"/>
  <c r="Z86" i="1" s="1"/>
  <c r="U86" i="1"/>
  <c r="M86" i="1"/>
  <c r="J86" i="1"/>
  <c r="Y85" i="1"/>
  <c r="Z85" i="1" s="1"/>
  <c r="U85" i="1"/>
  <c r="M85" i="1"/>
  <c r="J85" i="1"/>
  <c r="Y84" i="1"/>
  <c r="Z84" i="1" s="1"/>
  <c r="U84" i="1"/>
  <c r="M84" i="1"/>
  <c r="J84" i="1"/>
  <c r="Y83" i="1"/>
  <c r="Z83" i="1" s="1"/>
  <c r="U83" i="1"/>
  <c r="M83" i="1"/>
  <c r="J83" i="1"/>
  <c r="Y82" i="1"/>
  <c r="Z82" i="1" s="1"/>
  <c r="U82" i="1"/>
  <c r="M82" i="1"/>
  <c r="J82" i="1"/>
  <c r="Y81" i="1"/>
  <c r="Z81" i="1" s="1"/>
  <c r="U81" i="1"/>
  <c r="M81" i="1"/>
  <c r="J81" i="1"/>
  <c r="Y80" i="1"/>
  <c r="Z80" i="1" s="1"/>
  <c r="U80" i="1"/>
  <c r="M80" i="1"/>
  <c r="J80" i="1"/>
  <c r="Y79" i="1"/>
  <c r="Z79" i="1" s="1"/>
  <c r="U79" i="1"/>
  <c r="M79" i="1"/>
  <c r="J79" i="1"/>
  <c r="Y78" i="1"/>
  <c r="Z78" i="1" s="1"/>
  <c r="U78" i="1"/>
  <c r="M78" i="1"/>
  <c r="J78" i="1"/>
  <c r="Y77" i="1"/>
  <c r="Z77" i="1" s="1"/>
  <c r="U77" i="1"/>
  <c r="M77" i="1"/>
  <c r="J77" i="1"/>
  <c r="Y76" i="1"/>
  <c r="Z76" i="1" s="1"/>
  <c r="U76" i="1"/>
  <c r="M76" i="1"/>
  <c r="J76" i="1"/>
  <c r="Y75" i="1"/>
  <c r="Z75" i="1" s="1"/>
  <c r="U75" i="1"/>
  <c r="M75" i="1"/>
  <c r="J75" i="1"/>
  <c r="Y74" i="1"/>
  <c r="Z74" i="1" s="1"/>
  <c r="U74" i="1"/>
  <c r="M74" i="1"/>
  <c r="J74" i="1"/>
  <c r="Y73" i="1"/>
  <c r="Z73" i="1" s="1"/>
  <c r="U73" i="1"/>
  <c r="M73" i="1"/>
  <c r="J73" i="1"/>
  <c r="Y72" i="1"/>
  <c r="Z72" i="1" s="1"/>
  <c r="U72" i="1"/>
  <c r="M72" i="1"/>
  <c r="J72" i="1"/>
  <c r="Y71" i="1"/>
  <c r="Z71" i="1" s="1"/>
  <c r="U71" i="1"/>
  <c r="M71" i="1"/>
  <c r="J71" i="1"/>
  <c r="Y70" i="1"/>
  <c r="Z70" i="1" s="1"/>
  <c r="U70" i="1"/>
  <c r="M70" i="1"/>
  <c r="J70" i="1"/>
  <c r="Y69" i="1"/>
  <c r="Z69" i="1" s="1"/>
  <c r="U69" i="1"/>
  <c r="M69" i="1"/>
  <c r="J69" i="1"/>
  <c r="Y68" i="1"/>
  <c r="Z68" i="1" s="1"/>
  <c r="U68" i="1"/>
  <c r="M68" i="1"/>
  <c r="J68" i="1"/>
  <c r="Y67" i="1"/>
  <c r="Z67" i="1" s="1"/>
  <c r="U67" i="1"/>
  <c r="M67" i="1"/>
  <c r="J67" i="1"/>
  <c r="Y66" i="1"/>
  <c r="Z66" i="1" s="1"/>
  <c r="U66" i="1"/>
  <c r="M66" i="1"/>
  <c r="J66" i="1"/>
  <c r="Y65" i="1"/>
  <c r="Z65" i="1" s="1"/>
  <c r="U65" i="1"/>
  <c r="M65" i="1"/>
  <c r="J65" i="1"/>
  <c r="Y64" i="1"/>
  <c r="Z64" i="1" s="1"/>
  <c r="U64" i="1"/>
  <c r="M64" i="1"/>
  <c r="J64" i="1"/>
  <c r="Y63" i="1"/>
  <c r="Z63" i="1" s="1"/>
  <c r="U63" i="1"/>
  <c r="M63" i="1"/>
  <c r="J63" i="1"/>
  <c r="Y61" i="1"/>
  <c r="Z61" i="1" s="1"/>
  <c r="U61" i="1"/>
  <c r="M61" i="1"/>
  <c r="J61" i="1"/>
  <c r="Y60" i="1"/>
  <c r="Z60" i="1" s="1"/>
  <c r="U60" i="1"/>
  <c r="M60" i="1"/>
  <c r="J60" i="1"/>
  <c r="Y59" i="1"/>
  <c r="Z59" i="1" s="1"/>
  <c r="U59" i="1"/>
  <c r="M59" i="1"/>
  <c r="J59" i="1"/>
  <c r="Y57" i="1"/>
  <c r="Z57" i="1" s="1"/>
  <c r="U57" i="1"/>
  <c r="M57" i="1"/>
  <c r="J57" i="1"/>
  <c r="Y56" i="1"/>
  <c r="Z56" i="1" s="1"/>
  <c r="U56" i="1"/>
  <c r="M56" i="1"/>
  <c r="J56" i="1"/>
  <c r="Y54" i="1"/>
  <c r="Z54" i="1" s="1"/>
  <c r="U54" i="1"/>
  <c r="M54" i="1"/>
  <c r="J54" i="1"/>
  <c r="Y53" i="1"/>
  <c r="Z53" i="1" s="1"/>
  <c r="U53" i="1"/>
  <c r="M53" i="1"/>
  <c r="J53" i="1"/>
  <c r="Y52" i="1"/>
  <c r="Z52" i="1" s="1"/>
  <c r="U52" i="1"/>
  <c r="M52" i="1"/>
  <c r="J52" i="1"/>
  <c r="Y51" i="1"/>
  <c r="Z51" i="1" s="1"/>
  <c r="U51" i="1"/>
  <c r="M51" i="1"/>
  <c r="J51" i="1"/>
  <c r="Y50" i="1"/>
  <c r="Z50" i="1" s="1"/>
  <c r="U50" i="1"/>
  <c r="M50" i="1"/>
  <c r="J50" i="1"/>
  <c r="Y49" i="1"/>
  <c r="Z49" i="1" s="1"/>
  <c r="U49" i="1"/>
  <c r="M49" i="1"/>
  <c r="J49" i="1"/>
  <c r="Y47" i="1"/>
  <c r="Z47" i="1" s="1"/>
  <c r="U47" i="1"/>
  <c r="M47" i="1"/>
  <c r="J47" i="1"/>
  <c r="Y46" i="1"/>
  <c r="Z46" i="1" s="1"/>
  <c r="U46" i="1"/>
  <c r="M46" i="1"/>
  <c r="J46" i="1"/>
  <c r="Y45" i="1"/>
  <c r="Z45" i="1" s="1"/>
  <c r="U45" i="1"/>
  <c r="M45" i="1"/>
  <c r="J45" i="1"/>
  <c r="Y44" i="1"/>
  <c r="Z44" i="1" s="1"/>
  <c r="U44" i="1"/>
  <c r="M44" i="1"/>
  <c r="J44" i="1"/>
  <c r="Y43" i="1"/>
  <c r="Z43" i="1" s="1"/>
  <c r="U43" i="1"/>
  <c r="M43" i="1"/>
  <c r="J43" i="1"/>
  <c r="Y41" i="1"/>
  <c r="Z41" i="1" s="1"/>
  <c r="U41" i="1"/>
  <c r="M41" i="1"/>
  <c r="J41" i="1"/>
  <c r="Y40" i="1"/>
  <c r="Z40" i="1" s="1"/>
  <c r="U40" i="1"/>
  <c r="M40" i="1"/>
  <c r="J40" i="1"/>
  <c r="Y39" i="1"/>
  <c r="Z39" i="1" s="1"/>
  <c r="U39" i="1"/>
  <c r="M39" i="1"/>
  <c r="J39" i="1"/>
  <c r="Y38" i="1"/>
  <c r="Z38" i="1" s="1"/>
  <c r="U38" i="1"/>
  <c r="M38" i="1"/>
  <c r="J38" i="1"/>
  <c r="Y37" i="1"/>
  <c r="Z37" i="1" s="1"/>
  <c r="U37" i="1"/>
  <c r="M37" i="1"/>
  <c r="J37" i="1"/>
  <c r="Y36" i="1"/>
  <c r="Z36" i="1" s="1"/>
  <c r="U36" i="1"/>
  <c r="M36" i="1"/>
  <c r="J36" i="1"/>
  <c r="Y35" i="1"/>
  <c r="Z35" i="1" s="1"/>
  <c r="U35" i="1"/>
  <c r="M35" i="1"/>
  <c r="J35" i="1"/>
  <c r="Y34" i="1"/>
  <c r="Z34" i="1" s="1"/>
  <c r="U34" i="1"/>
  <c r="M34" i="1"/>
  <c r="J34" i="1"/>
  <c r="Y33" i="1"/>
  <c r="Z33" i="1" s="1"/>
  <c r="U33" i="1"/>
  <c r="M33" i="1"/>
  <c r="J33" i="1"/>
  <c r="Y32" i="1"/>
  <c r="Z32" i="1" s="1"/>
  <c r="U32" i="1"/>
  <c r="M32" i="1"/>
  <c r="J32" i="1"/>
  <c r="Y31" i="1"/>
  <c r="Z31" i="1" s="1"/>
  <c r="U31" i="1"/>
  <c r="M31" i="1"/>
  <c r="J31" i="1"/>
  <c r="Y30" i="1"/>
  <c r="Z30" i="1" s="1"/>
  <c r="U30" i="1"/>
  <c r="M30" i="1"/>
  <c r="J30" i="1"/>
  <c r="Y29" i="1"/>
  <c r="Z29" i="1" s="1"/>
  <c r="U29" i="1"/>
  <c r="M29" i="1"/>
  <c r="J29" i="1"/>
  <c r="Y28" i="1"/>
  <c r="Z28" i="1" s="1"/>
  <c r="U28" i="1"/>
  <c r="M28" i="1"/>
  <c r="J28" i="1"/>
  <c r="Y27" i="1"/>
  <c r="Z27" i="1" s="1"/>
  <c r="U27" i="1"/>
  <c r="M27" i="1"/>
  <c r="J27" i="1"/>
  <c r="Y26" i="1"/>
  <c r="Z26" i="1" s="1"/>
  <c r="U26" i="1"/>
  <c r="M26" i="1"/>
  <c r="J26" i="1"/>
  <c r="Y25" i="1"/>
  <c r="Z25" i="1" s="1"/>
  <c r="U25" i="1"/>
  <c r="M25" i="1"/>
  <c r="J25" i="1"/>
  <c r="Y23" i="1"/>
  <c r="Z23" i="1" s="1"/>
  <c r="U23" i="1"/>
  <c r="M23" i="1"/>
  <c r="J23" i="1"/>
  <c r="Y22" i="1"/>
  <c r="Z22" i="1" s="1"/>
  <c r="U22" i="1"/>
  <c r="M22" i="1"/>
  <c r="Y21" i="1"/>
  <c r="Z21" i="1" s="1"/>
  <c r="U21" i="1"/>
  <c r="M21" i="1"/>
  <c r="J21" i="1"/>
  <c r="Y20" i="1"/>
  <c r="Z20" i="1" s="1"/>
  <c r="U20" i="1"/>
  <c r="M20" i="1"/>
  <c r="J20" i="1"/>
  <c r="Y18" i="1"/>
  <c r="Z18" i="1" s="1"/>
  <c r="U18" i="1"/>
  <c r="M18" i="1"/>
  <c r="Y17" i="1"/>
  <c r="Z17" i="1" s="1"/>
  <c r="U17" i="1"/>
  <c r="M17" i="1"/>
  <c r="Y16" i="1"/>
  <c r="Z16" i="1" s="1"/>
  <c r="U16" i="1"/>
  <c r="M16" i="1"/>
  <c r="J16" i="1"/>
  <c r="Y15" i="1"/>
  <c r="Z15" i="1" s="1"/>
  <c r="U15" i="1"/>
  <c r="M15" i="1"/>
  <c r="J15" i="1"/>
  <c r="Y14" i="1"/>
  <c r="Z14" i="1" s="1"/>
  <c r="U14" i="1"/>
  <c r="M14" i="1"/>
  <c r="Y13" i="1"/>
  <c r="Z13" i="1" s="1"/>
  <c r="U13" i="1"/>
  <c r="M13" i="1"/>
  <c r="J13" i="1"/>
  <c r="Y12" i="1"/>
  <c r="Z12" i="1" s="1"/>
  <c r="U12" i="1"/>
  <c r="M12" i="1"/>
  <c r="J12" i="1"/>
  <c r="Y11" i="1"/>
  <c r="Z11" i="1" s="1"/>
  <c r="U11" i="1"/>
  <c r="M11" i="1"/>
  <c r="J11" i="1"/>
  <c r="Y10" i="1"/>
  <c r="Z10" i="1" s="1"/>
  <c r="U10" i="1"/>
  <c r="M10" i="1"/>
  <c r="Y9" i="1"/>
  <c r="Z9" i="1" s="1"/>
  <c r="U9" i="1"/>
  <c r="M9" i="1"/>
  <c r="Y8" i="1"/>
  <c r="Z8" i="1" s="1"/>
  <c r="U8" i="1"/>
  <c r="M8" i="1"/>
  <c r="J8" i="1"/>
  <c r="Y7" i="1"/>
  <c r="Z7" i="1" s="1"/>
  <c r="U7" i="1"/>
  <c r="M7" i="1"/>
  <c r="Y6" i="1"/>
  <c r="Z6" i="1" s="1"/>
  <c r="U6" i="1"/>
  <c r="M6" i="1"/>
  <c r="J6" i="1"/>
  <c r="Y5" i="1"/>
  <c r="Z5" i="1" s="1"/>
  <c r="U5" i="1"/>
  <c r="M5" i="1"/>
  <c r="Y4" i="1"/>
  <c r="Z4" i="1" s="1"/>
  <c r="U4" i="1"/>
  <c r="M4" i="1"/>
  <c r="AF4" i="1" l="1"/>
  <c r="AG4" i="1" s="1"/>
  <c r="AE4" i="1"/>
  <c r="AA4" i="1"/>
  <c r="N4" i="1"/>
  <c r="S4" i="1"/>
  <c r="V18" i="1"/>
  <c r="W18" i="1" s="1"/>
  <c r="X18" i="1" s="1"/>
  <c r="V17" i="1"/>
  <c r="W17" i="1" s="1"/>
  <c r="X17" i="1" s="1"/>
  <c r="V16" i="1"/>
  <c r="W16" i="1" s="1"/>
  <c r="X16" i="1" s="1"/>
  <c r="V15" i="1"/>
  <c r="W15" i="1" s="1"/>
  <c r="X15" i="1" s="1"/>
  <c r="V14" i="1"/>
  <c r="W14" i="1" s="1"/>
  <c r="X14" i="1" s="1"/>
  <c r="V13" i="1"/>
  <c r="W13" i="1" s="1"/>
  <c r="X13" i="1" s="1"/>
  <c r="V12" i="1"/>
  <c r="W12" i="1" s="1"/>
  <c r="X12" i="1" s="1"/>
  <c r="V11" i="1"/>
  <c r="W11" i="1" s="1"/>
  <c r="X11" i="1" s="1"/>
  <c r="V10" i="1"/>
  <c r="W10" i="1" s="1"/>
  <c r="X10" i="1" s="1"/>
  <c r="V9" i="1"/>
  <c r="W9" i="1" s="1"/>
  <c r="X9" i="1" s="1"/>
  <c r="V8" i="1"/>
  <c r="W8" i="1" s="1"/>
  <c r="V7" i="1"/>
  <c r="W7" i="1" s="1"/>
  <c r="X7" i="1" s="1"/>
  <c r="V6" i="1"/>
  <c r="W6" i="1" s="1"/>
  <c r="X6" i="1" s="1"/>
  <c r="V5" i="1"/>
  <c r="W5" i="1" s="1"/>
  <c r="X5" i="1" s="1"/>
  <c r="V4" i="1"/>
  <c r="W4" i="1" s="1"/>
  <c r="X4" i="1" s="1"/>
  <c r="A129" i="10"/>
  <c r="A128" i="10"/>
  <c r="A127" i="10"/>
  <c r="A126" i="10"/>
  <c r="A125" i="10"/>
  <c r="A124" i="10"/>
  <c r="A123" i="10"/>
  <c r="A122" i="10"/>
  <c r="A121" i="10"/>
  <c r="A120" i="10"/>
  <c r="A119" i="10"/>
  <c r="A118" i="10"/>
  <c r="A117" i="10"/>
  <c r="A116" i="10"/>
  <c r="A115" i="10"/>
  <c r="A114" i="10"/>
  <c r="A113" i="10"/>
  <c r="A112" i="10"/>
  <c r="A111" i="10"/>
  <c r="A110" i="10"/>
  <c r="A109" i="10"/>
  <c r="A108" i="10"/>
  <c r="A107" i="10"/>
  <c r="A106" i="10"/>
  <c r="A105" i="10"/>
  <c r="A104" i="10"/>
  <c r="A103" i="10"/>
  <c r="A102" i="10"/>
  <c r="A101" i="10"/>
  <c r="A100" i="10"/>
  <c r="A99" i="10"/>
  <c r="A98" i="10"/>
  <c r="A97" i="10"/>
  <c r="A96" i="10"/>
  <c r="A95" i="10"/>
  <c r="A94" i="10"/>
  <c r="A93" i="10"/>
  <c r="A92" i="10"/>
  <c r="A91" i="10"/>
  <c r="A90" i="10"/>
  <c r="A89" i="10"/>
  <c r="A88" i="10"/>
  <c r="A87" i="10"/>
  <c r="A86" i="10"/>
  <c r="A85" i="10"/>
  <c r="A84" i="10"/>
  <c r="A83" i="10"/>
  <c r="A82" i="10"/>
  <c r="A81" i="10"/>
  <c r="A80" i="10"/>
  <c r="A79" i="10"/>
  <c r="A78" i="10"/>
  <c r="A77" i="10"/>
  <c r="A76" i="10"/>
  <c r="A75" i="10"/>
  <c r="A74" i="10"/>
  <c r="A73" i="10"/>
  <c r="A72" i="10"/>
  <c r="A71" i="10"/>
  <c r="A70" i="10"/>
  <c r="A69" i="10"/>
  <c r="A68" i="10"/>
  <c r="A67" i="10"/>
  <c r="A66" i="10"/>
  <c r="A65" i="10"/>
  <c r="A64" i="10"/>
  <c r="A63" i="10"/>
  <c r="A62" i="10"/>
  <c r="A61" i="10"/>
  <c r="A60" i="10"/>
  <c r="A59" i="10"/>
  <c r="A58" i="10"/>
  <c r="A57" i="10"/>
  <c r="A56" i="10"/>
  <c r="A55" i="10"/>
  <c r="A54" i="10"/>
  <c r="A53" i="10"/>
  <c r="A52" i="10"/>
  <c r="A51" i="10"/>
  <c r="A50" i="10"/>
  <c r="A49" i="10"/>
  <c r="A48" i="10"/>
  <c r="A47" i="10"/>
  <c r="A46" i="10"/>
  <c r="A45" i="10"/>
  <c r="A44" i="10"/>
  <c r="A43" i="10"/>
  <c r="A42" i="10"/>
  <c r="A41" i="10"/>
  <c r="A40" i="10"/>
  <c r="A39" i="10"/>
  <c r="A38" i="10"/>
  <c r="A37" i="10"/>
  <c r="A36" i="10"/>
  <c r="A35" i="10"/>
  <c r="A34" i="10"/>
  <c r="A33" i="10"/>
  <c r="A32" i="10"/>
  <c r="A31" i="10"/>
  <c r="A30" i="10"/>
  <c r="A29" i="10"/>
  <c r="A28" i="10"/>
  <c r="A27" i="10"/>
  <c r="A26" i="10"/>
  <c r="A25" i="10"/>
  <c r="A24" i="10"/>
  <c r="A23" i="10"/>
  <c r="A22" i="10"/>
  <c r="A21" i="10"/>
  <c r="A20" i="10"/>
  <c r="A19" i="10"/>
  <c r="A18" i="10"/>
  <c r="A17" i="10"/>
  <c r="A16" i="10"/>
  <c r="A15" i="10"/>
  <c r="A14" i="10"/>
  <c r="A13" i="10"/>
  <c r="A12" i="10"/>
  <c r="A11" i="10"/>
  <c r="A10" i="10"/>
  <c r="A9" i="10"/>
  <c r="A8" i="10"/>
  <c r="A7" i="10"/>
  <c r="A6" i="10"/>
  <c r="A5" i="10"/>
  <c r="A4" i="10"/>
  <c r="A3" i="10"/>
  <c r="A2" i="10"/>
  <c r="AF5" i="1"/>
  <c r="AG5" i="1" s="1"/>
  <c r="AE5" i="1"/>
  <c r="AA5" i="1"/>
  <c r="N5" i="1"/>
  <c r="S5" i="1"/>
  <c r="AF6" i="1"/>
  <c r="AG6" i="1" s="1"/>
  <c r="AE6" i="1"/>
  <c r="AA6" i="1"/>
  <c r="N6" i="1"/>
  <c r="S6" i="1"/>
  <c r="AF7" i="1"/>
  <c r="AE7" i="1"/>
  <c r="AA7" i="1"/>
  <c r="N7" i="1"/>
  <c r="S7" i="1"/>
  <c r="AF8" i="1"/>
  <c r="AG8" i="1" s="1"/>
  <c r="AE8" i="1"/>
  <c r="AA8" i="1"/>
  <c r="N8" i="1"/>
  <c r="X8" i="1"/>
  <c r="S8" i="1"/>
  <c r="AF9" i="1"/>
  <c r="AG9" i="1" s="1"/>
  <c r="AE9" i="1"/>
  <c r="AA9" i="1"/>
  <c r="N9" i="1"/>
  <c r="S9" i="1"/>
  <c r="AF10" i="1"/>
  <c r="AG10" i="1" s="1"/>
  <c r="AE10" i="1"/>
  <c r="AA10" i="1"/>
  <c r="N10" i="1"/>
  <c r="S10" i="1"/>
  <c r="AF11" i="1"/>
  <c r="AG11" i="1" s="1"/>
  <c r="AE11" i="1"/>
  <c r="AA11" i="1"/>
  <c r="N11" i="1"/>
  <c r="S11" i="1"/>
  <c r="AF12" i="1"/>
  <c r="AG12" i="1" s="1"/>
  <c r="AE12" i="1"/>
  <c r="AA12" i="1"/>
  <c r="N12" i="1"/>
  <c r="S12" i="1"/>
  <c r="AF13" i="1"/>
  <c r="AG13" i="1" s="1"/>
  <c r="AE13" i="1"/>
  <c r="AA13" i="1"/>
  <c r="N13" i="1"/>
  <c r="S13" i="1"/>
  <c r="AF14" i="1"/>
  <c r="AE14" i="1"/>
  <c r="AA14" i="1"/>
  <c r="N14" i="1"/>
  <c r="S14" i="1"/>
  <c r="AF15" i="1"/>
  <c r="AG15" i="1" s="1"/>
  <c r="AE15" i="1"/>
  <c r="AA15" i="1"/>
  <c r="N15" i="1"/>
  <c r="S15" i="1"/>
  <c r="AF16" i="1"/>
  <c r="AG16" i="1" s="1"/>
  <c r="AE16" i="1"/>
  <c r="AA16" i="1"/>
  <c r="N16" i="1"/>
  <c r="S16" i="1"/>
  <c r="AF17" i="1"/>
  <c r="AE17" i="1"/>
  <c r="AA17" i="1"/>
  <c r="N17" i="1"/>
  <c r="S17" i="1"/>
  <c r="AF18" i="1"/>
  <c r="AG18" i="1" s="1"/>
  <c r="AE18" i="1"/>
  <c r="AA18" i="1"/>
  <c r="N18" i="1"/>
  <c r="S18" i="1"/>
  <c r="AF20" i="1"/>
  <c r="AG20" i="1" s="1"/>
  <c r="AE20" i="1"/>
  <c r="AA20" i="1"/>
  <c r="N20" i="1"/>
  <c r="S20" i="1"/>
  <c r="V23" i="1"/>
  <c r="W23" i="1" s="1"/>
  <c r="X23" i="1" s="1"/>
  <c r="V22" i="1"/>
  <c r="W22" i="1" s="1"/>
  <c r="X22" i="1" s="1"/>
  <c r="V21" i="1"/>
  <c r="W21" i="1" s="1"/>
  <c r="X21" i="1" s="1"/>
  <c r="V20" i="1"/>
  <c r="W20" i="1" s="1"/>
  <c r="X20" i="1" s="1"/>
  <c r="AF21" i="1"/>
  <c r="AG21" i="1" s="1"/>
  <c r="AE21" i="1"/>
  <c r="AA21" i="1"/>
  <c r="N21" i="1"/>
  <c r="S21" i="1"/>
  <c r="AF22" i="1"/>
  <c r="AG22" i="1" s="1"/>
  <c r="AE22" i="1"/>
  <c r="AA22" i="1"/>
  <c r="N22" i="1"/>
  <c r="S22" i="1"/>
  <c r="AF23" i="1"/>
  <c r="AG23" i="1" s="1"/>
  <c r="AE23" i="1"/>
  <c r="AA23" i="1"/>
  <c r="N23" i="1"/>
  <c r="S23" i="1"/>
  <c r="AF25" i="1"/>
  <c r="AG25" i="1" s="1"/>
  <c r="AE25" i="1"/>
  <c r="AA25" i="1"/>
  <c r="N25" i="1"/>
  <c r="S25" i="1"/>
  <c r="V41" i="1"/>
  <c r="W41" i="1" s="1"/>
  <c r="X41" i="1" s="1"/>
  <c r="V40" i="1"/>
  <c r="W40" i="1" s="1"/>
  <c r="X40" i="1" s="1"/>
  <c r="V39" i="1"/>
  <c r="W39" i="1" s="1"/>
  <c r="X39" i="1" s="1"/>
  <c r="V38" i="1"/>
  <c r="W38" i="1" s="1"/>
  <c r="X38" i="1" s="1"/>
  <c r="V37" i="1"/>
  <c r="W37" i="1" s="1"/>
  <c r="X37" i="1" s="1"/>
  <c r="V36" i="1"/>
  <c r="W36" i="1" s="1"/>
  <c r="X36" i="1" s="1"/>
  <c r="V35" i="1"/>
  <c r="W35" i="1" s="1"/>
  <c r="X35" i="1" s="1"/>
  <c r="V34" i="1"/>
  <c r="W34" i="1" s="1"/>
  <c r="X34" i="1" s="1"/>
  <c r="V33" i="1"/>
  <c r="W33" i="1" s="1"/>
  <c r="X33" i="1" s="1"/>
  <c r="V32" i="1"/>
  <c r="W32" i="1" s="1"/>
  <c r="X32" i="1" s="1"/>
  <c r="V31" i="1"/>
  <c r="W31" i="1" s="1"/>
  <c r="X31" i="1" s="1"/>
  <c r="V30" i="1"/>
  <c r="W30" i="1" s="1"/>
  <c r="X30" i="1" s="1"/>
  <c r="V29" i="1"/>
  <c r="W29" i="1" s="1"/>
  <c r="X29" i="1" s="1"/>
  <c r="V28" i="1"/>
  <c r="W28" i="1" s="1"/>
  <c r="X28" i="1" s="1"/>
  <c r="V27" i="1"/>
  <c r="W27" i="1" s="1"/>
  <c r="X27" i="1" s="1"/>
  <c r="V26" i="1"/>
  <c r="W26" i="1" s="1"/>
  <c r="X26" i="1" s="1"/>
  <c r="V25" i="1"/>
  <c r="W25" i="1" s="1"/>
  <c r="X25" i="1" s="1"/>
  <c r="AF26" i="1"/>
  <c r="AG26" i="1" s="1"/>
  <c r="AE26" i="1"/>
  <c r="AA26" i="1"/>
  <c r="N26" i="1"/>
  <c r="S26" i="1"/>
  <c r="AF27" i="1"/>
  <c r="AG27" i="1" s="1"/>
  <c r="AE27" i="1"/>
  <c r="AA27" i="1"/>
  <c r="N27" i="1"/>
  <c r="S27" i="1"/>
  <c r="AF28" i="1"/>
  <c r="AG28" i="1" s="1"/>
  <c r="AE28" i="1"/>
  <c r="AA28" i="1"/>
  <c r="N28" i="1"/>
  <c r="S28" i="1"/>
  <c r="AF29" i="1"/>
  <c r="AG29" i="1" s="1"/>
  <c r="AE29" i="1"/>
  <c r="AA29" i="1"/>
  <c r="N29" i="1"/>
  <c r="S29" i="1"/>
  <c r="AF30" i="1"/>
  <c r="AG30" i="1" s="1"/>
  <c r="AE30" i="1"/>
  <c r="AA30" i="1"/>
  <c r="N30" i="1"/>
  <c r="S30" i="1"/>
  <c r="AF31" i="1"/>
  <c r="AG31" i="1" s="1"/>
  <c r="AE31" i="1"/>
  <c r="AA31" i="1"/>
  <c r="N31" i="1"/>
  <c r="S31" i="1"/>
  <c r="AF32" i="1"/>
  <c r="AG32" i="1" s="1"/>
  <c r="AE32" i="1"/>
  <c r="AA32" i="1"/>
  <c r="N32" i="1"/>
  <c r="S32" i="1"/>
  <c r="AF33" i="1"/>
  <c r="AG33" i="1" s="1"/>
  <c r="AE33" i="1"/>
  <c r="AA33" i="1"/>
  <c r="N33" i="1"/>
  <c r="S33" i="1"/>
  <c r="AF34" i="1"/>
  <c r="AG34" i="1" s="1"/>
  <c r="AE34" i="1"/>
  <c r="AA34" i="1"/>
  <c r="N34" i="1"/>
  <c r="S34" i="1"/>
  <c r="AF35" i="1"/>
  <c r="AG35" i="1" s="1"/>
  <c r="AE35" i="1"/>
  <c r="AA35" i="1"/>
  <c r="N35" i="1"/>
  <c r="S35" i="1"/>
  <c r="AF36" i="1"/>
  <c r="AG36" i="1" s="1"/>
  <c r="AE36" i="1"/>
  <c r="AA36" i="1"/>
  <c r="N36" i="1"/>
  <c r="S36" i="1"/>
  <c r="AF37" i="1"/>
  <c r="AG37" i="1" s="1"/>
  <c r="AE37" i="1"/>
  <c r="AA37" i="1"/>
  <c r="N37" i="1"/>
  <c r="S37" i="1"/>
  <c r="AF38" i="1"/>
  <c r="AG38" i="1" s="1"/>
  <c r="AE38" i="1"/>
  <c r="AA38" i="1"/>
  <c r="N38" i="1"/>
  <c r="S38" i="1"/>
  <c r="AF39" i="1"/>
  <c r="AG39" i="1" s="1"/>
  <c r="AE39" i="1"/>
  <c r="AA39" i="1"/>
  <c r="N39" i="1"/>
  <c r="S39" i="1"/>
  <c r="AF40" i="1"/>
  <c r="AG40" i="1" s="1"/>
  <c r="AE40" i="1"/>
  <c r="AA40" i="1"/>
  <c r="N40" i="1"/>
  <c r="S40" i="1"/>
  <c r="AF41" i="1"/>
  <c r="AG41" i="1" s="1"/>
  <c r="AE41" i="1"/>
  <c r="AA41" i="1"/>
  <c r="N41" i="1"/>
  <c r="S41" i="1"/>
  <c r="AF43" i="1"/>
  <c r="AG43" i="1" s="1"/>
  <c r="AE43" i="1"/>
  <c r="AA43" i="1"/>
  <c r="N43" i="1"/>
  <c r="S43" i="1"/>
  <c r="V47" i="1"/>
  <c r="W47" i="1" s="1"/>
  <c r="X47" i="1" s="1"/>
  <c r="V46" i="1"/>
  <c r="W46" i="1" s="1"/>
  <c r="X46" i="1" s="1"/>
  <c r="V45" i="1"/>
  <c r="W45" i="1" s="1"/>
  <c r="X45" i="1" s="1"/>
  <c r="V44" i="1"/>
  <c r="W44" i="1" s="1"/>
  <c r="X44" i="1" s="1"/>
  <c r="V43" i="1"/>
  <c r="W43" i="1" s="1"/>
  <c r="X43" i="1" s="1"/>
  <c r="AF44" i="1"/>
  <c r="AG44" i="1" s="1"/>
  <c r="AE44" i="1"/>
  <c r="AA44" i="1"/>
  <c r="N44" i="1"/>
  <c r="S44" i="1"/>
  <c r="AF45" i="1"/>
  <c r="AG45" i="1" s="1"/>
  <c r="AE45" i="1"/>
  <c r="AA45" i="1"/>
  <c r="N45" i="1"/>
  <c r="S45" i="1"/>
  <c r="AF46" i="1"/>
  <c r="AG46" i="1" s="1"/>
  <c r="AE46" i="1"/>
  <c r="AA46" i="1"/>
  <c r="N46" i="1"/>
  <c r="S46" i="1"/>
  <c r="AF47" i="1"/>
  <c r="AG47" i="1" s="1"/>
  <c r="AE47" i="1"/>
  <c r="AA47" i="1"/>
  <c r="N47" i="1"/>
  <c r="S47" i="1"/>
  <c r="AF49" i="1"/>
  <c r="AG49" i="1" s="1"/>
  <c r="AE49" i="1"/>
  <c r="AA49" i="1"/>
  <c r="N49" i="1"/>
  <c r="S49" i="1"/>
  <c r="V54" i="1"/>
  <c r="W54" i="1" s="1"/>
  <c r="X54" i="1" s="1"/>
  <c r="V53" i="1"/>
  <c r="W53" i="1" s="1"/>
  <c r="X53" i="1" s="1"/>
  <c r="V52" i="1"/>
  <c r="W52" i="1" s="1"/>
  <c r="X52" i="1" s="1"/>
  <c r="V51" i="1"/>
  <c r="W51" i="1" s="1"/>
  <c r="X51" i="1" s="1"/>
  <c r="V50" i="1"/>
  <c r="W50" i="1" s="1"/>
  <c r="X50" i="1" s="1"/>
  <c r="V49" i="1"/>
  <c r="W49" i="1" s="1"/>
  <c r="X49" i="1" s="1"/>
  <c r="AF50" i="1"/>
  <c r="AG50" i="1" s="1"/>
  <c r="AE50" i="1"/>
  <c r="AA50" i="1"/>
  <c r="N50" i="1"/>
  <c r="S50" i="1"/>
  <c r="AF51" i="1"/>
  <c r="AG51" i="1" s="1"/>
  <c r="AE51" i="1"/>
  <c r="AA51" i="1"/>
  <c r="N51" i="1"/>
  <c r="S51" i="1"/>
  <c r="AF52" i="1"/>
  <c r="AG52" i="1" s="1"/>
  <c r="AE52" i="1"/>
  <c r="AA52" i="1"/>
  <c r="N52" i="1"/>
  <c r="S52" i="1"/>
  <c r="AF53" i="1"/>
  <c r="AG53" i="1" s="1"/>
  <c r="AE53" i="1"/>
  <c r="AA53" i="1"/>
  <c r="N53" i="1"/>
  <c r="S53" i="1"/>
  <c r="AF54" i="1"/>
  <c r="AG54" i="1" s="1"/>
  <c r="AE54" i="1"/>
  <c r="AA54" i="1"/>
  <c r="N54" i="1"/>
  <c r="S54" i="1"/>
  <c r="AF56" i="1"/>
  <c r="AG56" i="1" s="1"/>
  <c r="AE56" i="1"/>
  <c r="AA56" i="1"/>
  <c r="N56" i="1"/>
  <c r="S56" i="1"/>
  <c r="V57" i="1"/>
  <c r="W57" i="1" s="1"/>
  <c r="X57" i="1" s="1"/>
  <c r="V56" i="1"/>
  <c r="W56" i="1" s="1"/>
  <c r="X56" i="1" s="1"/>
  <c r="AF57" i="1"/>
  <c r="AG57" i="1" s="1"/>
  <c r="AE57" i="1"/>
  <c r="AA57" i="1"/>
  <c r="N57" i="1"/>
  <c r="S57" i="1"/>
  <c r="AF59" i="1"/>
  <c r="AG59" i="1" s="1"/>
  <c r="AE59" i="1"/>
  <c r="AA59" i="1"/>
  <c r="N59" i="1"/>
  <c r="S59" i="1"/>
  <c r="V61" i="1"/>
  <c r="W61" i="1" s="1"/>
  <c r="X61" i="1" s="1"/>
  <c r="V60" i="1"/>
  <c r="W60" i="1" s="1"/>
  <c r="X60" i="1" s="1"/>
  <c r="V59" i="1"/>
  <c r="W59" i="1" s="1"/>
  <c r="X59" i="1" s="1"/>
  <c r="AF60" i="1"/>
  <c r="AG60" i="1" s="1"/>
  <c r="AE60" i="1"/>
  <c r="AA60" i="1"/>
  <c r="N60" i="1"/>
  <c r="S60" i="1"/>
  <c r="AF61" i="1"/>
  <c r="AG61" i="1" s="1"/>
  <c r="AE61" i="1"/>
  <c r="AA61" i="1"/>
  <c r="N61" i="1"/>
  <c r="S61" i="1"/>
  <c r="AF63" i="1"/>
  <c r="AG63" i="1" s="1"/>
  <c r="AE63" i="1"/>
  <c r="AA63" i="1"/>
  <c r="N63" i="1"/>
  <c r="S63" i="1"/>
  <c r="V86" i="1"/>
  <c r="W86" i="1" s="1"/>
  <c r="X86" i="1" s="1"/>
  <c r="V85" i="1"/>
  <c r="W85" i="1" s="1"/>
  <c r="X85" i="1" s="1"/>
  <c r="V84" i="1"/>
  <c r="W84" i="1" s="1"/>
  <c r="V83" i="1"/>
  <c r="W83" i="1" s="1"/>
  <c r="X83" i="1" s="1"/>
  <c r="V82" i="1"/>
  <c r="W82" i="1" s="1"/>
  <c r="X82" i="1" s="1"/>
  <c r="V81" i="1"/>
  <c r="W81" i="1" s="1"/>
  <c r="X81" i="1" s="1"/>
  <c r="V80" i="1"/>
  <c r="W80" i="1" s="1"/>
  <c r="X80" i="1" s="1"/>
  <c r="V79" i="1"/>
  <c r="W79" i="1" s="1"/>
  <c r="X79" i="1" s="1"/>
  <c r="V78" i="1"/>
  <c r="W78" i="1" s="1"/>
  <c r="X78" i="1" s="1"/>
  <c r="V77" i="1"/>
  <c r="W77" i="1" s="1"/>
  <c r="X77" i="1" s="1"/>
  <c r="V76" i="1"/>
  <c r="W76" i="1" s="1"/>
  <c r="X76" i="1" s="1"/>
  <c r="V75" i="1"/>
  <c r="W75" i="1" s="1"/>
  <c r="X75" i="1" s="1"/>
  <c r="V74" i="1"/>
  <c r="W74" i="1" s="1"/>
  <c r="X74" i="1" s="1"/>
  <c r="V73" i="1"/>
  <c r="W73" i="1" s="1"/>
  <c r="X73" i="1" s="1"/>
  <c r="V72" i="1"/>
  <c r="W72" i="1" s="1"/>
  <c r="X72" i="1" s="1"/>
  <c r="V71" i="1"/>
  <c r="W71" i="1" s="1"/>
  <c r="X71" i="1" s="1"/>
  <c r="V70" i="1"/>
  <c r="W70" i="1" s="1"/>
  <c r="X70" i="1" s="1"/>
  <c r="V69" i="1"/>
  <c r="W69" i="1" s="1"/>
  <c r="X69" i="1" s="1"/>
  <c r="V68" i="1"/>
  <c r="W68" i="1" s="1"/>
  <c r="X68" i="1" s="1"/>
  <c r="V67" i="1"/>
  <c r="W67" i="1" s="1"/>
  <c r="X67" i="1" s="1"/>
  <c r="V66" i="1"/>
  <c r="W66" i="1" s="1"/>
  <c r="X66" i="1" s="1"/>
  <c r="V65" i="1"/>
  <c r="W65" i="1" s="1"/>
  <c r="X65" i="1" s="1"/>
  <c r="V64" i="1"/>
  <c r="W64" i="1" s="1"/>
  <c r="X64" i="1" s="1"/>
  <c r="V63" i="1"/>
  <c r="W63" i="1" s="1"/>
  <c r="X63" i="1" s="1"/>
  <c r="AF64" i="1"/>
  <c r="AG64" i="1" s="1"/>
  <c r="AE64" i="1"/>
  <c r="AA64" i="1"/>
  <c r="N64" i="1"/>
  <c r="S64" i="1"/>
  <c r="AF65" i="1"/>
  <c r="AG65" i="1" s="1"/>
  <c r="AE65" i="1"/>
  <c r="AA65" i="1"/>
  <c r="N65" i="1"/>
  <c r="S65" i="1"/>
  <c r="AF66" i="1"/>
  <c r="AG66" i="1" s="1"/>
  <c r="AE66" i="1"/>
  <c r="AA66" i="1"/>
  <c r="N66" i="1"/>
  <c r="S66" i="1"/>
  <c r="AF67" i="1"/>
  <c r="AG67" i="1" s="1"/>
  <c r="AE67" i="1"/>
  <c r="AA67" i="1"/>
  <c r="N67" i="1"/>
  <c r="S67" i="1"/>
  <c r="AF68" i="1"/>
  <c r="AG68" i="1" s="1"/>
  <c r="AE68" i="1"/>
  <c r="AA68" i="1"/>
  <c r="N68" i="1"/>
  <c r="S68" i="1"/>
  <c r="AF69" i="1"/>
  <c r="AG69" i="1" s="1"/>
  <c r="AE69" i="1"/>
  <c r="AA69" i="1"/>
  <c r="N69" i="1"/>
  <c r="S69" i="1"/>
  <c r="AF70" i="1"/>
  <c r="AG70" i="1" s="1"/>
  <c r="AE70" i="1"/>
  <c r="AA70" i="1"/>
  <c r="N70" i="1"/>
  <c r="S70" i="1"/>
  <c r="AF71" i="1"/>
  <c r="AG71" i="1" s="1"/>
  <c r="AE71" i="1"/>
  <c r="AA71" i="1"/>
  <c r="N71" i="1"/>
  <c r="S71" i="1"/>
  <c r="AF72" i="1"/>
  <c r="AG72" i="1" s="1"/>
  <c r="AE72" i="1"/>
  <c r="AA72" i="1"/>
  <c r="N72" i="1"/>
  <c r="S72" i="1"/>
  <c r="AF73" i="1"/>
  <c r="AG73" i="1" s="1"/>
  <c r="AE73" i="1"/>
  <c r="AA73" i="1"/>
  <c r="N73" i="1"/>
  <c r="S73" i="1"/>
  <c r="AF74" i="1"/>
  <c r="AG74" i="1" s="1"/>
  <c r="AE74" i="1"/>
  <c r="AA74" i="1"/>
  <c r="N74" i="1"/>
  <c r="S74" i="1"/>
  <c r="AF75" i="1"/>
  <c r="AG75" i="1" s="1"/>
  <c r="AE75" i="1"/>
  <c r="AA75" i="1"/>
  <c r="N75" i="1"/>
  <c r="S75" i="1"/>
  <c r="AF76" i="1"/>
  <c r="AG76" i="1" s="1"/>
  <c r="AE76" i="1"/>
  <c r="AA76" i="1"/>
  <c r="N76" i="1"/>
  <c r="S76" i="1"/>
  <c r="AF77" i="1"/>
  <c r="AG77" i="1" s="1"/>
  <c r="AE77" i="1"/>
  <c r="AA77" i="1"/>
  <c r="N77" i="1"/>
  <c r="S77" i="1"/>
  <c r="AF78" i="1"/>
  <c r="AG78" i="1" s="1"/>
  <c r="AE78" i="1"/>
  <c r="AA78" i="1"/>
  <c r="N78" i="1"/>
  <c r="S78" i="1"/>
  <c r="AF79" i="1"/>
  <c r="AG79" i="1" s="1"/>
  <c r="AE79" i="1"/>
  <c r="AA79" i="1"/>
  <c r="N79" i="1"/>
  <c r="S79" i="1"/>
  <c r="AF80" i="1"/>
  <c r="AG80" i="1" s="1"/>
  <c r="AE80" i="1"/>
  <c r="AA80" i="1"/>
  <c r="N80" i="1"/>
  <c r="S80" i="1"/>
  <c r="AF81" i="1"/>
  <c r="AG81" i="1" s="1"/>
  <c r="AE81" i="1"/>
  <c r="AA81" i="1"/>
  <c r="N81" i="1"/>
  <c r="S81" i="1"/>
  <c r="AF82" i="1"/>
  <c r="AG82" i="1" s="1"/>
  <c r="AE82" i="1"/>
  <c r="AA82" i="1"/>
  <c r="N82" i="1"/>
  <c r="S82" i="1"/>
  <c r="AF83" i="1"/>
  <c r="AG83" i="1" s="1"/>
  <c r="AE83" i="1"/>
  <c r="AA83" i="1"/>
  <c r="N83" i="1"/>
  <c r="S83" i="1"/>
  <c r="AF84" i="1"/>
  <c r="AG84" i="1" s="1"/>
  <c r="AE84" i="1"/>
  <c r="AA84" i="1"/>
  <c r="N84" i="1"/>
  <c r="X84" i="1"/>
  <c r="S84" i="1"/>
  <c r="AF85" i="1"/>
  <c r="AG85" i="1" s="1"/>
  <c r="AE85" i="1"/>
  <c r="AA85" i="1"/>
  <c r="N85" i="1"/>
  <c r="S85" i="1"/>
  <c r="AF86" i="1"/>
  <c r="AG86" i="1" s="1"/>
  <c r="AE86" i="1"/>
  <c r="AA86" i="1"/>
  <c r="N86" i="1"/>
  <c r="S86" i="1"/>
  <c r="AF88" i="1"/>
  <c r="AG88" i="1" s="1"/>
  <c r="AE88" i="1"/>
  <c r="AA88" i="1"/>
  <c r="N88" i="1"/>
  <c r="S88" i="1"/>
  <c r="V92" i="1"/>
  <c r="W92" i="1" s="1"/>
  <c r="X92" i="1" s="1"/>
  <c r="V91" i="1"/>
  <c r="W91" i="1" s="1"/>
  <c r="X91" i="1" s="1"/>
  <c r="V90" i="1"/>
  <c r="W90" i="1" s="1"/>
  <c r="X90" i="1" s="1"/>
  <c r="V89" i="1"/>
  <c r="W89" i="1" s="1"/>
  <c r="X89" i="1" s="1"/>
  <c r="V88" i="1"/>
  <c r="W88" i="1" s="1"/>
  <c r="X88" i="1" s="1"/>
  <c r="AF89" i="1"/>
  <c r="AG89" i="1" s="1"/>
  <c r="AE89" i="1"/>
  <c r="AA89" i="1"/>
  <c r="N89" i="1"/>
  <c r="S89" i="1"/>
  <c r="AF90" i="1"/>
  <c r="AG90" i="1" s="1"/>
  <c r="AE90" i="1"/>
  <c r="AA90" i="1"/>
  <c r="N90" i="1"/>
  <c r="S90" i="1"/>
  <c r="AF91" i="1"/>
  <c r="AG91" i="1" s="1"/>
  <c r="AE91" i="1"/>
  <c r="AA91" i="1"/>
  <c r="N91" i="1"/>
  <c r="S91" i="1"/>
  <c r="AF92" i="1"/>
  <c r="AG92" i="1" s="1"/>
  <c r="AE92" i="1"/>
  <c r="AA92" i="1"/>
  <c r="N92" i="1"/>
  <c r="S92" i="1"/>
  <c r="AF94" i="1"/>
  <c r="AG94" i="1" s="1"/>
  <c r="AE94" i="1"/>
  <c r="AA94" i="1"/>
  <c r="N94" i="1"/>
  <c r="S94" i="1"/>
  <c r="V96" i="1"/>
  <c r="W96" i="1" s="1"/>
  <c r="X96" i="1" s="1"/>
  <c r="V95" i="1"/>
  <c r="W95" i="1" s="1"/>
  <c r="X95" i="1" s="1"/>
  <c r="V94" i="1"/>
  <c r="W94" i="1" s="1"/>
  <c r="X94" i="1" s="1"/>
  <c r="AF95" i="1"/>
  <c r="AG95" i="1" s="1"/>
  <c r="AE95" i="1"/>
  <c r="AA95" i="1"/>
  <c r="N95" i="1"/>
  <c r="S95" i="1"/>
  <c r="AF96" i="1"/>
  <c r="AG96" i="1" s="1"/>
  <c r="AE96" i="1"/>
  <c r="AA96" i="1"/>
  <c r="N96" i="1"/>
  <c r="S96" i="1"/>
  <c r="AF98" i="1"/>
  <c r="AG98" i="1" s="1"/>
  <c r="AE98" i="1"/>
  <c r="AA98" i="1"/>
  <c r="N98" i="1"/>
  <c r="S98" i="1"/>
  <c r="V112" i="1"/>
  <c r="W112" i="1" s="1"/>
  <c r="X112" i="1" s="1"/>
  <c r="V111" i="1"/>
  <c r="W111" i="1" s="1"/>
  <c r="X111" i="1" s="1"/>
  <c r="V110" i="1"/>
  <c r="W110" i="1" s="1"/>
  <c r="X110" i="1" s="1"/>
  <c r="V109" i="1"/>
  <c r="W109" i="1" s="1"/>
  <c r="X109" i="1" s="1"/>
  <c r="V108" i="1"/>
  <c r="W108" i="1" s="1"/>
  <c r="X108" i="1" s="1"/>
  <c r="V107" i="1"/>
  <c r="W107" i="1" s="1"/>
  <c r="X107" i="1" s="1"/>
  <c r="V106" i="1"/>
  <c r="W106" i="1" s="1"/>
  <c r="X106" i="1" s="1"/>
  <c r="V105" i="1"/>
  <c r="W105" i="1" s="1"/>
  <c r="X105" i="1" s="1"/>
  <c r="V104" i="1"/>
  <c r="W104" i="1" s="1"/>
  <c r="X104" i="1" s="1"/>
  <c r="V103" i="1"/>
  <c r="W103" i="1" s="1"/>
  <c r="X103" i="1" s="1"/>
  <c r="V102" i="1"/>
  <c r="W102" i="1" s="1"/>
  <c r="X102" i="1" s="1"/>
  <c r="V101" i="1"/>
  <c r="W101" i="1" s="1"/>
  <c r="X101" i="1" s="1"/>
  <c r="V100" i="1"/>
  <c r="W100" i="1" s="1"/>
  <c r="X100" i="1" s="1"/>
  <c r="V99" i="1"/>
  <c r="W99" i="1" s="1"/>
  <c r="X99" i="1" s="1"/>
  <c r="V98" i="1"/>
  <c r="W98" i="1" s="1"/>
  <c r="X98" i="1" s="1"/>
  <c r="AF99" i="1"/>
  <c r="AG99" i="1" s="1"/>
  <c r="AE99" i="1"/>
  <c r="AA99" i="1"/>
  <c r="N99" i="1"/>
  <c r="S99" i="1"/>
  <c r="AF100" i="1"/>
  <c r="AG100" i="1" s="1"/>
  <c r="AE100" i="1"/>
  <c r="AA100" i="1"/>
  <c r="N100" i="1"/>
  <c r="S100" i="1"/>
  <c r="AF101" i="1"/>
  <c r="AG101" i="1" s="1"/>
  <c r="AE101" i="1"/>
  <c r="AA101" i="1"/>
  <c r="N101" i="1"/>
  <c r="S101" i="1"/>
  <c r="AF102" i="1"/>
  <c r="AG102" i="1" s="1"/>
  <c r="AE102" i="1"/>
  <c r="AA102" i="1"/>
  <c r="N102" i="1"/>
  <c r="S102" i="1"/>
  <c r="AF103" i="1"/>
  <c r="AG103" i="1" s="1"/>
  <c r="AE103" i="1"/>
  <c r="AA103" i="1"/>
  <c r="N103" i="1"/>
  <c r="S103" i="1"/>
  <c r="AF104" i="1"/>
  <c r="AG104" i="1" s="1"/>
  <c r="AE104" i="1"/>
  <c r="AA104" i="1"/>
  <c r="N104" i="1"/>
  <c r="S104" i="1"/>
  <c r="AF105" i="1"/>
  <c r="AG105" i="1" s="1"/>
  <c r="AE105" i="1"/>
  <c r="AA105" i="1"/>
  <c r="N105" i="1"/>
  <c r="S105" i="1"/>
  <c r="AF106" i="1"/>
  <c r="AG106" i="1" s="1"/>
  <c r="AE106" i="1"/>
  <c r="AA106" i="1"/>
  <c r="N106" i="1"/>
  <c r="S106" i="1"/>
  <c r="AF107" i="1"/>
  <c r="AG107" i="1" s="1"/>
  <c r="AE107" i="1"/>
  <c r="AA107" i="1"/>
  <c r="N107" i="1"/>
  <c r="S107" i="1"/>
  <c r="AF108" i="1"/>
  <c r="AG108" i="1" s="1"/>
  <c r="AE108" i="1"/>
  <c r="AA108" i="1"/>
  <c r="N108" i="1"/>
  <c r="S108" i="1"/>
  <c r="AF109" i="1"/>
  <c r="AG109" i="1" s="1"/>
  <c r="AE109" i="1"/>
  <c r="AA109" i="1"/>
  <c r="N109" i="1"/>
  <c r="S109" i="1"/>
  <c r="AF110" i="1"/>
  <c r="AG110" i="1" s="1"/>
  <c r="AE110" i="1"/>
  <c r="AA110" i="1"/>
  <c r="N110" i="1"/>
  <c r="S110" i="1"/>
  <c r="AF111" i="1"/>
  <c r="AG111" i="1" s="1"/>
  <c r="AE111" i="1"/>
  <c r="AA111" i="1"/>
  <c r="N111" i="1"/>
  <c r="S111" i="1"/>
  <c r="AF112" i="1"/>
  <c r="AG112" i="1" s="1"/>
  <c r="AE112" i="1"/>
  <c r="AA112" i="1"/>
  <c r="N112" i="1"/>
  <c r="S112" i="1"/>
  <c r="AF114" i="1"/>
  <c r="AG114" i="1" s="1"/>
  <c r="AE114" i="1"/>
  <c r="AA114" i="1"/>
  <c r="N114" i="1"/>
  <c r="S114" i="1"/>
  <c r="V120" i="1"/>
  <c r="W120" i="1" s="1"/>
  <c r="X120" i="1" s="1"/>
  <c r="V119" i="1"/>
  <c r="W119" i="1" s="1"/>
  <c r="X119" i="1" s="1"/>
  <c r="V118" i="1"/>
  <c r="W118" i="1" s="1"/>
  <c r="X118" i="1" s="1"/>
  <c r="V117" i="1"/>
  <c r="W117" i="1" s="1"/>
  <c r="X117" i="1" s="1"/>
  <c r="V116" i="1"/>
  <c r="W116" i="1" s="1"/>
  <c r="X116" i="1" s="1"/>
  <c r="V115" i="1"/>
  <c r="W115" i="1" s="1"/>
  <c r="X115" i="1" s="1"/>
  <c r="V114" i="1"/>
  <c r="W114" i="1" s="1"/>
  <c r="X114" i="1" s="1"/>
  <c r="AF115" i="1"/>
  <c r="AG115" i="1" s="1"/>
  <c r="AE115" i="1"/>
  <c r="AA115" i="1"/>
  <c r="N115" i="1"/>
  <c r="S115" i="1"/>
  <c r="AF116" i="1"/>
  <c r="AG116" i="1" s="1"/>
  <c r="AE116" i="1"/>
  <c r="AA116" i="1"/>
  <c r="N116" i="1"/>
  <c r="S116" i="1"/>
  <c r="AF117" i="1"/>
  <c r="AG117" i="1" s="1"/>
  <c r="AE117" i="1"/>
  <c r="AA117" i="1"/>
  <c r="N117" i="1"/>
  <c r="S117" i="1"/>
  <c r="AF118" i="1"/>
  <c r="AG118" i="1" s="1"/>
  <c r="AE118" i="1"/>
  <c r="AA118" i="1"/>
  <c r="N118" i="1"/>
  <c r="S118" i="1"/>
  <c r="AF119" i="1"/>
  <c r="AG119" i="1" s="1"/>
  <c r="AE119" i="1"/>
  <c r="AA119" i="1"/>
  <c r="N119" i="1"/>
  <c r="S119" i="1"/>
  <c r="AF120" i="1"/>
  <c r="AG120" i="1" s="1"/>
  <c r="AE120" i="1"/>
  <c r="AA120" i="1"/>
  <c r="N120" i="1"/>
  <c r="S120" i="1"/>
  <c r="AF122" i="1"/>
  <c r="AG122" i="1" s="1"/>
  <c r="AE122" i="1"/>
  <c r="AA122" i="1"/>
  <c r="N122" i="1"/>
  <c r="S122" i="1"/>
  <c r="V129" i="1"/>
  <c r="W129" i="1" s="1"/>
  <c r="X129" i="1" s="1"/>
  <c r="V128" i="1"/>
  <c r="W128" i="1" s="1"/>
  <c r="X128" i="1" s="1"/>
  <c r="V127" i="1"/>
  <c r="W127" i="1" s="1"/>
  <c r="X127" i="1" s="1"/>
  <c r="V126" i="1"/>
  <c r="W126" i="1" s="1"/>
  <c r="X126" i="1" s="1"/>
  <c r="V125" i="1"/>
  <c r="W125" i="1" s="1"/>
  <c r="X125" i="1" s="1"/>
  <c r="V124" i="1"/>
  <c r="W124" i="1" s="1"/>
  <c r="X124" i="1" s="1"/>
  <c r="V123" i="1"/>
  <c r="W123" i="1" s="1"/>
  <c r="X123" i="1" s="1"/>
  <c r="V122" i="1"/>
  <c r="W122" i="1" s="1"/>
  <c r="X122" i="1" s="1"/>
  <c r="AF123" i="1"/>
  <c r="AG123" i="1" s="1"/>
  <c r="AE123" i="1"/>
  <c r="AA123" i="1"/>
  <c r="N123" i="1"/>
  <c r="S123" i="1"/>
  <c r="AF124" i="1"/>
  <c r="AG124" i="1" s="1"/>
  <c r="AE124" i="1"/>
  <c r="AA124" i="1"/>
  <c r="N124" i="1"/>
  <c r="S124" i="1"/>
  <c r="AF125" i="1"/>
  <c r="AG125" i="1" s="1"/>
  <c r="AE125" i="1"/>
  <c r="AA125" i="1"/>
  <c r="N125" i="1"/>
  <c r="S125" i="1"/>
  <c r="AF126" i="1"/>
  <c r="AG126" i="1" s="1"/>
  <c r="AE126" i="1"/>
  <c r="AA126" i="1"/>
  <c r="N126" i="1"/>
  <c r="S126" i="1"/>
  <c r="AF127" i="1"/>
  <c r="AG127" i="1" s="1"/>
  <c r="AE127" i="1"/>
  <c r="AA127" i="1"/>
  <c r="N127" i="1"/>
  <c r="S127" i="1"/>
  <c r="AF128" i="1"/>
  <c r="AG128" i="1" s="1"/>
  <c r="AE128" i="1"/>
  <c r="AA128" i="1"/>
  <c r="N128" i="1"/>
  <c r="S128" i="1"/>
  <c r="AF129" i="1"/>
  <c r="AG129" i="1" s="1"/>
  <c r="AE129" i="1"/>
  <c r="AA129" i="1"/>
  <c r="N129" i="1"/>
  <c r="S129" i="1"/>
  <c r="AG17" i="1" l="1"/>
  <c r="AG14" i="1"/>
  <c r="AG7" i="1"/>
  <c r="T129" i="1"/>
  <c r="T128" i="1"/>
  <c r="T127" i="1"/>
  <c r="T126" i="1"/>
  <c r="T125" i="1"/>
  <c r="T124" i="1"/>
  <c r="T123" i="1"/>
  <c r="C14" i="7"/>
  <c r="K14" i="7" s="1"/>
  <c r="C12" i="8" s="1"/>
  <c r="K12" i="8" s="1"/>
  <c r="H12" i="8"/>
  <c r="I12" i="8" s="1"/>
  <c r="E12" i="8"/>
  <c r="G12" i="8" s="1"/>
  <c r="H14" i="7"/>
  <c r="I14" i="7" s="1"/>
  <c r="E14" i="7"/>
  <c r="G14" i="7" s="1"/>
  <c r="T122" i="1"/>
  <c r="AB129" i="1"/>
  <c r="AC129" i="1" s="1"/>
  <c r="AD129" i="1" s="1"/>
  <c r="AB128" i="1"/>
  <c r="AC128" i="1" s="1"/>
  <c r="AD128" i="1" s="1"/>
  <c r="AB127" i="1"/>
  <c r="AC127" i="1" s="1"/>
  <c r="AD127" i="1" s="1"/>
  <c r="AB126" i="1"/>
  <c r="AC126" i="1" s="1"/>
  <c r="AD126" i="1" s="1"/>
  <c r="AB125" i="1"/>
  <c r="AC125" i="1" s="1"/>
  <c r="AD125" i="1" s="1"/>
  <c r="AB124" i="1"/>
  <c r="AC124" i="1" s="1"/>
  <c r="AD124" i="1" s="1"/>
  <c r="AB123" i="1"/>
  <c r="AC123" i="1" s="1"/>
  <c r="AD123" i="1" s="1"/>
  <c r="AB122" i="1"/>
  <c r="AC122" i="1" s="1"/>
  <c r="AD122" i="1" s="1"/>
  <c r="T120" i="1"/>
  <c r="T119" i="1"/>
  <c r="T118" i="1"/>
  <c r="T117" i="1"/>
  <c r="T116" i="1"/>
  <c r="T115" i="1"/>
  <c r="C13" i="7"/>
  <c r="K13" i="7" s="1"/>
  <c r="C11" i="8" s="1"/>
  <c r="K11" i="8" s="1"/>
  <c r="H11" i="8"/>
  <c r="I11" i="8" s="1"/>
  <c r="E11" i="8"/>
  <c r="G11" i="8" s="1"/>
  <c r="H13" i="7"/>
  <c r="I13" i="7" s="1"/>
  <c r="E13" i="7"/>
  <c r="G13" i="7" s="1"/>
  <c r="T114" i="1"/>
  <c r="AB120" i="1"/>
  <c r="AC120" i="1" s="1"/>
  <c r="AD120" i="1" s="1"/>
  <c r="AB119" i="1"/>
  <c r="AC119" i="1" s="1"/>
  <c r="AD119" i="1" s="1"/>
  <c r="AB118" i="1"/>
  <c r="AC118" i="1" s="1"/>
  <c r="AD118" i="1" s="1"/>
  <c r="AB117" i="1"/>
  <c r="AC117" i="1" s="1"/>
  <c r="AD117" i="1" s="1"/>
  <c r="AB116" i="1"/>
  <c r="AC116" i="1" s="1"/>
  <c r="AD116" i="1" s="1"/>
  <c r="AB115" i="1"/>
  <c r="AC115" i="1" s="1"/>
  <c r="AD115" i="1" s="1"/>
  <c r="AB114" i="1"/>
  <c r="AC114" i="1" s="1"/>
  <c r="AD114" i="1" s="1"/>
  <c r="T112" i="1"/>
  <c r="T111" i="1"/>
  <c r="T110" i="1"/>
  <c r="T109" i="1"/>
  <c r="T108" i="1"/>
  <c r="T107" i="1"/>
  <c r="T106" i="1"/>
  <c r="T105" i="1"/>
  <c r="T104" i="1"/>
  <c r="T103" i="1"/>
  <c r="T102" i="1"/>
  <c r="T101" i="1"/>
  <c r="T100" i="1"/>
  <c r="T99" i="1"/>
  <c r="C12" i="7"/>
  <c r="K12" i="7" s="1"/>
  <c r="C10" i="8" s="1"/>
  <c r="K10" i="8" s="1"/>
  <c r="H10" i="8"/>
  <c r="I10" i="8" s="1"/>
  <c r="E10" i="8"/>
  <c r="G10" i="8" s="1"/>
  <c r="H12" i="7"/>
  <c r="I12" i="7" s="1"/>
  <c r="E12" i="7"/>
  <c r="G12" i="7" s="1"/>
  <c r="T98" i="1"/>
  <c r="AB112" i="1"/>
  <c r="AC112" i="1" s="1"/>
  <c r="AD112" i="1" s="1"/>
  <c r="AB111" i="1"/>
  <c r="AC111" i="1" s="1"/>
  <c r="AD111" i="1" s="1"/>
  <c r="AB110" i="1"/>
  <c r="AC110" i="1" s="1"/>
  <c r="AD110" i="1" s="1"/>
  <c r="AB109" i="1"/>
  <c r="AC109" i="1" s="1"/>
  <c r="AD109" i="1" s="1"/>
  <c r="AB108" i="1"/>
  <c r="AC108" i="1" s="1"/>
  <c r="AD108" i="1" s="1"/>
  <c r="AB107" i="1"/>
  <c r="AC107" i="1" s="1"/>
  <c r="AD107" i="1" s="1"/>
  <c r="AB106" i="1"/>
  <c r="AC106" i="1" s="1"/>
  <c r="AD106" i="1" s="1"/>
  <c r="AB105" i="1"/>
  <c r="AC105" i="1" s="1"/>
  <c r="AD105" i="1" s="1"/>
  <c r="AB104" i="1"/>
  <c r="AC104" i="1" s="1"/>
  <c r="AD104" i="1" s="1"/>
  <c r="AB103" i="1"/>
  <c r="AC103" i="1" s="1"/>
  <c r="AD103" i="1" s="1"/>
  <c r="AB102" i="1"/>
  <c r="AC102" i="1" s="1"/>
  <c r="AD102" i="1" s="1"/>
  <c r="AB101" i="1"/>
  <c r="AC101" i="1" s="1"/>
  <c r="AD101" i="1" s="1"/>
  <c r="AB100" i="1"/>
  <c r="AC100" i="1" s="1"/>
  <c r="AD100" i="1" s="1"/>
  <c r="AB99" i="1"/>
  <c r="AC99" i="1" s="1"/>
  <c r="AD99" i="1" s="1"/>
  <c r="AB98" i="1"/>
  <c r="AC98" i="1" s="1"/>
  <c r="AD98" i="1" s="1"/>
  <c r="T96" i="1"/>
  <c r="T95" i="1"/>
  <c r="C11" i="7"/>
  <c r="K11" i="7" s="1"/>
  <c r="C9" i="8" s="1"/>
  <c r="K9" i="8" s="1"/>
  <c r="H9" i="8"/>
  <c r="I9" i="8" s="1"/>
  <c r="E9" i="8"/>
  <c r="G9" i="8" s="1"/>
  <c r="H11" i="7"/>
  <c r="I11" i="7" s="1"/>
  <c r="E11" i="7"/>
  <c r="G11" i="7" s="1"/>
  <c r="T94" i="1"/>
  <c r="AB96" i="1"/>
  <c r="AC96" i="1" s="1"/>
  <c r="AD96" i="1" s="1"/>
  <c r="AB95" i="1"/>
  <c r="AC95" i="1" s="1"/>
  <c r="AD95" i="1" s="1"/>
  <c r="AB94" i="1"/>
  <c r="AC94" i="1" s="1"/>
  <c r="AD94" i="1" s="1"/>
  <c r="T92" i="1"/>
  <c r="T91" i="1"/>
  <c r="T90" i="1"/>
  <c r="T89" i="1"/>
  <c r="C10" i="7"/>
  <c r="K10" i="7" s="1"/>
  <c r="C8" i="8" s="1"/>
  <c r="K8" i="8" s="1"/>
  <c r="H8" i="8"/>
  <c r="I8" i="8" s="1"/>
  <c r="E8" i="8"/>
  <c r="G8" i="8" s="1"/>
  <c r="H10" i="7"/>
  <c r="I10" i="7" s="1"/>
  <c r="E10" i="7"/>
  <c r="G10" i="7" s="1"/>
  <c r="T88" i="1"/>
  <c r="AB92" i="1"/>
  <c r="AC92" i="1" s="1"/>
  <c r="AD92" i="1" s="1"/>
  <c r="AB91" i="1"/>
  <c r="AC91" i="1" s="1"/>
  <c r="AD91" i="1" s="1"/>
  <c r="AB90" i="1"/>
  <c r="AC90" i="1" s="1"/>
  <c r="AD90" i="1" s="1"/>
  <c r="AB89" i="1"/>
  <c r="AC89" i="1" s="1"/>
  <c r="AD89" i="1" s="1"/>
  <c r="AB88" i="1"/>
  <c r="AC88" i="1" s="1"/>
  <c r="AD88" i="1" s="1"/>
  <c r="T86" i="1"/>
  <c r="T85" i="1"/>
  <c r="T84" i="1"/>
  <c r="T83" i="1"/>
  <c r="T82" i="1"/>
  <c r="T81" i="1"/>
  <c r="T80" i="1"/>
  <c r="T79" i="1"/>
  <c r="T78" i="1"/>
  <c r="T77" i="1"/>
  <c r="T76" i="1"/>
  <c r="T75" i="1"/>
  <c r="T74" i="1"/>
  <c r="T73" i="1"/>
  <c r="T72" i="1"/>
  <c r="T71" i="1"/>
  <c r="T70" i="1"/>
  <c r="T69" i="1"/>
  <c r="T68" i="1"/>
  <c r="T67" i="1"/>
  <c r="T66" i="1"/>
  <c r="T65" i="1"/>
  <c r="T64" i="1"/>
  <c r="C9" i="7"/>
  <c r="K9" i="7" s="1"/>
  <c r="C7" i="8" s="1"/>
  <c r="K7" i="8" s="1"/>
  <c r="H7" i="8"/>
  <c r="I7" i="8" s="1"/>
  <c r="E7" i="8"/>
  <c r="G7" i="8" s="1"/>
  <c r="H9" i="7"/>
  <c r="I9" i="7" s="1"/>
  <c r="E9" i="7"/>
  <c r="G9" i="7" s="1"/>
  <c r="T63" i="1"/>
  <c r="AB86" i="1"/>
  <c r="AC86" i="1" s="1"/>
  <c r="AD86" i="1" s="1"/>
  <c r="AB85" i="1"/>
  <c r="AC85" i="1" s="1"/>
  <c r="AD85" i="1" s="1"/>
  <c r="AB84" i="1"/>
  <c r="AC84" i="1" s="1"/>
  <c r="AD84" i="1" s="1"/>
  <c r="AB83" i="1"/>
  <c r="AC83" i="1" s="1"/>
  <c r="AD83" i="1" s="1"/>
  <c r="AB82" i="1"/>
  <c r="AC82" i="1" s="1"/>
  <c r="AD82" i="1" s="1"/>
  <c r="AB81" i="1"/>
  <c r="AC81" i="1" s="1"/>
  <c r="AD81" i="1" s="1"/>
  <c r="AB80" i="1"/>
  <c r="AC80" i="1" s="1"/>
  <c r="AD80" i="1" s="1"/>
  <c r="AB79" i="1"/>
  <c r="AC79" i="1" s="1"/>
  <c r="AD79" i="1" s="1"/>
  <c r="AB78" i="1"/>
  <c r="AC78" i="1" s="1"/>
  <c r="AD78" i="1" s="1"/>
  <c r="AB77" i="1"/>
  <c r="AC77" i="1" s="1"/>
  <c r="AD77" i="1" s="1"/>
  <c r="AB76" i="1"/>
  <c r="AC76" i="1" s="1"/>
  <c r="AD76" i="1" s="1"/>
  <c r="AB75" i="1"/>
  <c r="AC75" i="1" s="1"/>
  <c r="AD75" i="1" s="1"/>
  <c r="AB74" i="1"/>
  <c r="AC74" i="1" s="1"/>
  <c r="AD74" i="1" s="1"/>
  <c r="AB73" i="1"/>
  <c r="AC73" i="1" s="1"/>
  <c r="AD73" i="1" s="1"/>
  <c r="AB72" i="1"/>
  <c r="AC72" i="1" s="1"/>
  <c r="AD72" i="1" s="1"/>
  <c r="AB71" i="1"/>
  <c r="AC71" i="1" s="1"/>
  <c r="AD71" i="1" s="1"/>
  <c r="AB70" i="1"/>
  <c r="AC70" i="1" s="1"/>
  <c r="AD70" i="1" s="1"/>
  <c r="AB69" i="1"/>
  <c r="AC69" i="1" s="1"/>
  <c r="AD69" i="1" s="1"/>
  <c r="AB68" i="1"/>
  <c r="AC68" i="1" s="1"/>
  <c r="AD68" i="1" s="1"/>
  <c r="AB67" i="1"/>
  <c r="AC67" i="1" s="1"/>
  <c r="AD67" i="1" s="1"/>
  <c r="AB66" i="1"/>
  <c r="AC66" i="1" s="1"/>
  <c r="AD66" i="1" s="1"/>
  <c r="AB65" i="1"/>
  <c r="AC65" i="1" s="1"/>
  <c r="AD65" i="1" s="1"/>
  <c r="AB64" i="1"/>
  <c r="AC64" i="1" s="1"/>
  <c r="AD64" i="1" s="1"/>
  <c r="AB63" i="1"/>
  <c r="AC63" i="1" s="1"/>
  <c r="AD63" i="1" s="1"/>
  <c r="T61" i="1"/>
  <c r="T60" i="1"/>
  <c r="C8" i="7"/>
  <c r="K8" i="7" s="1"/>
  <c r="C6" i="8" s="1"/>
  <c r="K6" i="8" s="1"/>
  <c r="H6" i="8"/>
  <c r="I6" i="8" s="1"/>
  <c r="E6" i="8"/>
  <c r="G6" i="8" s="1"/>
  <c r="H8" i="7"/>
  <c r="I8" i="7" s="1"/>
  <c r="E8" i="7"/>
  <c r="G8" i="7" s="1"/>
  <c r="T59" i="1"/>
  <c r="AB61" i="1"/>
  <c r="AC61" i="1" s="1"/>
  <c r="AD61" i="1" s="1"/>
  <c r="AB60" i="1"/>
  <c r="AC60" i="1" s="1"/>
  <c r="AD60" i="1" s="1"/>
  <c r="AB59" i="1"/>
  <c r="AC59" i="1" s="1"/>
  <c r="AD59" i="1" s="1"/>
  <c r="T57" i="1"/>
  <c r="C7" i="7"/>
  <c r="K7" i="7" s="1"/>
  <c r="H7" i="7"/>
  <c r="I7" i="7" s="1"/>
  <c r="E7" i="7"/>
  <c r="G7" i="7" s="1"/>
  <c r="T56" i="1"/>
  <c r="AB57" i="1"/>
  <c r="AC57" i="1" s="1"/>
  <c r="AD57" i="1" s="1"/>
  <c r="AB56" i="1"/>
  <c r="AC56" i="1" s="1"/>
  <c r="AD56" i="1" s="1"/>
  <c r="T54" i="1"/>
  <c r="T53" i="1"/>
  <c r="T52" i="1"/>
  <c r="T51" i="1"/>
  <c r="T50" i="1"/>
  <c r="C6" i="7"/>
  <c r="K6" i="7" s="1"/>
  <c r="H6" i="7"/>
  <c r="I6" i="7" s="1"/>
  <c r="E6" i="7"/>
  <c r="G6" i="7" s="1"/>
  <c r="T49" i="1"/>
  <c r="AB54" i="1"/>
  <c r="AC54" i="1" s="1"/>
  <c r="AD54" i="1" s="1"/>
  <c r="AB53" i="1"/>
  <c r="AC53" i="1" s="1"/>
  <c r="AD53" i="1" s="1"/>
  <c r="AB52" i="1"/>
  <c r="AC52" i="1" s="1"/>
  <c r="AD52" i="1" s="1"/>
  <c r="AB51" i="1"/>
  <c r="AC51" i="1" s="1"/>
  <c r="AD51" i="1" s="1"/>
  <c r="AB50" i="1"/>
  <c r="AC50" i="1" s="1"/>
  <c r="AD50" i="1" s="1"/>
  <c r="AB49" i="1"/>
  <c r="AC49" i="1" s="1"/>
  <c r="AD49" i="1" s="1"/>
  <c r="T47" i="1"/>
  <c r="T46" i="1"/>
  <c r="T45" i="1"/>
  <c r="T44" i="1"/>
  <c r="C5" i="7"/>
  <c r="K5" i="7" s="1"/>
  <c r="H5" i="8"/>
  <c r="I5" i="8" s="1"/>
  <c r="E5" i="8"/>
  <c r="G5" i="8" s="1"/>
  <c r="H5" i="7"/>
  <c r="I5" i="7" s="1"/>
  <c r="E5" i="7"/>
  <c r="G5" i="7" s="1"/>
  <c r="T43" i="1"/>
  <c r="AB47" i="1"/>
  <c r="AC47" i="1" s="1"/>
  <c r="AD47" i="1" s="1"/>
  <c r="AB46" i="1"/>
  <c r="AC46" i="1" s="1"/>
  <c r="AD46" i="1" s="1"/>
  <c r="AB45" i="1"/>
  <c r="AC45" i="1" s="1"/>
  <c r="AD45" i="1" s="1"/>
  <c r="AB44" i="1"/>
  <c r="AC44" i="1" s="1"/>
  <c r="AD44" i="1" s="1"/>
  <c r="AB43" i="1"/>
  <c r="AC43" i="1" s="1"/>
  <c r="AD43" i="1" s="1"/>
  <c r="T41" i="1"/>
  <c r="T40" i="1"/>
  <c r="T39" i="1"/>
  <c r="T38" i="1"/>
  <c r="T37" i="1"/>
  <c r="T36" i="1"/>
  <c r="T35" i="1"/>
  <c r="T34" i="1"/>
  <c r="T33" i="1"/>
  <c r="T32" i="1"/>
  <c r="T31" i="1"/>
  <c r="T30" i="1"/>
  <c r="T29" i="1"/>
  <c r="T28" i="1"/>
  <c r="T27" i="1"/>
  <c r="T26" i="1"/>
  <c r="C4" i="7"/>
  <c r="K4" i="7" s="1"/>
  <c r="C4" i="8" s="1"/>
  <c r="K4" i="8" s="1"/>
  <c r="H4" i="8"/>
  <c r="I4" i="8" s="1"/>
  <c r="E4" i="8"/>
  <c r="G4" i="8" s="1"/>
  <c r="H4" i="7"/>
  <c r="I4" i="7" s="1"/>
  <c r="E4" i="7"/>
  <c r="G4" i="7" s="1"/>
  <c r="T25" i="1"/>
  <c r="AB41" i="1"/>
  <c r="AC41" i="1" s="1"/>
  <c r="AD41" i="1" s="1"/>
  <c r="AB40" i="1"/>
  <c r="AC40" i="1" s="1"/>
  <c r="AD40" i="1" s="1"/>
  <c r="AB39" i="1"/>
  <c r="AC39" i="1" s="1"/>
  <c r="AD39" i="1" s="1"/>
  <c r="AB38" i="1"/>
  <c r="AC38" i="1" s="1"/>
  <c r="AD38" i="1" s="1"/>
  <c r="AB37" i="1"/>
  <c r="AC37" i="1" s="1"/>
  <c r="AD37" i="1" s="1"/>
  <c r="AB36" i="1"/>
  <c r="AC36" i="1" s="1"/>
  <c r="AD36" i="1" s="1"/>
  <c r="AB35" i="1"/>
  <c r="AC35" i="1" s="1"/>
  <c r="AD35" i="1" s="1"/>
  <c r="AB34" i="1"/>
  <c r="AC34" i="1" s="1"/>
  <c r="AD34" i="1" s="1"/>
  <c r="AB33" i="1"/>
  <c r="AC33" i="1" s="1"/>
  <c r="AD33" i="1" s="1"/>
  <c r="AB32" i="1"/>
  <c r="AC32" i="1" s="1"/>
  <c r="AD32" i="1" s="1"/>
  <c r="AB31" i="1"/>
  <c r="AC31" i="1" s="1"/>
  <c r="AD31" i="1" s="1"/>
  <c r="AB30" i="1"/>
  <c r="AC30" i="1" s="1"/>
  <c r="AD30" i="1" s="1"/>
  <c r="AB29" i="1"/>
  <c r="AC29" i="1" s="1"/>
  <c r="AD29" i="1" s="1"/>
  <c r="AB28" i="1"/>
  <c r="AC28" i="1" s="1"/>
  <c r="AD28" i="1" s="1"/>
  <c r="AB27" i="1"/>
  <c r="AC27" i="1" s="1"/>
  <c r="AD27" i="1" s="1"/>
  <c r="AB26" i="1"/>
  <c r="AC26" i="1" s="1"/>
  <c r="AD26" i="1" s="1"/>
  <c r="AB25" i="1"/>
  <c r="AC25" i="1" s="1"/>
  <c r="AD25" i="1" s="1"/>
  <c r="T23" i="1"/>
  <c r="T22" i="1"/>
  <c r="T21" i="1"/>
  <c r="C3" i="7"/>
  <c r="K3" i="7" s="1"/>
  <c r="C3" i="8" s="1"/>
  <c r="K3" i="8" s="1"/>
  <c r="H3" i="8"/>
  <c r="I3" i="8" s="1"/>
  <c r="E3" i="8"/>
  <c r="G3" i="8" s="1"/>
  <c r="H3" i="7"/>
  <c r="I3" i="7" s="1"/>
  <c r="E3" i="7"/>
  <c r="G3" i="7" s="1"/>
  <c r="T20" i="1"/>
  <c r="AB23" i="1"/>
  <c r="AC23" i="1" s="1"/>
  <c r="AD23" i="1" s="1"/>
  <c r="AB22" i="1"/>
  <c r="AC22" i="1" s="1"/>
  <c r="AD22" i="1" s="1"/>
  <c r="AB21" i="1"/>
  <c r="AC21" i="1" s="1"/>
  <c r="AD21" i="1" s="1"/>
  <c r="AB20" i="1"/>
  <c r="AC20" i="1" s="1"/>
  <c r="AD20" i="1" s="1"/>
  <c r="T18" i="1"/>
  <c r="T17" i="1"/>
  <c r="T16" i="1"/>
  <c r="T15" i="1"/>
  <c r="T14" i="1"/>
  <c r="T13" i="1"/>
  <c r="T12" i="1"/>
  <c r="T11" i="1"/>
  <c r="T10" i="1"/>
  <c r="T9" i="1"/>
  <c r="T8" i="1"/>
  <c r="T7" i="1"/>
  <c r="T6" i="1"/>
  <c r="T5" i="1"/>
  <c r="C2" i="10"/>
  <c r="B2" i="10"/>
  <c r="C3" i="10"/>
  <c r="B3" i="10"/>
  <c r="C4" i="10"/>
  <c r="B4" i="10"/>
  <c r="C5" i="10"/>
  <c r="B5" i="10"/>
  <c r="C6" i="10"/>
  <c r="B6" i="10"/>
  <c r="C7" i="10"/>
  <c r="B7" i="10"/>
  <c r="C8" i="10"/>
  <c r="B8" i="10"/>
  <c r="C9" i="10"/>
  <c r="B9" i="10"/>
  <c r="C10" i="10"/>
  <c r="B10" i="10"/>
  <c r="C11" i="10"/>
  <c r="B11" i="10"/>
  <c r="C12" i="10"/>
  <c r="B12" i="10"/>
  <c r="C13" i="10"/>
  <c r="B13" i="10"/>
  <c r="C14" i="10"/>
  <c r="B14" i="10"/>
  <c r="C15" i="10"/>
  <c r="B15" i="10"/>
  <c r="C16" i="10"/>
  <c r="B16" i="10"/>
  <c r="C17" i="10"/>
  <c r="B17" i="10"/>
  <c r="C18" i="10"/>
  <c r="B18" i="10"/>
  <c r="C19" i="10"/>
  <c r="B19" i="10"/>
  <c r="C20" i="10"/>
  <c r="B20" i="10"/>
  <c r="C21" i="10"/>
  <c r="B21" i="10"/>
  <c r="C22" i="10"/>
  <c r="B22" i="10"/>
  <c r="C23" i="10"/>
  <c r="B23" i="10"/>
  <c r="C24" i="10"/>
  <c r="B24" i="10"/>
  <c r="C25" i="10"/>
  <c r="B25" i="10"/>
  <c r="C26" i="10"/>
  <c r="B26" i="10"/>
  <c r="C27" i="10"/>
  <c r="B27" i="10"/>
  <c r="C28" i="10"/>
  <c r="B28" i="10"/>
  <c r="C29" i="10"/>
  <c r="B29" i="10"/>
  <c r="C30" i="10"/>
  <c r="B30" i="10"/>
  <c r="C31" i="10"/>
  <c r="B31" i="10"/>
  <c r="C32" i="10"/>
  <c r="B32" i="10"/>
  <c r="C33" i="10"/>
  <c r="B33" i="10"/>
  <c r="C34" i="10"/>
  <c r="B34" i="10"/>
  <c r="C35" i="10"/>
  <c r="B35" i="10"/>
  <c r="C36" i="10"/>
  <c r="B36" i="10"/>
  <c r="C37" i="10"/>
  <c r="B37" i="10"/>
  <c r="C38" i="10"/>
  <c r="B38" i="10"/>
  <c r="C39" i="10"/>
  <c r="B39" i="10"/>
  <c r="C40" i="10"/>
  <c r="B40" i="10"/>
  <c r="C41" i="10"/>
  <c r="B41" i="10"/>
  <c r="C42" i="10"/>
  <c r="B42" i="10"/>
  <c r="C43" i="10"/>
  <c r="B43" i="10"/>
  <c r="C44" i="10"/>
  <c r="B44" i="10"/>
  <c r="C45" i="10"/>
  <c r="B45" i="10"/>
  <c r="C46" i="10"/>
  <c r="B46" i="10"/>
  <c r="C47" i="10"/>
  <c r="B47" i="10"/>
  <c r="C48" i="10"/>
  <c r="B48" i="10"/>
  <c r="C49" i="10"/>
  <c r="B49" i="10"/>
  <c r="C50" i="10"/>
  <c r="B50" i="10"/>
  <c r="C51" i="10"/>
  <c r="B51" i="10"/>
  <c r="C52" i="10"/>
  <c r="B52" i="10"/>
  <c r="C53" i="10"/>
  <c r="B53" i="10"/>
  <c r="C54" i="10"/>
  <c r="B54" i="10"/>
  <c r="C55" i="10"/>
  <c r="B55" i="10"/>
  <c r="C56" i="10"/>
  <c r="B56" i="10"/>
  <c r="C57" i="10"/>
  <c r="B57" i="10"/>
  <c r="C58" i="10"/>
  <c r="B58" i="10"/>
  <c r="C59" i="10"/>
  <c r="B59" i="10"/>
  <c r="C60" i="10"/>
  <c r="B60" i="10"/>
  <c r="C61" i="10"/>
  <c r="B61" i="10"/>
  <c r="C62" i="10"/>
  <c r="B62" i="10"/>
  <c r="C63" i="10"/>
  <c r="B63" i="10"/>
  <c r="C64" i="10"/>
  <c r="B64" i="10"/>
  <c r="C65" i="10"/>
  <c r="B65" i="10"/>
  <c r="C66" i="10"/>
  <c r="B66" i="10"/>
  <c r="C67" i="10"/>
  <c r="B67" i="10"/>
  <c r="C68" i="10"/>
  <c r="B68" i="10"/>
  <c r="C69" i="10"/>
  <c r="B69" i="10"/>
  <c r="C70" i="10"/>
  <c r="B70" i="10"/>
  <c r="C71" i="10"/>
  <c r="B71" i="10"/>
  <c r="C72" i="10"/>
  <c r="B72" i="10"/>
  <c r="C73" i="10"/>
  <c r="B73" i="10"/>
  <c r="C74" i="10"/>
  <c r="B74" i="10"/>
  <c r="C75" i="10"/>
  <c r="B75" i="10"/>
  <c r="C76" i="10"/>
  <c r="B76" i="10"/>
  <c r="C77" i="10"/>
  <c r="B77" i="10"/>
  <c r="C78" i="10"/>
  <c r="B78" i="10"/>
  <c r="C79" i="10"/>
  <c r="B79" i="10"/>
  <c r="C80" i="10"/>
  <c r="B80" i="10"/>
  <c r="C81" i="10"/>
  <c r="B81" i="10"/>
  <c r="C82" i="10"/>
  <c r="B82" i="10"/>
  <c r="C83" i="10"/>
  <c r="B83" i="10"/>
  <c r="C84" i="10"/>
  <c r="B84" i="10"/>
  <c r="C85" i="10"/>
  <c r="B85" i="10"/>
  <c r="C86" i="10"/>
  <c r="B86" i="10"/>
  <c r="C87" i="10"/>
  <c r="B87" i="10"/>
  <c r="C88" i="10"/>
  <c r="B88" i="10"/>
  <c r="C89" i="10"/>
  <c r="B89" i="10"/>
  <c r="C90" i="10"/>
  <c r="B90" i="10"/>
  <c r="C91" i="10"/>
  <c r="B91" i="10"/>
  <c r="C92" i="10"/>
  <c r="B92" i="10"/>
  <c r="C93" i="10"/>
  <c r="B93" i="10"/>
  <c r="C94" i="10"/>
  <c r="B94" i="10"/>
  <c r="C95" i="10"/>
  <c r="B95" i="10"/>
  <c r="C96" i="10"/>
  <c r="B96" i="10"/>
  <c r="C97" i="10"/>
  <c r="B97" i="10"/>
  <c r="C98" i="10"/>
  <c r="B98" i="10"/>
  <c r="C99" i="10"/>
  <c r="B99" i="10"/>
  <c r="C100" i="10"/>
  <c r="B100" i="10"/>
  <c r="C101" i="10"/>
  <c r="B101" i="10"/>
  <c r="C102" i="10"/>
  <c r="B102" i="10"/>
  <c r="C103" i="10"/>
  <c r="B103" i="10"/>
  <c r="C104" i="10"/>
  <c r="B104" i="10"/>
  <c r="C105" i="10"/>
  <c r="B105" i="10"/>
  <c r="C106" i="10"/>
  <c r="B106" i="10"/>
  <c r="C107" i="10"/>
  <c r="B107" i="10"/>
  <c r="C108" i="10"/>
  <c r="B108" i="10"/>
  <c r="C109" i="10"/>
  <c r="B109" i="10"/>
  <c r="C110" i="10"/>
  <c r="B110" i="10"/>
  <c r="C111" i="10"/>
  <c r="B111" i="10"/>
  <c r="C112" i="10"/>
  <c r="B112" i="10"/>
  <c r="C113" i="10"/>
  <c r="B113" i="10"/>
  <c r="C114" i="10"/>
  <c r="B114" i="10"/>
  <c r="C115" i="10"/>
  <c r="B115" i="10"/>
  <c r="C116" i="10"/>
  <c r="B116" i="10"/>
  <c r="C117" i="10"/>
  <c r="B117" i="10"/>
  <c r="C118" i="10"/>
  <c r="B118" i="10"/>
  <c r="C119" i="10"/>
  <c r="B119" i="10"/>
  <c r="C120" i="10"/>
  <c r="B120" i="10"/>
  <c r="C121" i="10"/>
  <c r="B121" i="10"/>
  <c r="C122" i="10"/>
  <c r="B122" i="10"/>
  <c r="C123" i="10"/>
  <c r="B123" i="10"/>
  <c r="C124" i="10"/>
  <c r="B124" i="10"/>
  <c r="C125" i="10"/>
  <c r="B125" i="10"/>
  <c r="C126" i="10"/>
  <c r="B126" i="10"/>
  <c r="C127" i="10"/>
  <c r="B127" i="10"/>
  <c r="C128" i="10"/>
  <c r="B128" i="10"/>
  <c r="C129" i="10"/>
  <c r="B129" i="10"/>
  <c r="C2" i="7"/>
  <c r="K2" i="7" s="1"/>
  <c r="C2" i="8" s="1"/>
  <c r="K2" i="8" s="1"/>
  <c r="H2" i="8"/>
  <c r="I2" i="8" s="1"/>
  <c r="E2" i="8"/>
  <c r="G2" i="8" s="1"/>
  <c r="H2" i="7"/>
  <c r="I2" i="7" s="1"/>
  <c r="E2" i="7"/>
  <c r="G2" i="7" s="1"/>
  <c r="T4" i="1"/>
  <c r="AB18" i="1"/>
  <c r="AC18" i="1" s="1"/>
  <c r="AD18" i="1" s="1"/>
  <c r="AB17" i="1"/>
  <c r="AC17" i="1" s="1"/>
  <c r="AD17" i="1" s="1"/>
  <c r="AB16" i="1"/>
  <c r="AC16" i="1" s="1"/>
  <c r="AD16" i="1" s="1"/>
  <c r="AB15" i="1"/>
  <c r="AC15" i="1" s="1"/>
  <c r="AD15" i="1" s="1"/>
  <c r="AB14" i="1"/>
  <c r="AC14" i="1" s="1"/>
  <c r="AD14" i="1" s="1"/>
  <c r="AB13" i="1"/>
  <c r="AC13" i="1" s="1"/>
  <c r="AD13" i="1" s="1"/>
  <c r="AB12" i="1"/>
  <c r="AC12" i="1" s="1"/>
  <c r="AD12" i="1" s="1"/>
  <c r="AB11" i="1"/>
  <c r="AC11" i="1" s="1"/>
  <c r="AD11" i="1" s="1"/>
  <c r="AB10" i="1"/>
  <c r="AC10" i="1" s="1"/>
  <c r="AD10" i="1" s="1"/>
  <c r="AB9" i="1"/>
  <c r="AC9" i="1" s="1"/>
  <c r="AD9" i="1" s="1"/>
  <c r="AB8" i="1"/>
  <c r="AC8" i="1" s="1"/>
  <c r="AD8" i="1" s="1"/>
  <c r="AB7" i="1"/>
  <c r="AC7" i="1" s="1"/>
  <c r="AD7" i="1" s="1"/>
  <c r="AB6" i="1"/>
  <c r="AC6" i="1" s="1"/>
  <c r="AD6" i="1" s="1"/>
  <c r="AB5" i="1"/>
  <c r="AC5" i="1" s="1"/>
  <c r="AD5" i="1" s="1"/>
  <c r="AB4" i="1"/>
  <c r="AC4" i="1" s="1"/>
  <c r="AD4" i="1" s="1"/>
  <c r="B129" i="11"/>
  <c r="B128" i="11"/>
  <c r="B127" i="11"/>
  <c r="B126" i="11"/>
  <c r="B124" i="11"/>
  <c r="B121" i="11"/>
  <c r="B120" i="11"/>
  <c r="B119" i="11"/>
  <c r="B118" i="11"/>
  <c r="B117" i="11"/>
  <c r="B116" i="11"/>
  <c r="B115" i="11"/>
  <c r="B114" i="11"/>
  <c r="B112" i="11"/>
  <c r="B109" i="11"/>
  <c r="B108" i="11"/>
  <c r="B107" i="11"/>
  <c r="B106" i="11"/>
  <c r="B105" i="11"/>
  <c r="B104" i="11"/>
  <c r="B103" i="11"/>
  <c r="B102" i="11"/>
  <c r="B100" i="11"/>
  <c r="B97" i="11"/>
  <c r="B96" i="11"/>
  <c r="B95" i="11"/>
  <c r="B94" i="11"/>
  <c r="B93" i="11"/>
  <c r="B92" i="11"/>
  <c r="B91" i="11"/>
  <c r="B90" i="11"/>
  <c r="B88" i="11"/>
  <c r="B85" i="11"/>
  <c r="B84" i="11"/>
  <c r="B83" i="11"/>
  <c r="B82" i="11"/>
  <c r="B81" i="11"/>
  <c r="B80" i="11"/>
  <c r="B79" i="11"/>
  <c r="B78" i="11"/>
  <c r="B76" i="11"/>
  <c r="B73" i="11"/>
  <c r="B72" i="11"/>
  <c r="B71" i="11"/>
  <c r="B70" i="11"/>
  <c r="B69" i="11"/>
  <c r="B68" i="11"/>
  <c r="B67" i="11"/>
  <c r="B66" i="11"/>
  <c r="B64" i="11"/>
  <c r="B61" i="11"/>
  <c r="B60" i="11"/>
  <c r="B59" i="11"/>
  <c r="B58" i="11"/>
  <c r="B57" i="11"/>
  <c r="B56" i="11"/>
  <c r="B55" i="11"/>
  <c r="B54" i="11"/>
  <c r="B52" i="11"/>
  <c r="B49" i="11"/>
  <c r="B48" i="11"/>
  <c r="B47" i="11"/>
  <c r="B46" i="11"/>
  <c r="B45" i="11"/>
  <c r="B44" i="11"/>
  <c r="B43" i="11"/>
  <c r="B42" i="11"/>
  <c r="B40" i="11"/>
  <c r="B37" i="11"/>
  <c r="B36" i="11"/>
  <c r="B35" i="11"/>
  <c r="B34" i="11"/>
  <c r="B33" i="11"/>
  <c r="B32" i="11"/>
  <c r="B31" i="11"/>
  <c r="B30" i="11"/>
  <c r="B28" i="11"/>
  <c r="B25" i="11"/>
  <c r="B24" i="11"/>
  <c r="B23" i="11"/>
  <c r="B22" i="11"/>
  <c r="B21" i="11"/>
  <c r="B20" i="11"/>
  <c r="B19" i="11"/>
  <c r="B18" i="11"/>
  <c r="B16" i="11"/>
  <c r="B13" i="11"/>
  <c r="B12" i="11"/>
  <c r="B11" i="11"/>
  <c r="B10" i="11"/>
  <c r="B9" i="11"/>
  <c r="B8" i="11"/>
  <c r="B7" i="11"/>
  <c r="B6" i="11"/>
  <c r="B5" i="11"/>
  <c r="B4" i="11"/>
  <c r="B3" i="11"/>
  <c r="B2" i="11"/>
  <c r="B125" i="11" l="1"/>
  <c r="D125" i="11" s="1"/>
  <c r="B14" i="11"/>
  <c r="A14" i="11" s="1"/>
  <c r="B26" i="11"/>
  <c r="E26" i="11" s="1"/>
  <c r="B38" i="11"/>
  <c r="F38" i="11" s="1"/>
  <c r="B50" i="11"/>
  <c r="A50" i="11" s="1"/>
  <c r="B62" i="11"/>
  <c r="F62" i="11" s="1"/>
  <c r="B74" i="11"/>
  <c r="E74" i="11" s="1"/>
  <c r="B86" i="11"/>
  <c r="D86" i="11" s="1"/>
  <c r="B98" i="11"/>
  <c r="E98" i="11" s="1"/>
  <c r="B110" i="11"/>
  <c r="E110" i="11" s="1"/>
  <c r="B122" i="11"/>
  <c r="E122" i="11" s="1"/>
  <c r="B15" i="11"/>
  <c r="E15" i="11" s="1"/>
  <c r="B27" i="11"/>
  <c r="F27" i="11" s="1"/>
  <c r="B39" i="11"/>
  <c r="E39" i="11" s="1"/>
  <c r="B51" i="11"/>
  <c r="E51" i="11" s="1"/>
  <c r="B63" i="11"/>
  <c r="F63" i="11" s="1"/>
  <c r="B75" i="11"/>
  <c r="A75" i="11" s="1"/>
  <c r="B87" i="11"/>
  <c r="F87" i="11" s="1"/>
  <c r="B99" i="11"/>
  <c r="E99" i="11" s="1"/>
  <c r="B111" i="11"/>
  <c r="D111" i="11" s="1"/>
  <c r="B123" i="11"/>
  <c r="F123" i="11" s="1"/>
  <c r="B17" i="11"/>
  <c r="F17" i="11" s="1"/>
  <c r="B29" i="11"/>
  <c r="A29" i="11" s="1"/>
  <c r="B41" i="11"/>
  <c r="F41" i="11" s="1"/>
  <c r="B53" i="11"/>
  <c r="F53" i="11" s="1"/>
  <c r="B65" i="11"/>
  <c r="F65" i="11" s="1"/>
  <c r="B77" i="11"/>
  <c r="F77" i="11" s="1"/>
  <c r="B89" i="11"/>
  <c r="F89" i="11" s="1"/>
  <c r="B101" i="11"/>
  <c r="E101" i="11" s="1"/>
  <c r="B113" i="11"/>
  <c r="E113" i="11" s="1"/>
  <c r="D14" i="7"/>
  <c r="M14" i="7" s="1"/>
  <c r="D12" i="8" s="1"/>
  <c r="M12" i="8" s="1"/>
  <c r="D13" i="7"/>
  <c r="M13" i="7" s="1"/>
  <c r="D11" i="8" s="1"/>
  <c r="M11" i="8" s="1"/>
  <c r="C5" i="8"/>
  <c r="K5" i="8" s="1"/>
  <c r="B2" i="9" s="1"/>
  <c r="D10" i="7"/>
  <c r="M10" i="7" s="1"/>
  <c r="D8" i="8" s="1"/>
  <c r="M8" i="8" s="1"/>
  <c r="D11" i="7"/>
  <c r="M11" i="7" s="1"/>
  <c r="D9" i="8" s="1"/>
  <c r="M9" i="8" s="1"/>
  <c r="D12" i="7"/>
  <c r="M12" i="7" s="1"/>
  <c r="D10" i="8" s="1"/>
  <c r="M10" i="8" s="1"/>
  <c r="D4" i="7"/>
  <c r="M4" i="7" s="1"/>
  <c r="D4" i="8" s="1"/>
  <c r="M4" i="8" s="1"/>
  <c r="D8" i="7"/>
  <c r="M8" i="7" s="1"/>
  <c r="D6" i="8" s="1"/>
  <c r="M6" i="8" s="1"/>
  <c r="D2" i="7"/>
  <c r="M2" i="7" s="1"/>
  <c r="D2" i="8" s="1"/>
  <c r="M2" i="8" s="1"/>
  <c r="D5" i="7"/>
  <c r="M5" i="7" s="1"/>
  <c r="D6" i="7"/>
  <c r="M6" i="7" s="1"/>
  <c r="D7" i="7"/>
  <c r="M7" i="7" s="1"/>
  <c r="F4" i="11"/>
  <c r="E4" i="11"/>
  <c r="D4" i="11"/>
  <c r="C4" i="11"/>
  <c r="A4" i="11"/>
  <c r="F7" i="11"/>
  <c r="E7" i="11"/>
  <c r="D7" i="11"/>
  <c r="C7" i="11"/>
  <c r="A7" i="11"/>
  <c r="F10" i="11"/>
  <c r="E10" i="11"/>
  <c r="D10" i="11"/>
  <c r="C10" i="11"/>
  <c r="A10" i="11"/>
  <c r="F13" i="11"/>
  <c r="E13" i="11"/>
  <c r="D13" i="11"/>
  <c r="C13" i="11"/>
  <c r="A13" i="11"/>
  <c r="F16" i="11"/>
  <c r="E16" i="11"/>
  <c r="D16" i="11"/>
  <c r="C16" i="11"/>
  <c r="A16" i="11"/>
  <c r="F19" i="11"/>
  <c r="E19" i="11"/>
  <c r="D19" i="11"/>
  <c r="C19" i="11"/>
  <c r="A19" i="11"/>
  <c r="F22" i="11"/>
  <c r="E22" i="11"/>
  <c r="D22" i="11"/>
  <c r="C22" i="11"/>
  <c r="A22" i="11"/>
  <c r="F25" i="11"/>
  <c r="E25" i="11"/>
  <c r="D25" i="11"/>
  <c r="C25" i="11"/>
  <c r="A25" i="11"/>
  <c r="F28" i="11"/>
  <c r="E28" i="11"/>
  <c r="D28" i="11"/>
  <c r="C28" i="11"/>
  <c r="A28" i="11"/>
  <c r="F31" i="11"/>
  <c r="E31" i="11"/>
  <c r="D31" i="11"/>
  <c r="C31" i="11"/>
  <c r="A31" i="11"/>
  <c r="F34" i="11"/>
  <c r="E34" i="11"/>
  <c r="D34" i="11"/>
  <c r="C34" i="11"/>
  <c r="A34" i="11"/>
  <c r="F37" i="11"/>
  <c r="E37" i="11"/>
  <c r="D37" i="11"/>
  <c r="C37" i="11"/>
  <c r="A37" i="11"/>
  <c r="F40" i="11"/>
  <c r="E40" i="11"/>
  <c r="D40" i="11"/>
  <c r="C40" i="11"/>
  <c r="A40" i="11"/>
  <c r="F43" i="11"/>
  <c r="E43" i="11"/>
  <c r="D43" i="11"/>
  <c r="C43" i="11"/>
  <c r="A43" i="11"/>
  <c r="F46" i="11"/>
  <c r="E46" i="11"/>
  <c r="D46" i="11"/>
  <c r="C46" i="11"/>
  <c r="A46" i="11"/>
  <c r="F49" i="11"/>
  <c r="E49" i="11"/>
  <c r="D49" i="11"/>
  <c r="C49" i="11"/>
  <c r="A49" i="11"/>
  <c r="F52" i="11"/>
  <c r="E52" i="11"/>
  <c r="D52" i="11"/>
  <c r="C52" i="11"/>
  <c r="A52" i="11"/>
  <c r="F55" i="11"/>
  <c r="E55" i="11"/>
  <c r="D55" i="11"/>
  <c r="C55" i="11"/>
  <c r="A55" i="11"/>
  <c r="F58" i="11"/>
  <c r="E58" i="11"/>
  <c r="D58" i="11"/>
  <c r="C58" i="11"/>
  <c r="A58" i="11"/>
  <c r="F61" i="11"/>
  <c r="E61" i="11"/>
  <c r="D61" i="11"/>
  <c r="C61" i="11"/>
  <c r="A61" i="11"/>
  <c r="F64" i="11"/>
  <c r="E64" i="11"/>
  <c r="D64" i="11"/>
  <c r="C64" i="11"/>
  <c r="A64" i="11"/>
  <c r="F67" i="11"/>
  <c r="E67" i="11"/>
  <c r="D67" i="11"/>
  <c r="C67" i="11"/>
  <c r="A67" i="11"/>
  <c r="F70" i="11"/>
  <c r="E70" i="11"/>
  <c r="D70" i="11"/>
  <c r="C70" i="11"/>
  <c r="A70" i="11"/>
  <c r="F73" i="11"/>
  <c r="E73" i="11"/>
  <c r="D73" i="11"/>
  <c r="C73" i="11"/>
  <c r="A73" i="11"/>
  <c r="F76" i="11"/>
  <c r="E76" i="11"/>
  <c r="D76" i="11"/>
  <c r="C76" i="11"/>
  <c r="A76" i="11"/>
  <c r="F79" i="11"/>
  <c r="E79" i="11"/>
  <c r="D79" i="11"/>
  <c r="C79" i="11"/>
  <c r="A79" i="11"/>
  <c r="F82" i="11"/>
  <c r="E82" i="11"/>
  <c r="D82" i="11"/>
  <c r="C82" i="11"/>
  <c r="A82" i="11"/>
  <c r="F85" i="11"/>
  <c r="E85" i="11"/>
  <c r="D85" i="11"/>
  <c r="C85" i="11"/>
  <c r="A85" i="11"/>
  <c r="F88" i="11"/>
  <c r="E88" i="11"/>
  <c r="D88" i="11"/>
  <c r="C88" i="11"/>
  <c r="A88" i="11"/>
  <c r="F91" i="11"/>
  <c r="E91" i="11"/>
  <c r="D91" i="11"/>
  <c r="C91" i="11"/>
  <c r="A91" i="11"/>
  <c r="F94" i="11"/>
  <c r="E94" i="11"/>
  <c r="D94" i="11"/>
  <c r="C94" i="11"/>
  <c r="A94" i="11"/>
  <c r="F97" i="11"/>
  <c r="E97" i="11"/>
  <c r="D97" i="11"/>
  <c r="C97" i="11"/>
  <c r="A97" i="11"/>
  <c r="F100" i="11"/>
  <c r="E100" i="11"/>
  <c r="D100" i="11"/>
  <c r="C100" i="11"/>
  <c r="A100" i="11"/>
  <c r="F103" i="11"/>
  <c r="E103" i="11"/>
  <c r="D103" i="11"/>
  <c r="C103" i="11"/>
  <c r="A103" i="11"/>
  <c r="F106" i="11"/>
  <c r="E106" i="11"/>
  <c r="D106" i="11"/>
  <c r="C106" i="11"/>
  <c r="A106" i="11"/>
  <c r="F109" i="11"/>
  <c r="E109" i="11"/>
  <c r="D109" i="11"/>
  <c r="C109" i="11"/>
  <c r="A109" i="11"/>
  <c r="F112" i="11"/>
  <c r="E112" i="11"/>
  <c r="D112" i="11"/>
  <c r="C112" i="11"/>
  <c r="A112" i="11"/>
  <c r="F115" i="11"/>
  <c r="E115" i="11"/>
  <c r="D115" i="11"/>
  <c r="C115" i="11"/>
  <c r="A115" i="11"/>
  <c r="F118" i="11"/>
  <c r="E118" i="11"/>
  <c r="D118" i="11"/>
  <c r="C118" i="11"/>
  <c r="A118" i="11"/>
  <c r="F121" i="11"/>
  <c r="E121" i="11"/>
  <c r="D121" i="11"/>
  <c r="C121" i="11"/>
  <c r="A121" i="11"/>
  <c r="F124" i="11"/>
  <c r="E124" i="11"/>
  <c r="D124" i="11"/>
  <c r="C124" i="11"/>
  <c r="A124" i="11"/>
  <c r="F127" i="11"/>
  <c r="E127" i="11"/>
  <c r="D127" i="11"/>
  <c r="C127" i="11"/>
  <c r="A127" i="11"/>
  <c r="F2" i="11"/>
  <c r="E2" i="11"/>
  <c r="D2" i="11"/>
  <c r="C2" i="11"/>
  <c r="A2" i="11"/>
  <c r="F5" i="11"/>
  <c r="E5" i="11"/>
  <c r="D5" i="11"/>
  <c r="C5" i="11"/>
  <c r="A5" i="11"/>
  <c r="F8" i="11"/>
  <c r="E8" i="11"/>
  <c r="D8" i="11"/>
  <c r="C8" i="11"/>
  <c r="A8" i="11"/>
  <c r="F11" i="11"/>
  <c r="E11" i="11"/>
  <c r="D11" i="11"/>
  <c r="C11" i="11"/>
  <c r="A11" i="11"/>
  <c r="F14" i="11"/>
  <c r="E14" i="11"/>
  <c r="D14" i="11"/>
  <c r="C14" i="11"/>
  <c r="F20" i="11"/>
  <c r="E20" i="11"/>
  <c r="D20" i="11"/>
  <c r="C20" i="11"/>
  <c r="A20" i="11"/>
  <c r="F23" i="11"/>
  <c r="E23" i="11"/>
  <c r="D23" i="11"/>
  <c r="C23" i="11"/>
  <c r="A23" i="11"/>
  <c r="F32" i="11"/>
  <c r="E32" i="11"/>
  <c r="D32" i="11"/>
  <c r="C32" i="11"/>
  <c r="A32" i="11"/>
  <c r="F35" i="11"/>
  <c r="E35" i="11"/>
  <c r="D35" i="11"/>
  <c r="C35" i="11"/>
  <c r="A35" i="11"/>
  <c r="F44" i="11"/>
  <c r="E44" i="11"/>
  <c r="D44" i="11"/>
  <c r="C44" i="11"/>
  <c r="A44" i="11"/>
  <c r="F47" i="11"/>
  <c r="E47" i="11"/>
  <c r="D47" i="11"/>
  <c r="C47" i="11"/>
  <c r="A47" i="11"/>
  <c r="F56" i="11"/>
  <c r="E56" i="11"/>
  <c r="D56" i="11"/>
  <c r="C56" i="11"/>
  <c r="A56" i="11"/>
  <c r="F59" i="11"/>
  <c r="E59" i="11"/>
  <c r="D59" i="11"/>
  <c r="C59" i="11"/>
  <c r="A59" i="11"/>
  <c r="F68" i="11"/>
  <c r="E68" i="11"/>
  <c r="D68" i="11"/>
  <c r="C68" i="11"/>
  <c r="A68" i="11"/>
  <c r="F71" i="11"/>
  <c r="E71" i="11"/>
  <c r="D71" i="11"/>
  <c r="C71" i="11"/>
  <c r="A71" i="11"/>
  <c r="F80" i="11"/>
  <c r="E80" i="11"/>
  <c r="D80" i="11"/>
  <c r="C80" i="11"/>
  <c r="A80" i="11"/>
  <c r="F83" i="11"/>
  <c r="E83" i="11"/>
  <c r="D83" i="11"/>
  <c r="C83" i="11"/>
  <c r="A83" i="11"/>
  <c r="F92" i="11"/>
  <c r="E92" i="11"/>
  <c r="D92" i="11"/>
  <c r="C92" i="11"/>
  <c r="A92" i="11"/>
  <c r="F95" i="11"/>
  <c r="E95" i="11"/>
  <c r="D95" i="11"/>
  <c r="C95" i="11"/>
  <c r="A95" i="11"/>
  <c r="F104" i="11"/>
  <c r="E104" i="11"/>
  <c r="D104" i="11"/>
  <c r="C104" i="11"/>
  <c r="A104" i="11"/>
  <c r="F107" i="11"/>
  <c r="E107" i="11"/>
  <c r="D107" i="11"/>
  <c r="C107" i="11"/>
  <c r="A107" i="11"/>
  <c r="F116" i="11"/>
  <c r="E116" i="11"/>
  <c r="D116" i="11"/>
  <c r="C116" i="11"/>
  <c r="A116" i="11"/>
  <c r="F119" i="11"/>
  <c r="E119" i="11"/>
  <c r="D119" i="11"/>
  <c r="C119" i="11"/>
  <c r="A119" i="11"/>
  <c r="F125" i="11"/>
  <c r="E125" i="11"/>
  <c r="C125" i="11"/>
  <c r="A125" i="11"/>
  <c r="F128" i="11"/>
  <c r="E128" i="11"/>
  <c r="D128" i="11"/>
  <c r="C128" i="11"/>
  <c r="A128" i="11"/>
  <c r="F6" i="11"/>
  <c r="E6" i="11"/>
  <c r="D6" i="11"/>
  <c r="C6" i="11"/>
  <c r="A6" i="11"/>
  <c r="F12" i="11"/>
  <c r="E12" i="11"/>
  <c r="D12" i="11"/>
  <c r="C12" i="11"/>
  <c r="A12" i="11"/>
  <c r="F18" i="11"/>
  <c r="E18" i="11"/>
  <c r="D18" i="11"/>
  <c r="C18" i="11"/>
  <c r="A18" i="11"/>
  <c r="F24" i="11"/>
  <c r="E24" i="11"/>
  <c r="D24" i="11"/>
  <c r="C24" i="11"/>
  <c r="A24" i="11"/>
  <c r="F30" i="11"/>
  <c r="E30" i="11"/>
  <c r="D30" i="11"/>
  <c r="C30" i="11"/>
  <c r="A30" i="11"/>
  <c r="F36" i="11"/>
  <c r="E36" i="11"/>
  <c r="D36" i="11"/>
  <c r="C36" i="11"/>
  <c r="A36" i="11"/>
  <c r="F42" i="11"/>
  <c r="E42" i="11"/>
  <c r="D42" i="11"/>
  <c r="C42" i="11"/>
  <c r="A42" i="11"/>
  <c r="F3" i="11"/>
  <c r="E3" i="11"/>
  <c r="D3" i="11"/>
  <c r="C3" i="11"/>
  <c r="A3" i="11"/>
  <c r="F9" i="11"/>
  <c r="E9" i="11"/>
  <c r="D9" i="11"/>
  <c r="C9" i="11"/>
  <c r="A9" i="11"/>
  <c r="F21" i="11"/>
  <c r="E21" i="11"/>
  <c r="D21" i="11"/>
  <c r="C21" i="11"/>
  <c r="A21" i="11"/>
  <c r="F33" i="11"/>
  <c r="E33" i="11"/>
  <c r="D33" i="11"/>
  <c r="C33" i="11"/>
  <c r="A33" i="11"/>
  <c r="C39" i="11"/>
  <c r="F45" i="11"/>
  <c r="E45" i="11"/>
  <c r="D45" i="11"/>
  <c r="C45" i="11"/>
  <c r="A45" i="11"/>
  <c r="F48" i="11"/>
  <c r="E48" i="11"/>
  <c r="D48" i="11"/>
  <c r="C48" i="11"/>
  <c r="A48" i="11"/>
  <c r="F54" i="11"/>
  <c r="E54" i="11"/>
  <c r="D54" i="11"/>
  <c r="C54" i="11"/>
  <c r="A54" i="11"/>
  <c r="F57" i="11"/>
  <c r="E57" i="11"/>
  <c r="D57" i="11"/>
  <c r="C57" i="11"/>
  <c r="A57" i="11"/>
  <c r="F60" i="11"/>
  <c r="E60" i="11"/>
  <c r="D60" i="11"/>
  <c r="C60" i="11"/>
  <c r="A60" i="11"/>
  <c r="F66" i="11"/>
  <c r="E66" i="11"/>
  <c r="D66" i="11"/>
  <c r="C66" i="11"/>
  <c r="A66" i="11"/>
  <c r="F69" i="11"/>
  <c r="E69" i="11"/>
  <c r="D69" i="11"/>
  <c r="C69" i="11"/>
  <c r="A69" i="11"/>
  <c r="F72" i="11"/>
  <c r="E72" i="11"/>
  <c r="D72" i="11"/>
  <c r="C72" i="11"/>
  <c r="A72" i="11"/>
  <c r="F78" i="11"/>
  <c r="E78" i="11"/>
  <c r="D78" i="11"/>
  <c r="C78" i="11"/>
  <c r="A78" i="11"/>
  <c r="F81" i="11"/>
  <c r="E81" i="11"/>
  <c r="D81" i="11"/>
  <c r="C81" i="11"/>
  <c r="A81" i="11"/>
  <c r="F84" i="11"/>
  <c r="E84" i="11"/>
  <c r="D84" i="11"/>
  <c r="C84" i="11"/>
  <c r="A84" i="11"/>
  <c r="F90" i="11"/>
  <c r="E90" i="11"/>
  <c r="D90" i="11"/>
  <c r="C90" i="11"/>
  <c r="A90" i="11"/>
  <c r="F93" i="11"/>
  <c r="E93" i="11"/>
  <c r="D93" i="11"/>
  <c r="C93" i="11"/>
  <c r="A93" i="11"/>
  <c r="F96" i="11"/>
  <c r="E96" i="11"/>
  <c r="D96" i="11"/>
  <c r="C96" i="11"/>
  <c r="A96" i="11"/>
  <c r="F102" i="11"/>
  <c r="E102" i="11"/>
  <c r="D102" i="11"/>
  <c r="C102" i="11"/>
  <c r="A102" i="11"/>
  <c r="F105" i="11"/>
  <c r="E105" i="11"/>
  <c r="D105" i="11"/>
  <c r="C105" i="11"/>
  <c r="A105" i="11"/>
  <c r="F108" i="11"/>
  <c r="E108" i="11"/>
  <c r="D108" i="11"/>
  <c r="C108" i="11"/>
  <c r="A108" i="11"/>
  <c r="F114" i="11"/>
  <c r="E114" i="11"/>
  <c r="D114" i="11"/>
  <c r="C114" i="11"/>
  <c r="A114" i="11"/>
  <c r="F117" i="11"/>
  <c r="E117" i="11"/>
  <c r="D117" i="11"/>
  <c r="C117" i="11"/>
  <c r="A117" i="11"/>
  <c r="F120" i="11"/>
  <c r="E120" i="11"/>
  <c r="D120" i="11"/>
  <c r="C120" i="11"/>
  <c r="A120" i="11"/>
  <c r="F126" i="11"/>
  <c r="E126" i="11"/>
  <c r="D126" i="11"/>
  <c r="C126" i="11"/>
  <c r="A126" i="11"/>
  <c r="F129" i="11"/>
  <c r="E129" i="11"/>
  <c r="D129" i="11"/>
  <c r="C129" i="11"/>
  <c r="A129" i="11"/>
  <c r="D3" i="7"/>
  <c r="M3" i="7" s="1"/>
  <c r="D3" i="8" s="1"/>
  <c r="M3" i="8" s="1"/>
  <c r="D9" i="7"/>
  <c r="M9" i="7" s="1"/>
  <c r="D7" i="8" s="1"/>
  <c r="M7" i="8" s="1"/>
  <c r="F110" i="11" l="1"/>
  <c r="D87" i="11"/>
  <c r="D89" i="11"/>
  <c r="E86" i="11"/>
  <c r="F39" i="11"/>
  <c r="C65" i="11"/>
  <c r="C77" i="11"/>
  <c r="D65" i="11"/>
  <c r="E65" i="11"/>
  <c r="D26" i="11"/>
  <c r="A89" i="11"/>
  <c r="F26" i="11"/>
  <c r="F101" i="11"/>
  <c r="D77" i="11"/>
  <c r="F74" i="11"/>
  <c r="C51" i="11"/>
  <c r="E77" i="11"/>
  <c r="A51" i="11"/>
  <c r="F51" i="11"/>
  <c r="F86" i="11"/>
  <c r="E111" i="11"/>
  <c r="A39" i="11"/>
  <c r="A87" i="11"/>
  <c r="F113" i="11"/>
  <c r="C101" i="11"/>
  <c r="D39" i="11"/>
  <c r="A98" i="11"/>
  <c r="C89" i="11"/>
  <c r="C38" i="11"/>
  <c r="C87" i="11"/>
  <c r="C113" i="11"/>
  <c r="A86" i="11"/>
  <c r="E89" i="11"/>
  <c r="C86" i="11"/>
  <c r="C63" i="11"/>
  <c r="D63" i="11"/>
  <c r="A63" i="11"/>
  <c r="A77" i="11"/>
  <c r="D123" i="11"/>
  <c r="A65" i="11"/>
  <c r="A38" i="11"/>
  <c r="C26" i="11"/>
  <c r="A62" i="11"/>
  <c r="F50" i="11"/>
  <c r="D38" i="11"/>
  <c r="A99" i="11"/>
  <c r="C62" i="11"/>
  <c r="E63" i="11"/>
  <c r="E62" i="11"/>
  <c r="E38" i="11"/>
  <c r="C29" i="11"/>
  <c r="A123" i="11"/>
  <c r="C75" i="11"/>
  <c r="D75" i="11"/>
  <c r="C50" i="11"/>
  <c r="E75" i="11"/>
  <c r="D50" i="11"/>
  <c r="F75" i="11"/>
  <c r="E50" i="11"/>
  <c r="D122" i="11"/>
  <c r="A101" i="11"/>
  <c r="D101" i="11"/>
  <c r="D29" i="11"/>
  <c r="C123" i="11"/>
  <c r="C99" i="11"/>
  <c r="D51" i="11"/>
  <c r="A122" i="11"/>
  <c r="E29" i="11"/>
  <c r="C122" i="11"/>
  <c r="A113" i="11"/>
  <c r="A26" i="11"/>
  <c r="D113" i="11"/>
  <c r="E123" i="11"/>
  <c r="F111" i="11"/>
  <c r="D62" i="11"/>
  <c r="A41" i="11"/>
  <c r="F29" i="11"/>
  <c r="D15" i="11"/>
  <c r="F122" i="11"/>
  <c r="D27" i="11"/>
  <c r="E41" i="11"/>
  <c r="D99" i="11"/>
  <c r="E27" i="11"/>
  <c r="A53" i="11"/>
  <c r="E87" i="11"/>
  <c r="A110" i="11"/>
  <c r="F98" i="11"/>
  <c r="A74" i="11"/>
  <c r="C53" i="11"/>
  <c r="C17" i="11"/>
  <c r="A111" i="11"/>
  <c r="F99" i="11"/>
  <c r="C110" i="11"/>
  <c r="C74" i="11"/>
  <c r="D53" i="11"/>
  <c r="D17" i="11"/>
  <c r="A15" i="11"/>
  <c r="C41" i="11"/>
  <c r="F15" i="11"/>
  <c r="A17" i="11"/>
  <c r="D110" i="11"/>
  <c r="D74" i="11"/>
  <c r="E53" i="11"/>
  <c r="E17" i="11"/>
  <c r="C15" i="11"/>
  <c r="A27" i="11"/>
  <c r="C27" i="11"/>
  <c r="C98" i="11"/>
  <c r="D41" i="11"/>
  <c r="D98" i="11"/>
  <c r="C111" i="11"/>
  <c r="D5" i="8"/>
  <c r="M5" i="8" s="1"/>
  <c r="C2" i="9" s="1"/>
</calcChain>
</file>

<file path=xl/sharedStrings.xml><?xml version="1.0" encoding="utf-8"?>
<sst xmlns="http://schemas.openxmlformats.org/spreadsheetml/2006/main" count="3848" uniqueCount="2126">
  <si>
    <t>Navigation: Use the + / – buttons in the left margin to expand/collapse each indicator section. Tip: Expand one indicator at a time.</t>
  </si>
  <si>
    <t>SCORE_NUM</t>
  </si>
  <si>
    <t>TARGET_SCORE_NUM</t>
  </si>
  <si>
    <t>ADJ_WEIGHT</t>
  </si>
  <si>
    <t>TOTAL_WEIGHT</t>
  </si>
  <si>
    <t>WEIGHT_SHARE</t>
  </si>
  <si>
    <t>WEIGHTED_SCORE</t>
  </si>
  <si>
    <t>NR_FLAG</t>
  </si>
  <si>
    <t>NR_SEQ</t>
  </si>
  <si>
    <t>ADJ_WEIGHT_TGT</t>
  </si>
  <si>
    <t>TOTAL_WEIGHT_TGT</t>
  </si>
  <si>
    <t>WEIGHT_SHARE_TGT</t>
  </si>
  <si>
    <t>WEIGHTED_SCORE_TGT</t>
  </si>
  <si>
    <t>NR_FLAG_TGT</t>
  </si>
  <si>
    <t>DIFF_FLAG</t>
  </si>
  <si>
    <t>DIFF_SEQ</t>
  </si>
  <si>
    <t>Quality Indicator</t>
  </si>
  <si>
    <t>DIM_ID</t>
  </si>
  <si>
    <t>ELEM_ID</t>
  </si>
  <si>
    <t>QIND_ID</t>
  </si>
  <si>
    <t>RBP_ID</t>
  </si>
  <si>
    <t>Standards and Codes (S&amp;C)</t>
  </si>
  <si>
    <t>WEIGHT</t>
  </si>
  <si>
    <t>Current Observance</t>
  </si>
  <si>
    <t>Target Observance</t>
  </si>
  <si>
    <t>COMMENT</t>
  </si>
  <si>
    <t>REFERENCES</t>
  </si>
  <si>
    <t>SCORE</t>
  </si>
  <si>
    <t>TARGET_SCORE</t>
  </si>
  <si>
    <t>KEY_TYPE</t>
  </si>
  <si>
    <t>STANDARD</t>
  </si>
  <si>
    <t>E_DESC</t>
  </si>
  <si>
    <t>SORT_ORDER</t>
  </si>
  <si>
    <t>The responsibility for collecting, processing, and disseminating official statistics is clearly specified in law</t>
  </si>
  <si>
    <t>1</t>
  </si>
  <si>
    <t>1_1</t>
  </si>
  <si>
    <t>1_1_1</t>
  </si>
  <si>
    <t>1_1_1_1</t>
  </si>
  <si>
    <t>Does a law, such as a statistical law or other relevant law, establish a clear legal framework for the development, production, and dissemination of official statistics?</t>
  </si>
  <si>
    <t>Explicit statement of objective and scope of the national statistical system, covering all key statistical activities (Articles 1–2 GLOS). European Statistical Code of Practice Principle 1</t>
  </si>
  <si>
    <t>BP</t>
  </si>
  <si>
    <t>The legal framework defining the national statistical system is comprehensive</t>
  </si>
  <si>
    <t>1_1_1_2</t>
  </si>
  <si>
    <t>Does a law, such as a statistical law or other relevant law, clearly define “official statistics” and distinguish them from other statistics (administrative or private)?</t>
  </si>
  <si>
    <t>1_1_1_3</t>
  </si>
  <si>
    <t>Is the Fundamental Principle of Official Statistics - Relevance, Impartiality and Equal Access embedded in the law, such as a statistical law or other relevant law?</t>
  </si>
  <si>
    <t>Core statistical principles are fully recognized and legally binding (Article 3 GLOS). European Statistical Code of Practice Principle 1</t>
  </si>
  <si>
    <t>1_1_1_4</t>
  </si>
  <si>
    <t>Does a law, such as a statistical law or other relevant law, provide a clear mandate for producers to collect data (including compulsory surveys when necessary) if such data are not otherwise available?</t>
  </si>
  <si>
    <t>National authority is provided legal authority to conduct surveys, define methodologies, and require responses, minimizing duplication and burden (Articles 15–16 GLOS). European Statistical Code of Practice Principle 1</t>
  </si>
  <si>
    <t>1_1_1_5</t>
  </si>
  <si>
    <t>Does the law, such as a statistical law or other relevant law, override conflicting provisions in other legislation, or require that other laws comply with statistical requirements where needed?</t>
  </si>
  <si>
    <t>The law must prevail over secrecy or confidentiality rules that impede statistical work, unless explicitly exempt (Articles 17, 37 GLOS). European Statistical Code of Practice Principle 1</t>
  </si>
  <si>
    <t>1_1_1_6</t>
  </si>
  <si>
    <t>When was the statistical law or other relevant law last updated?</t>
  </si>
  <si>
    <t>European Statistical Code of Practice Principle 1</t>
  </si>
  <si>
    <t>TP</t>
  </si>
  <si>
    <t>1_1_1_7</t>
  </si>
  <si>
    <t>Is the Fundamental Principle of Official Statistics - Professional Standards, Scientific Principles, and Professional Ethics embedded in the law, such as a statistical law or other relevant law?</t>
  </si>
  <si>
    <t>1_1_1_8</t>
  </si>
  <si>
    <t>Is the Fundamental Principle of Official Statistics - Accountability and Transparency embedded in the law, such as a statistical law or other relevant law?</t>
  </si>
  <si>
    <t>1_1_1_9</t>
  </si>
  <si>
    <t>Is the Fundamental Principle of Official Statistics - Prevention of Misuse embedded in the law, such as a statistical law or other relevant law?</t>
  </si>
  <si>
    <t>1_1_1_10</t>
  </si>
  <si>
    <t>Is the Fundamental Principle of Official Statistics - Sources of Official Statistics embedded in the law, such as a statistical law or other relevant law?</t>
  </si>
  <si>
    <t>1_1_1_11</t>
  </si>
  <si>
    <t>Is the Fundamental Principle of Official Statistics - Confidentiality embedded in the law, such as a statistical law or other relevant law?</t>
  </si>
  <si>
    <t>1_1_1_12</t>
  </si>
  <si>
    <t>Is the Fundamental Principle of Official Statistics - Legislation embedded in the law, such as a statistical law or other relevant law?</t>
  </si>
  <si>
    <t>1_1_1_13</t>
  </si>
  <si>
    <t>Is the Fundamental Principle of Official Statistics - National Coordination embedded in the law, such as a statistical law or other relevant law?</t>
  </si>
  <si>
    <t>1_1_1_14</t>
  </si>
  <si>
    <t>Is the Fundamental Principle of Official Statistics - Use of International Standards embedded in the law, such as a statistical law or other relevant law?</t>
  </si>
  <si>
    <t>1_1_1_15</t>
  </si>
  <si>
    <t>Is the Fundamental Principle of Official Statistics - International Cooperation embedded in the law, such as a statistical law or other relevant law?</t>
  </si>
  <si>
    <t>The statistical organization operates independently and is free from political influence</t>
  </si>
  <si>
    <t>1_2</t>
  </si>
  <si>
    <t>1_2_1</t>
  </si>
  <si>
    <t>1_2_1_1</t>
  </si>
  <si>
    <t>Is there a National Statistical Office (NSO), department or organizational unit designated as a professionally independent body and the leading authority of the system?</t>
  </si>
  <si>
    <t>NSO is recognized under the highest authority (e.g., Prime Minister, President), with legal independence and a clear coordination mandate (Article 5 GLOS). European Statistical Code of Practice Principle 1</t>
  </si>
  <si>
    <t>Professional independence is ensured</t>
  </si>
  <si>
    <t>1_2_1_2</t>
  </si>
  <si>
    <t>Does the National Statistical Office, department, or organizational unit have full autonomy over statistical methods, data sources, content, and timing of releases (free from political/administrative interference)?</t>
  </si>
  <si>
    <t>The law guarantees professional independence in day-to-day operations and releases (Articles 3.1a, 5 GLOS). European Statistical Code of Practice Principle 1</t>
  </si>
  <si>
    <t>1_2_1_3</t>
  </si>
  <si>
    <t>Is the head of the statistical organization (e.g. Chief Statistician, Departmental Director, Director General, Statistical Unit Head),  appointed through an open, merit-based process for a fixed term, with strictly limited grounds for dismissal?</t>
  </si>
  <si>
    <t>Transparent appointment with legal protection of tenure (Article 6 GLOS). European Statistical Code of Practice Principle 1</t>
  </si>
  <si>
    <t>1_2_1_4</t>
  </si>
  <si>
    <t>Does the head of the statistical organization (e.g., Chief Statistician, Departmental Director, Director General, Statistical Unit Head) have full authority over organizational structure and staffing within the organization?</t>
  </si>
  <si>
    <t>Chief Statistician independently decides on NSO structure, staffing, and statistical standards (Articles 6.3–6.5 GLOS). European Statistical Code of Practice Principle 1</t>
  </si>
  <si>
    <t>Data sharing and coordination among data-producing agencies are effective</t>
  </si>
  <si>
    <t>1_3</t>
  </si>
  <si>
    <t>1_3_1</t>
  </si>
  <si>
    <t>1_3_1_1</t>
  </si>
  <si>
    <t>Are statistical producers (e.g., national statistical office, line ministries, central bank) clearly identified in the law and required to follow the principles of official statistics?</t>
  </si>
  <si>
    <t>Entities producing official statistics must meet the same standards and be supervised/coordinated by the NSO (Articles 2.1, 7 GLOS). European Statistical Code of Practice Principle 2</t>
  </si>
  <si>
    <t>Effective coordination of the national statistical system</t>
  </si>
  <si>
    <t>1_3_1_2</t>
  </si>
  <si>
    <t>Does a governmental policy exist that assigns a body (e.g., NSO) the authority to coordinate the national statistical system, including issuing common standards, methods, and classifications?</t>
  </si>
  <si>
    <t>NSO is empowered to set standards for official statistics across agencies, ensuring uniformity and avoiding duplication (Articles 5.2, 10 GLOS). European Statistical Code of Practice Principle 2</t>
  </si>
  <si>
    <t>1_3_1_3</t>
  </si>
  <si>
    <t>Do public administrative data producer(s) have a legal obligation to share data with the NSO and other official producers?</t>
  </si>
  <si>
    <t>Public authorities must give producers access to existing data free of charge; changes in admin data systems should be pre-consulted (Article 17 GLOS). European Statistical Code of Practice Principle 2</t>
  </si>
  <si>
    <t>DS</t>
  </si>
  <si>
    <t>1_3_1_4</t>
  </si>
  <si>
    <t>Have MOUs or some other form of data exchange agreements been established with customs authorities?</t>
  </si>
  <si>
    <t>European Statistical Code of Practice Principle 2</t>
  </si>
  <si>
    <t>1_3_1_5</t>
  </si>
  <si>
    <t>What is the date the most recent data sharing agreement has been signed with customs authorities?</t>
  </si>
  <si>
    <t>1_3_1_6</t>
  </si>
  <si>
    <t>Have MOUs or some other form of data exchange agreements have been established with tax authorities?</t>
  </si>
  <si>
    <t>1_3_1_7</t>
  </si>
  <si>
    <t>What is the date the most recent data sharing agreement has been signed with tax authorities?</t>
  </si>
  <si>
    <t>1_3_1_8</t>
  </si>
  <si>
    <t>Have MOUs or some other form of data exchange agreements been established with social security authorities?</t>
  </si>
  <si>
    <t>1_3_1_9</t>
  </si>
  <si>
    <t>What is the date the most recent data sharing agreement has been signed with social security authorities?</t>
  </si>
  <si>
    <t>1_3_1_10</t>
  </si>
  <si>
    <t>Have MOUs or some other form of data exchange agreements been established with land registry authorities?</t>
  </si>
  <si>
    <t>1_3_1_11</t>
  </si>
  <si>
    <t>What is the date the most recent data sharing agreement has been signed with land registry authorities?</t>
  </si>
  <si>
    <t>1_3_1_12</t>
  </si>
  <si>
    <t>Have MOUs or some other form of data exchange agreements been established with private sector entities?</t>
  </si>
  <si>
    <t>1_3_1_13</t>
  </si>
  <si>
    <t>What is the date the most recent data sharing agreement has been signed with private sector entities?</t>
  </si>
  <si>
    <t>1_3_1_14</t>
  </si>
  <si>
    <t>Have MOUs or some other form of data exchange agreements been established with a Monetary Union?</t>
  </si>
  <si>
    <t>1_3_1_15</t>
  </si>
  <si>
    <t>What is the date the most recent data sharing agreement has been signed with a Monetary Union?</t>
  </si>
  <si>
    <t>1_3_1_16</t>
  </si>
  <si>
    <t>Is there a policy / law or tradition that prescribes a body (e.g. NSO) as the focal point for international cooperation and reporting obligations, and does it coordinate data transmissions abroad?</t>
  </si>
  <si>
    <t>NSO coordinates international statistical cooperation, ensuring consistency and fulfilling external reporting requirements (Articles 33–34). European Statistical Code of Practice Principle 2</t>
  </si>
  <si>
    <t>1_3_1_17</t>
  </si>
  <si>
    <t>Does the agency seek external expert assistance when needed, for evaluating statistical methodologies and systems?</t>
  </si>
  <si>
    <t>Generally recognized as a good practice: External audits or peer reviews (e.g., from international agencies) can validate and help improve technical methods and compilation systems. European Statistical Code of Practice Principle 2</t>
  </si>
  <si>
    <t>Individual reporters’ data are kept confidential and used for statistical purposes only</t>
  </si>
  <si>
    <t>1_4</t>
  </si>
  <si>
    <t>1_4_1</t>
  </si>
  <si>
    <t>1_4_1_1</t>
  </si>
  <si>
    <t>Is the security and integrity of data and their transmission guaranteed by appropriate policies and practices?</t>
  </si>
  <si>
    <t>UN NQAF (7.5) Assuring statistical confidentiality and data security. European Statistical Code of Practice Principle 5</t>
  </si>
  <si>
    <t>Statistical confidentiality and data security are assured</t>
  </si>
  <si>
    <t>1_4_1_2</t>
  </si>
  <si>
    <t>Is the identification risk of individual respondents assessed and managed?</t>
  </si>
  <si>
    <t>UN NQAF (7.6) The identification risk of individual respondents is assessed and managed. European Statistical Code of Practice Principle 5</t>
  </si>
  <si>
    <t>1_4_1_3</t>
  </si>
  <si>
    <t>Is statistical confidentiality explicitly guaranteed by law or an equivalent legal instrument?</t>
  </si>
  <si>
    <t>UN NQAF (7.1) / UN Fundamental Principle #6: Legal provisions ensuring confidentiality encourage accurate responses from data providers and maintain trust in official statistics. European Statistical Code of Practice Principle 5</t>
  </si>
  <si>
    <t>1_4_1_4</t>
  </si>
  <si>
    <t>Are the data collected by the national statistical system used exclusively for statistical purposes, and not shared with other authorities including for enforcement, regulatory or administrative decisions?</t>
  </si>
  <si>
    <t>Confidentiality provisions must be robust; no data sharing with third parties for non-statistical use (Articles 3.1(f), 20–21 GLOS). European Statistical Code of Practice Principle 5</t>
  </si>
  <si>
    <t>1_4_1_5</t>
  </si>
  <si>
    <t>Are there documented standards, guidelines, and procedures to ensure statistical confidentiality is applied consistently across the agency’s data handling processes?</t>
  </si>
  <si>
    <t>UN NQAF (7.2): Best practice includes formal rules on data protection, staff training on confidentiality, and robust IT security measures. European Statistical Code of Practice Principle 5</t>
  </si>
  <si>
    <t>SGPP</t>
  </si>
  <si>
    <t>Access to data is restricted to individuals who require access to carry out their statistical functions.</t>
  </si>
  <si>
    <t>1_4_2</t>
  </si>
  <si>
    <t>1_4_2_1</t>
  </si>
  <si>
    <t>Is access to individual data restricted to staff who require the information in the performance of their statistical duties?</t>
  </si>
  <si>
    <t>European Statistical Code of Practice Principle 5</t>
  </si>
  <si>
    <t>1_4_2_2</t>
  </si>
  <si>
    <t>Are special aggregation rules used to prevent residual disclosure when aggregations of survey or other confidential data are disseminated?</t>
  </si>
  <si>
    <t>1_4_2_3</t>
  </si>
  <si>
    <t>Do staff review all data prepared for dissemination for possible indirect disclosure (residual disclosure) of individual data and design tables and outputs in a way that prevents disclosure.</t>
  </si>
  <si>
    <t>1_4_2_4</t>
  </si>
  <si>
    <t>Do data retention policies exist, are they followed and is compliance monitored?</t>
  </si>
  <si>
    <t>1_4_2_5</t>
  </si>
  <si>
    <t>Are staff required to sign a confidentiality form as part of their terms of employment?</t>
  </si>
  <si>
    <t>1_4_2_6</t>
  </si>
  <si>
    <t>Do strict protocols govern microdata access for research or statistical purposes, ensuring confidentiality safeguards (e.g., secure on-site facilities, anonymization protocols)?</t>
  </si>
  <si>
    <t>UN NQAF (7.3): Agencies that provide microdata should have written policies specifying conditions for access, data security, and mandatory confidentiality agreements; European Statistical Code of Practice Principle 5</t>
  </si>
  <si>
    <t>BPNR</t>
  </si>
  <si>
    <t>Penalties are prescribed for willful breaches of statistical confidentiality</t>
  </si>
  <si>
    <t>1_4_3</t>
  </si>
  <si>
    <t>1_4_3_1</t>
  </si>
  <si>
    <t>Are penalties prescribed for willful breaches of statistical confidentiality, and are these penalties well-known (e.g., in legislation or agency policies)?</t>
  </si>
  <si>
    <t>UN NQAF (7.4) / IMF DQAF: Clear legal/administrative penalties help deter unauthorized data disclosure and reinforce the agency’s commitment to confidentiality; European Statistical Code of Practice Principle 5</t>
  </si>
  <si>
    <t>1_4_3_2</t>
  </si>
  <si>
    <t>Does the law or relevant organizational policy have provisions that ensure secure data processing/storage?</t>
  </si>
  <si>
    <t>Violations are punishable; producers must protect data from unauthorized access; rules for secure microdata access for research (Articles 22–26, 35 GLOS); European Statistical Code of Practice Principle 5</t>
  </si>
  <si>
    <t>Response burden on data providers is minimized</t>
  </si>
  <si>
    <t>1_5</t>
  </si>
  <si>
    <t>1_5_1</t>
  </si>
  <si>
    <t>1_5_1_1</t>
  </si>
  <si>
    <t>Does the producing agency carefully consider response burden and actively pursue alternative avenues to obtain data through non-survey modalities?</t>
  </si>
  <si>
    <t>European Statistical Code of Practice Principle 9</t>
  </si>
  <si>
    <t>Response burden is minimized</t>
  </si>
  <si>
    <t>1_5_1_2</t>
  </si>
  <si>
    <t>Does the data producing agency provide assistance to respondents with completing and submitting forms and clearly states the purpose and authority under which collection is being undertaken.</t>
  </si>
  <si>
    <t>1_5_1_3</t>
  </si>
  <si>
    <t>Does the data-producing agency seek to secure cooperation by creating goodwill through registering and dealing with respondents’ complaints, indicating the purpose of the data collection, informing respondents of measures to limit response burden, raising awareness of the importance of good quality statistics, and providing respondents with data upon request?</t>
  </si>
  <si>
    <t>Staffing levels are commensurate with the scope of the statistical program(s) managed by the organization.</t>
  </si>
  <si>
    <t>1_6</t>
  </si>
  <si>
    <t>1_6_1</t>
  </si>
  <si>
    <t>1_6_1_1</t>
  </si>
  <si>
    <t>How many staff are working in this institution?</t>
  </si>
  <si>
    <t>European Statistical Code of Practice Principle 3</t>
  </si>
  <si>
    <t>NUM</t>
  </si>
  <si>
    <t>Human resources are adequate</t>
  </si>
  <si>
    <t>1_6_1_2</t>
  </si>
  <si>
    <t>Is the number of staff assigned to this statistical program(s) sufficient to meet the quality requirements (scope, timeliness, frequency, accuracy and reliability, serviceability, and accessibility) of the statistical program(s)?</t>
  </si>
  <si>
    <t>RES</t>
  </si>
  <si>
    <t>1_6_1_3</t>
  </si>
  <si>
    <t>Do staff qualifications and skills sufficiently cover the methodological and analytical needs of the statistical program(s)?</t>
  </si>
  <si>
    <t>1_6_1_4</t>
  </si>
  <si>
    <t>Does the responsible agency have an adequate number of statisticians to support the scope of the program?</t>
  </si>
  <si>
    <t>RESNR</t>
  </si>
  <si>
    <t>1_6_1_5</t>
  </si>
  <si>
    <t>Does the responsible agency have an adequate number of Geographic Information Systems (GIS) experts to support economic statistics needs (e.g., national accounts, price indices)?</t>
  </si>
  <si>
    <t>1_6_1_6</t>
  </si>
  <si>
    <t>Does the responsible agency have an adequate number of economists to support economic statistics needs (e.g., national accounts, price indices)?</t>
  </si>
  <si>
    <t>1_6_1_7</t>
  </si>
  <si>
    <t>Does the responsible agency have an adequate number of sociologists (or social science experts) to support social statistics (e.g., labor force surveys)?</t>
  </si>
  <si>
    <t>1_6_1_8</t>
  </si>
  <si>
    <t>Does the responsible agency have an adequate number of data scientists to handle new data sources (big data, administrative data) and advanced analytics?</t>
  </si>
  <si>
    <t>1_6_1_9</t>
  </si>
  <si>
    <t>Does the responsible agency have an adequate number of administrative staff to handle new data sources (big data, administrative data) and advanced analytics?</t>
  </si>
  <si>
    <t>1_6_1_10</t>
  </si>
  <si>
    <t>Does the responsible agency have an adequate number of data collection and processing staff to handle new data sources (big data, administrative data) and advanced analytics?</t>
  </si>
  <si>
    <t>1_6_1_11</t>
  </si>
  <si>
    <t>Does the responsible agency have an adequate number of IT professionals to maintain systems, develop software, and ensure cybersecurity?</t>
  </si>
  <si>
    <t>1_6_1_12</t>
  </si>
  <si>
    <t>Does the responsible agency have enough financial sector experts (if needed) to compile specialized financial statistics (e.g., monetary, banking, balance of payments)?</t>
  </si>
  <si>
    <t>1_6_1_13</t>
  </si>
  <si>
    <t>Is the management team (number and expertise of managers) sufficient to guide strategy, oversee operations, and handle cross-cutting issues?</t>
  </si>
  <si>
    <t>1_6_1_14</t>
  </si>
  <si>
    <t>Is there a core staff with adequate training to maintain institutional knowledge and continuity?</t>
  </si>
  <si>
    <t>1_6_1_15</t>
  </si>
  <si>
    <t>Is staff turnover at a manageable level to maintain institutional knowledge and continuity?</t>
  </si>
  <si>
    <t>1_6_1_16</t>
  </si>
  <si>
    <t>Are salary levels adequate to recruit and retain skilled staff, comparable to general public administration standards in the country?</t>
  </si>
  <si>
    <t>COMP</t>
  </si>
  <si>
    <t>1_6_1_17</t>
  </si>
  <si>
    <t>Does the responsible agency have workplace programs in place that support staff training, professional development, and career advancement?</t>
  </si>
  <si>
    <t>1_6_1_18</t>
  </si>
  <si>
    <t>How many staff are working in the National Accounts statistical program?</t>
  </si>
  <si>
    <t>STFLVL</t>
  </si>
  <si>
    <t>1_6_1_19</t>
  </si>
  <si>
    <t>How many staff are working in the Balance of Payments / International Investment Position statistical program?</t>
  </si>
  <si>
    <t>1_6_1_20</t>
  </si>
  <si>
    <t>How many staff are working in the Government Finance Statistics statistical program?</t>
  </si>
  <si>
    <t>1_6_1_21</t>
  </si>
  <si>
    <t>How many staff are working in the Monetary and Financial statistical program?</t>
  </si>
  <si>
    <t>1_6_1_22</t>
  </si>
  <si>
    <t>How many staff are working in the Public Sector Debt Statistics statistical program?</t>
  </si>
  <si>
    <t>1_6_1_23</t>
  </si>
  <si>
    <t>How many staff are working in the Consumer Prices statistical program?</t>
  </si>
  <si>
    <t>1_6_1_24</t>
  </si>
  <si>
    <t>How many staff are working in the Producer Prices statistical program?</t>
  </si>
  <si>
    <t>Computing resources are commensurate with the scope of the statistical program(s) managed by the organization.</t>
  </si>
  <si>
    <t>1_7</t>
  </si>
  <si>
    <t>1_7_1</t>
  </si>
  <si>
    <t>1_7_1_1</t>
  </si>
  <si>
    <t>Are overall computing resources sufficient to compile and disseminate the statistical programs (hardware, software, and network)?</t>
  </si>
  <si>
    <t>Information technology resources are adequate</t>
  </si>
  <si>
    <t>1_7_1_2</t>
  </si>
  <si>
    <t>Is the software used for compiling and analyzing statistics effective, regularly updated, and well-adapted to current and emerging tasks?</t>
  </si>
  <si>
    <t>1_7_1_3</t>
  </si>
  <si>
    <t>Is hardware (computers, servers) distributed adequately so staff can efficiently collect, process, and manage databases?</t>
  </si>
  <si>
    <t>1_7_1_4</t>
  </si>
  <si>
    <t>Are data back-up and disaster recovery measures (e.g., for natural disasters or accidents) in place to protect databases and ensure rapid retrieval of series?</t>
  </si>
  <si>
    <t>1_7_1_5</t>
  </si>
  <si>
    <t>Does the statistical organization maintain an IT roadmap and regularly update it to ensure it utilizes the latest technology to process, disseminate, and safeguard national data assets?</t>
  </si>
  <si>
    <t>Facilities are commensurate with the scope of the statistical program(s) managed by the organization.</t>
  </si>
  <si>
    <t>1_8</t>
  </si>
  <si>
    <t>1_8_1</t>
  </si>
  <si>
    <t>1_8_1_1</t>
  </si>
  <si>
    <t>Do office building facilities provide adequate working conditions (lighting, heating/cooling, space) for staff efficiency?</t>
  </si>
  <si>
    <t>Physical infrastructure is adequate</t>
  </si>
  <si>
    <t>1_8_1_2</t>
  </si>
  <si>
    <t>Is the office furniture and equipment (desks, chairs, filing cabinets, telephones, etc.) sufficient to perform required tasks comfortably and effectively?</t>
  </si>
  <si>
    <t>1_8_1_3</t>
  </si>
  <si>
    <t>Are transportation arrangements (e.g., for field data collection) adequate to support the statistical program?</t>
  </si>
  <si>
    <t>Measures to ensure efficient use of resources are implemented.</t>
  </si>
  <si>
    <t>1_9</t>
  </si>
  <si>
    <t>1_9_1</t>
  </si>
  <si>
    <t>1_9_1_1</t>
  </si>
  <si>
    <t>Do budgeting practices provide clear information to financing authorities and facilitate priority-based discussions (e.g., expansions or cutbacks)?</t>
  </si>
  <si>
    <t>European Statistical Code of Practice Principle 10</t>
  </si>
  <si>
    <t>Cost-effectiveness practices are implemented</t>
  </si>
  <si>
    <t>1_9_1_2</t>
  </si>
  <si>
    <t>Is the funding horizon (2–3 years or more) conducive to strategic planning for future statistical developments and innovations?</t>
  </si>
  <si>
    <t>1_9_1_3</t>
  </si>
  <si>
    <t>Are there periodic reviews of staff performance to ensure alignment with goals and encourage efficiency?</t>
  </si>
  <si>
    <t>1_9_1_4</t>
  </si>
  <si>
    <t>Are efficiencies sought through periodic reviews of work processes (e.g., cost-effectiveness of surveys, consistency of methods across datasets)?</t>
  </si>
  <si>
    <t>1_9_1_5</t>
  </si>
  <si>
    <t>Are costing procedures (measuring resources used to compile the statistics) carried out periodically and compared across programs?</t>
  </si>
  <si>
    <t>1_9_1_6</t>
  </si>
  <si>
    <t>Are budgeting procedures in place to help management allocate resources among competing statistical priorities?</t>
  </si>
  <si>
    <t>1_9_1_7</t>
  </si>
  <si>
    <t>Does a resource mobilization strategy (e.g., National Strategy for the Development of Statistics, NSDS) exist to fund the statistical work and development program?</t>
  </si>
  <si>
    <t>1_9_1_8</t>
  </si>
  <si>
    <t>Is the annual work plan feasible given the available resources (staff, budget, IT, etc.)?</t>
  </si>
  <si>
    <t>1_9_1_9</t>
  </si>
  <si>
    <t>Are costs (staff costs and other costs) measured at each stage of the production process for the key statistical outputs?</t>
  </si>
  <si>
    <t>1_9_1_10</t>
  </si>
  <si>
    <t>Is information technology employed effectively to increase efficiency (e.g., use of automation, online data collection, integrated databases)?</t>
  </si>
  <si>
    <t>1_9_1_11</t>
  </si>
  <si>
    <t>Are standardization, integration, and automation of production/dissemination pursued to save costs and optimize operations?</t>
  </si>
  <si>
    <t>1_9_1_12</t>
  </si>
  <si>
    <t>Are indicators on resource usage (e.g., staff utilization, financial spending) regularly monitored and reported to management?</t>
  </si>
  <si>
    <t>1_9_1_13</t>
  </si>
  <si>
    <t>Is the use of human resources evaluated annually based on established guidelines (covering allocation, performance, and training needs)?</t>
  </si>
  <si>
    <t>1_9_1_14</t>
  </si>
  <si>
    <t>Are staff opinion/satisfaction surveys conducted regularly, and does management act on the feedback?</t>
  </si>
  <si>
    <t>1_9_1_15</t>
  </si>
  <si>
    <t>Is funding reasonably secure for identified needs of the statistical program (i.e., stable year over year)?</t>
  </si>
  <si>
    <t>The relevance and practical utility of existing statistics in meeting users’ needs are monitored.</t>
  </si>
  <si>
    <t>1_10</t>
  </si>
  <si>
    <t>1_10_1</t>
  </si>
  <si>
    <t>1_10_1_1</t>
  </si>
  <si>
    <t>Is the relevance and practical utility of existing statistics in meeting users’ needs monitored and documented?</t>
  </si>
  <si>
    <t>UN Fundamental Principle #1 emphasizes that official statistics must “meet the test of practical utility; European Statistical Code of Practice Principle 11</t>
  </si>
  <si>
    <t>Processes are in place to maintain relevance</t>
  </si>
  <si>
    <t>1_10_1_2</t>
  </si>
  <si>
    <t>Are data users regularly consulted (e.g., via surveys, newsletters, seminars) about the detail, periodicity, and timeliness of published statistics?</t>
  </si>
  <si>
    <t>UN NQAF recommends ongoing user engagement as part of a quality assurance strategy; European Statistical Code of Practice Principle 11</t>
  </si>
  <si>
    <t>1_10_1_3</t>
  </si>
  <si>
    <t>Is there a Statistical Council (or equivalent) with a broad representation of user communities, tasked with advising the statistical organization on strategic issues and user needs?</t>
  </si>
  <si>
    <t>1_10_1_4</t>
  </si>
  <si>
    <t>Are mechanisms in place to identify new and emerging data requirements?</t>
  </si>
  <si>
    <t>IMF DQAF (0.2.1) also recommends active processes to track user demands, especially as socio-economic conditions evolve.
GLOS (Generic Law on Official Statistics) encourages proactive consultation with major user categories.
UN NQAF highlights scanning of new data needs.
European Statistical Code of Practice Principle 11</t>
  </si>
  <si>
    <t>1_10_1_5</t>
  </si>
  <si>
    <t>Is there a structured, periodic consultation with policy departments, academia, media, and private sector representatives to review existing statistics and identify emerging needs?</t>
  </si>
  <si>
    <t>European Statistical Code of Practice Principle 11</t>
  </si>
  <si>
    <t>1_10_1_6</t>
  </si>
  <si>
    <t>Does the agency participate in international/regional seminars and professional events (e.g., ISI, IAOS) to stay current on developments and identify emerging data requirements?</t>
  </si>
  <si>
    <t>UN Fundamental Principle #9 emphasizes international cooperation to improve official statistics.
European Statistical Code of Practice Principle 11.</t>
  </si>
  <si>
    <t>1_10_1_7</t>
  </si>
  <si>
    <t>Does the agency undertake studies or research projects to identify and address new data requirements?</t>
  </si>
  <si>
    <t>OECD and UN guidelines encourage forward‐looking research to adapt statistical programs to societal/technological changes.
European Statistical Code of Practice Principle 11</t>
  </si>
  <si>
    <t>Quality management practices are implemented</t>
  </si>
  <si>
    <t>1_11</t>
  </si>
  <si>
    <t>1_11_1</t>
  </si>
  <si>
    <t>1_11_1_1</t>
  </si>
  <si>
    <t>Are managers sensitive to all dimensions of data quality, and do they promote a shared concern for quality throughout the organization (e.g., mission statement emphasizes importance of quality, managers are held accountable for achieving quality).</t>
  </si>
  <si>
    <t>UN NQAF: A strong quality culture starts with top management recognizing trade‐offs and systematically supporting good practices.
European Statistical Code of Practice Principle 4</t>
  </si>
  <si>
    <t>1_11_1_2</t>
  </si>
  <si>
    <t>Do staff training programs emphasize the importance of quality and clarify how quality can be achieved?</t>
  </si>
  <si>
    <t>European Statistical Code of Practice Principle 4</t>
  </si>
  <si>
    <t>1_11_1_3</t>
  </si>
  <si>
    <t>Has the organization implemented (and adapted where necessary) externally recognized processes (e.g., GSBPM, GSIM, ISO standards, or other recognized frameworks) to strengthen quality management?</t>
  </si>
  <si>
    <t>1_11_1_4</t>
  </si>
  <si>
    <t>Is information on quality commitment (including trade-offs affecting the statistical work program) regularly communicated to staff?</t>
  </si>
  <si>
    <t>UN Fundamental Principle #1: Official statistics must serve the public good—transparency about quality builds trust.
European Statistical Code of Practice Principle 4</t>
  </si>
  <si>
    <t>1_11_1_5</t>
  </si>
  <si>
    <t>Are measures in place for a systematic monitoring and review of quality?</t>
  </si>
  <si>
    <t>European Statistical Code of Practice Principle 4
UN NQAF highlights internal and external monitoring of statistical processes as essential for continuous improvement.</t>
  </si>
  <si>
    <t>1_11_1_6</t>
  </si>
  <si>
    <t>Are there monitoring processes (e.g., indicators like response rates, editing rates, revision history) in place to inform managers about current quality levels of ongoing statistical activities?</t>
  </si>
  <si>
    <t>1_11_1_7</t>
  </si>
  <si>
    <t>Do compiling areas have access to expert guidance (internal or external) on improving data production and ensuring quality?</t>
  </si>
  <si>
    <t>UN NQAF suggests building technical advisory capacity or tapping external resources for specialized methodological guidance.
European Statistical Code of Practice Principle 4</t>
  </si>
  <si>
    <t>1_11_1_8</t>
  </si>
  <si>
    <t>Are periodic reviews undertaken to identify steps necessary to maintain or improve data quality, especially for core outputs?</t>
  </si>
  <si>
    <t>European Statistical Code of Practice Principle 4
GLOS also encourages continuous quality improvement cycles (see Articles 27–28).</t>
  </si>
  <si>
    <t>Fully - This recommendation / best practice is fully implemented</t>
  </si>
  <si>
    <t>Fully - All public administrative data producers have a legal obligations to share relevant data with the NSO and other official data producers</t>
  </si>
  <si>
    <t>Fully - Recommended revision studies/analysis/roadmaps/standards/guidelines/procedures/policies are documented and available to all staff and posted where the public can access them</t>
  </si>
  <si>
    <t>Fully - Allocated resources are sufficient (quality and quantity) to meet program demands</t>
  </si>
  <si>
    <t>Fully - Staff compensation is above 95% of similar jobs in the public service.</t>
  </si>
  <si>
    <t>Highly - This recommendation / best practice is implemented but minor gaps exist in coverage and/or the consistency of its application across the program / organization</t>
  </si>
  <si>
    <t>Highly - Between 90% and 95% of all public administrative data producers have a legal obligation to share relevant data with the NSO and other official data producers</t>
  </si>
  <si>
    <t>Highly - Recommended revision studies/analysis/roadmaps/standards/guidelines/procedures/policies are documented are available to all staff but not posted for public access</t>
  </si>
  <si>
    <t>Highly - Allocated resources (quality and quantity) can only meet between 90% and 95% of program demands</t>
  </si>
  <si>
    <t>Highly - Staff compensation is between 90% and 95% of similar jobs in the public service</t>
  </si>
  <si>
    <t>Broadly - This best practice is implemented but some gaps exist in the coverage and consistency of its application across the program / organization</t>
  </si>
  <si>
    <t>Broadly - Between 80% and 89% of all public administrative data producers have a legal obligation to share relevant data with the NSO and other official data producers</t>
  </si>
  <si>
    <t>Broadly - Recommended revision studies/analysis/roadmaps/standards/guidelines/procedures/policies are documented and available to a limited set of staff members</t>
  </si>
  <si>
    <t>Broadly - Allocated resources (quality and quantity) can only meet between 80% and 89% of program demands</t>
  </si>
  <si>
    <t>Broadly - Staff compensation is between 80% and 89% of similar jobs in the public service</t>
  </si>
  <si>
    <t>Partially - This best practice is implemented but significant gaps exist in both the coverage and consistency of its application across the program / organization</t>
  </si>
  <si>
    <t>Partially - Between 50% and 79% of all public administrative data producers have a legal obligation to share relevant data with the NSO and other official data producers</t>
  </si>
  <si>
    <t>Partially - Recommended revision studies/analysis/roadmaps/standards/guidelines/procedures/policies are not documented</t>
  </si>
  <si>
    <t>Partially - Allocated resources (quality and quantity) can only meet between 50% and 79% of program demands</t>
  </si>
  <si>
    <t>Partially - Staff compensation is between 70% and 79% of similar jobs in the public service</t>
  </si>
  <si>
    <t>Not aligned - This best practice is not implemented</t>
  </si>
  <si>
    <t>Not aligned - The statistical law does not specify that public administrative data producers have a legal obligation to share relevant data with the NSO and other official data producers</t>
  </si>
  <si>
    <t>Not aligned - Recommended revision studies/analysis/roadmaps/standards/guidelines/procedures and/or policies do not exist</t>
  </si>
  <si>
    <t>Not aligned - Allocated resources (quality and quantity) can only meet less than 50% of program demands.</t>
  </si>
  <si>
    <t>Not aligned - Staff compensation is below 70% of similar jobs in the public service</t>
  </si>
  <si>
    <t>Not relevant - this best practice is not relevant to our statistical program</t>
  </si>
  <si>
    <t>Not Relevant - This organization does not produce statistics related to this domain.</t>
  </si>
  <si>
    <t>KEY</t>
  </si>
  <si>
    <t>ANSWER_VALUE</t>
  </si>
  <si>
    <t>ANSWER_DISPLAY</t>
  </si>
  <si>
    <t>KEYDISPLAY</t>
  </si>
  <si>
    <t>5</t>
  </si>
  <si>
    <t>BP|Fully - This recommendation / best practice is fully implemented</t>
  </si>
  <si>
    <t>4</t>
  </si>
  <si>
    <t>BP|Highly - This recommendation / best practice is implemented but minor gaps exist in coverage and/or the consistency of its application across the program / organization</t>
  </si>
  <si>
    <t>3</t>
  </si>
  <si>
    <t>BP|Broadly - This best practice is implemented but some gaps exist in the coverage and consistency of its application across the program / organization</t>
  </si>
  <si>
    <t>2</t>
  </si>
  <si>
    <t>BP|Partially - This best practice is implemented but significant gaps exist in both the coverage and consistency of its application across the program / organization</t>
  </si>
  <si>
    <t>0</t>
  </si>
  <si>
    <t>BP|Not aligned - This best practice is not implemented</t>
  </si>
  <si>
    <t>BPNR|Fully - This recommendation / best practice is fully implemented</t>
  </si>
  <si>
    <t>BPNR|Highly - This recommendation / best practice is implemented but minor gaps exist in coverage and/or the consistency of its application across the program / organization</t>
  </si>
  <si>
    <t>BPNR|Broadly - This best practice is implemented but some gaps exist in the coverage and consistency of its application across the program / organization</t>
  </si>
  <si>
    <t>BPNR|Partially - This best practice is implemented but significant gaps exist in both the coverage and consistency of its application across the program / organization</t>
  </si>
  <si>
    <t>BPNR|Not aligned - This best practice is not implemented</t>
  </si>
  <si>
    <t>BPNR|Not relevant - this best practice is not relevant to our statistical program</t>
  </si>
  <si>
    <t>CAL</t>
  </si>
  <si>
    <t>Fully - This concept, accounting rule, valuation method, principle of recording is fully implemented</t>
  </si>
  <si>
    <t>Fully - This concept; accounting rule; valuation method; principle of recording is fully implemented</t>
  </si>
  <si>
    <t>CAL|Fully - This concept; accounting rule; valuation method; principle of recording is fully implemented</t>
  </si>
  <si>
    <t>Highly - This concept, accounting rule, valuation method, principle of recording is fully implemented but minor gaps in coverage and/or consistency of application</t>
  </si>
  <si>
    <t>Highly - This concept; accounting rule; valuation method; principle of recording is fully implemented but minor gaps in coverage and/or consistency of application</t>
  </si>
  <si>
    <t>CAL|Highly - This concept; accounting rule; valuation method; principle of recording is fully implemented but minor gaps in coverage and/or consistency of application</t>
  </si>
  <si>
    <t>Broadly - This concept, accounting rule, valuation method, principle of recording is consistently implemented but there are some gaps in coverage and consistency of application</t>
  </si>
  <si>
    <t>Broadly - This concept; accounting rule; valuation method; principle of recording is consistently implemented but there are some gaps in coverage and consistency of application</t>
  </si>
  <si>
    <t>CAL|Broadly - This concept; accounting rule; valuation method; principle of recording is consistently implemented but there are some gaps in coverage and consistency of application</t>
  </si>
  <si>
    <t>Partially - This concept, accounting rule, valuation method, principle of recording is implemented but there are significant gaps in both coverage and consistency of application</t>
  </si>
  <si>
    <t>Partially - This concept; accounting rule; valuation method; principle of recording is implemented but there are significant gaps in both coverage and consistency of application</t>
  </si>
  <si>
    <t>CAL|Partially - This concept; accounting rule; valuation method; principle of recording is implemented but there are significant gaps in both coverage and consistency of application</t>
  </si>
  <si>
    <t>Not aligned - This concept, accounting rule, valuation method, principle of recording is not implemented</t>
  </si>
  <si>
    <t>Not aligned - This concept; accounting rule; valuation method; principle of recording is not implemented</t>
  </si>
  <si>
    <t>CAL|Not aligned - This concept; accounting rule; valuation method; principle of recording is not implemented</t>
  </si>
  <si>
    <t>Not relevant - this concept, accounting rule, valuation method, principle of recording is not relevant to our economy</t>
  </si>
  <si>
    <t>Not relevant - this concept; accounting rule; valuation method; principle of recording is not relevant to our economy</t>
  </si>
  <si>
    <t>CAL|Not relevant - this concept; accounting rule; valuation method; principle of recording is not relevant to our economy</t>
  </si>
  <si>
    <t>CLS_GRP</t>
  </si>
  <si>
    <t>Over 100 classes</t>
  </si>
  <si>
    <t>CLS_GRP|Over 100 classes</t>
  </si>
  <si>
    <t>Between 50 and 99 classes</t>
  </si>
  <si>
    <t>CLS_GRP|Between 50 and 99 classes</t>
  </si>
  <si>
    <t>Between 25 and 49 classes</t>
  </si>
  <si>
    <t>CLS_GRP|Between 25 and 49 classes</t>
  </si>
  <si>
    <t>Between 10 and 24 classes</t>
  </si>
  <si>
    <t>CLS_GRP|Between 10 and 24 classes</t>
  </si>
  <si>
    <t>Under 10 classes</t>
  </si>
  <si>
    <t>CLS_GRP|Under 10 classes</t>
  </si>
  <si>
    <t>CLVL</t>
  </si>
  <si>
    <t>Fully - Estimates are produced for the lowest level of the classification system (e.g. ISIC 4 digit, COICOP 5-digit or equivalent)</t>
  </si>
  <si>
    <t>Fully - Estimates are produced for the lowest level of the classification system (e.g. ISIC 4 digit; COICOP 5-digit or equivalent)</t>
  </si>
  <si>
    <t>CLVL|Fully - Estimates are produced for the lowest level of the classification system (e.g. ISIC 4 digit; COICOP 5-digit or equivalent)</t>
  </si>
  <si>
    <t>Highly - Estimates are produced up to the third level of detail in the classification system (e.g. ISIC 3 digit, COICOP 4-digit or equivalent)</t>
  </si>
  <si>
    <t>Highly - Estimates are produced up to the third level of detail in the classification system (e.g. ISIC 3 digit; COICOP 4-digit or equivalent)</t>
  </si>
  <si>
    <t>CLVL|Highly - Estimates are produced up to the third level of detail in the classification system (e.g. ISIC 3 digit; COICOP 4-digit or equivalent)</t>
  </si>
  <si>
    <t>Broadly - Estimates are produced up to the second level of detail of the classification system (e.g. ISIC 2 digit, COICOP 3-digit or equivalent)</t>
  </si>
  <si>
    <t>Broadly - Estimates are produced up to the second level of detail of the classification system (e.g. ISIC 2 digit; COICOP 3-digit or equivalent)</t>
  </si>
  <si>
    <t>CLVL|Broadly - Estimates are produced up to the second level of detail of the classification system (e.g. ISIC 2 digit; COICOP 3-digit or equivalent)</t>
  </si>
  <si>
    <t>Partially - Estimates are only produced for the highest level of detail of the classification system (e.g. ISIC 1 digit, COICOP 2-digit or equivalent)</t>
  </si>
  <si>
    <t>Partially - Estimates are only produced for the highest level of detail of the classification system (e.g. ISIC 1 digit; COICOP 2-digit or equivalent)</t>
  </si>
  <si>
    <t>CLVL|Partially - Estimates are only produced for the highest level of detail of the classification system (e.g. ISIC 1 digit; COICOP 2-digit or equivalent)</t>
  </si>
  <si>
    <t>Not aligned - An internationally recognized classification system or national variant is not used to classify transactions, stocks or other flows</t>
  </si>
  <si>
    <t>Not aligned - An internationally recognized classification system or national variant is not used to classify transactions; stocks or other flows</t>
  </si>
  <si>
    <t>CLVL|Not aligned - An internationally recognized classification system or national variant is not used to classify transactions; stocks or other flows</t>
  </si>
  <si>
    <t>COMP|Fully - Staff compensation is above 95% of similar jobs in the public service.</t>
  </si>
  <si>
    <t>COMP|Highly - Staff compensation is between 90% and 95% of similar jobs in the public service</t>
  </si>
  <si>
    <t>COMP|Broadly - Staff compensation is between 80% and 89% of similar jobs in the public service</t>
  </si>
  <si>
    <t>COMP|Partially - Staff compensation is between 70% and 79% of similar jobs in the public service</t>
  </si>
  <si>
    <t>COMP|Not aligned - Staff compensation is below 70% of similar jobs in the public service</t>
  </si>
  <si>
    <t>CSTCY</t>
  </si>
  <si>
    <t>Fully - Estimates are within +/- 1% of each other</t>
  </si>
  <si>
    <t>CSTCY|Fully - Estimates are within +/- 1% of each other</t>
  </si>
  <si>
    <t>Highly - Estimates are within 2% and 5% of each other</t>
  </si>
  <si>
    <t>CSTCY|Highly - Estimates are within 2% and 5% of each other</t>
  </si>
  <si>
    <t>Broadly - Estimates are within 6% and 10% of each other</t>
  </si>
  <si>
    <t>CSTCY|Broadly - Estimates are within 6% and 10% of each other</t>
  </si>
  <si>
    <t>Partially - Estimates are within 11% and 20% of each other</t>
  </si>
  <si>
    <t>CSTCY|Partially - Estimates are within 11% and 20% of each other</t>
  </si>
  <si>
    <t>Not aligned - Estimates are greater than 20% of each other</t>
  </si>
  <si>
    <t>CSTCY|Not aligned - Estimates are greater than 20% of each other</t>
  </si>
  <si>
    <t>CVCL</t>
  </si>
  <si>
    <t>Fully - More than 90% of the recommended detail (accounts, tables, items, classes, sectors, products, instruments, transaction, assets etc.) are covered / estimated</t>
  </si>
  <si>
    <t>Fully - More than 90% of the recommended detail (accounts; tables; items; classes; sectors; products; instruments; transaction; assets etc.) are covered / estimated</t>
  </si>
  <si>
    <t>CVCL|Fully - More than 90% of the recommended detail (accounts; tables; items; classes; sectors; products; instruments; transaction; assets etc.) are covered / estimated</t>
  </si>
  <si>
    <t>Highly - Between 80% and 89% of the recommended detail (accounts, tables, items, classes, sectors, products, instruments, transaction, assets etc.)  are covered / estimated</t>
  </si>
  <si>
    <t>Highly - Between 80% and 89% of the recommended detail (accounts; tables; items; classes; sectors; products; instruments; transaction; assets etc.)  are covered / estimated</t>
  </si>
  <si>
    <t>CVCL|Highly - Between 80% and 89% of the recommended detail (accounts; tables; items; classes; sectors; products; instruments; transaction; assets etc.)  are covered / estimated</t>
  </si>
  <si>
    <t>Broadly - Between 50% and 79% of the recommended detail (accounts, tables, items, classes, sectors, products, instruments, transaction, assets etc.)  are covered / estimated</t>
  </si>
  <si>
    <t>Broadly - Between 50% and 79% of the recommended detail (accounts; tables; items; classes; sectors; products; instruments; transaction; assets etc.)  are covered / estimated</t>
  </si>
  <si>
    <t>CVCL|Broadly - Between 50% and 79% of the recommended detail (accounts; tables; items; classes; sectors; products; instruments; transaction; assets etc.)  are covered / estimated</t>
  </si>
  <si>
    <t>Partially - Between 10% and 49% of the recommended detail (accounts, tables, items, classes, sectors, products, instruments, transaction, assets etc.)  are covered / estimated</t>
  </si>
  <si>
    <t>Partially - Between 10% and 49% of the recommended detail (accounts; tables; items; classes; sectors; products; instruments; transaction; assets etc.)  are covered / estimated</t>
  </si>
  <si>
    <t>CVCL|Partially - Between 10% and 49% of the recommended detail (accounts; tables; items; classes; sectors; products; instruments; transaction; assets etc.)  are covered / estimated</t>
  </si>
  <si>
    <t>Not aligned - Less than 10% of the recommended detail (accounts, tables, items, classes, sectors, products, instruments, transaction, assets etc.) is covered / estimated</t>
  </si>
  <si>
    <t>Not aligned - Less than 10% of the recommended detail (accounts; tables; items; classes; sectors; products; instruments; transaction; assets etc.) is covered / estimated</t>
  </si>
  <si>
    <t>CVCL|Not aligned - Less than 10% of the recommended detail (accounts; tables; items; classes; sectors; products; instruments; transaction; assets etc.) is covered / estimated</t>
  </si>
  <si>
    <t>Not relevant - The recommended detail (accounts, tables, items, classes, sectors, products, instruments, transactions, assets etc.) is not relevant to our economy</t>
  </si>
  <si>
    <t>Not relevant - The recommended detail (accounts; tables; items; classes; sectors; products; instruments; transactions; assets etc.) is not relevant to our economy</t>
  </si>
  <si>
    <t>CVCL|Not relevant - The recommended detail (accounts; tables; items; classes; sectors; products; instruments; transactions; assets etc.) is not relevant to our economy</t>
  </si>
  <si>
    <t>CVINT</t>
  </si>
  <si>
    <t>Fully - Most recently published vintage of an international endorsed classification system</t>
  </si>
  <si>
    <t>CVINT|Fully - Most recently published vintage of an international endorsed classification system</t>
  </si>
  <si>
    <t>Highly - Most recently published vintage of a national variant with slight deviations to the internationally endorsed classification system.</t>
  </si>
  <si>
    <t>CVINT|Highly - Most recently published vintage of a national variant with slight deviations to the internationally endorsed classification system.</t>
  </si>
  <si>
    <t>Broadly - Previously published vintage of an internationally endorsed classification system</t>
  </si>
  <si>
    <t>CVINT|Broadly - Previously published vintage of an internationally endorsed classification system</t>
  </si>
  <si>
    <t>Partially - Previously published vintage of a national variant</t>
  </si>
  <si>
    <t>CVINT|Partially - Previously published vintage of a national variant</t>
  </si>
  <si>
    <t>Not aligned - only an aggregate value is published.</t>
  </si>
  <si>
    <t>CVINT|Not aligned - only an aggregate value is published.</t>
  </si>
  <si>
    <t>CVU</t>
  </si>
  <si>
    <t>Fully - Over 95% of the recommended (activity, transactions, stocks/flows, territory, population, units) is covered / estimated</t>
  </si>
  <si>
    <t>Fully - Over 95% of the recommended (activity; transactions; stocks/flows; territory; population; units) is covered / estimated</t>
  </si>
  <si>
    <t>CVU|Fully - Over 95% of the recommended (activity; transactions; stocks/flows; territory; population; units) is covered / estimated</t>
  </si>
  <si>
    <t>Highly - Between 90% and 94% of the recommended (activity, transactions, stocks/flows, territory, population, units) is covered / estimated</t>
  </si>
  <si>
    <t>Highly - Between 90% and 94% of the recommended (activity; transactions; stocks/flows; territory; population; units) is covered / estimated</t>
  </si>
  <si>
    <t>CVU|Highly - Between 90% and 94% of the recommended (activity; transactions; stocks/flows; territory; population; units) is covered / estimated</t>
  </si>
  <si>
    <t>Broadly - Between 80% and 89% of the recommended (activity, transactions, stocks/flows, territory, population, units) is covered / estimated</t>
  </si>
  <si>
    <t>Broadly - Between 80% and 89% of the recommended (activity; transactions; stocks/flows; territory; population; units) is covered / estimated</t>
  </si>
  <si>
    <t>CVU|Broadly - Between 80% and 89% of the recommended (activity; transactions; stocks/flows; territory; population; units) is covered / estimated</t>
  </si>
  <si>
    <t>Partially - Between 50% and 79% of the recommended (activity, transactions, stocks/flows, territory, population, units) is covered / estimated</t>
  </si>
  <si>
    <t>Partially - Between 50% and 79% of the recommended (activity; transactions; stocks/flows; territory; population; units) is covered / estimated</t>
  </si>
  <si>
    <t>CVU|Partially - Between 50% and 79% of the recommended (activity; transactions; stocks/flows; territory; population; units) is covered / estimated</t>
  </si>
  <si>
    <t>Not aligned - Less then 50% of the recommended (activity, transactions, stocks/flows, territory, population, units) is covered / estimated</t>
  </si>
  <si>
    <t>Not aligned - Less then 50% of the recommended (activity; transactions; stocks/flows; territory; population; units) is covered / estimated</t>
  </si>
  <si>
    <t>CVU|Not aligned - Less then 50% of the recommended (activity; transactions; stocks/flows; territory; population; units) is covered / estimated</t>
  </si>
  <si>
    <t>CVUNR</t>
  </si>
  <si>
    <t>CVUNR|Fully - Over 95% of the recommended (activity; transactions; stocks/flows; territory; population; units) is covered / estimated</t>
  </si>
  <si>
    <t>CVUNR|Highly - Between 90% and 94% of the recommended (activity; transactions; stocks/flows; territory; population; units) is covered / estimated</t>
  </si>
  <si>
    <t>CVUNR|Broadly - Between 80% and 89% of the recommended (activity; transactions; stocks/flows; territory; population; units) is covered / estimated</t>
  </si>
  <si>
    <t>CVUNR|Partially - Between 50% and 79% of the recommended (activity; transactions; stocks/flows; territory; population; units) is covered / estimated</t>
  </si>
  <si>
    <t>CVUNR|Not aligned - Less then 50% of the recommended (activity; transactions; stocks/flows; territory; population; units) is covered / estimated</t>
  </si>
  <si>
    <t>CVUNR|Not relevant - this concept; accounting rule; valuation method; principle of recording is not relevant to our economy</t>
  </si>
  <si>
    <t>DS|Fully - All public administrative data producers have a legal obligations to share relevant data with the NSO and other official data producers</t>
  </si>
  <si>
    <t>DS|Highly - Between 90% and 95% of all public administrative data producers have a legal obligation to share relevant data with the NSO and other official data producers</t>
  </si>
  <si>
    <t>DS|Broadly - Between 80% and 89% of all public administrative data producers have a legal obligation to share relevant data with the NSO and other official data producers</t>
  </si>
  <si>
    <t>DS|Partially - Between 50% and 79% of all public administrative data producers have a legal obligation to share relevant data with the NSO and other official data producers</t>
  </si>
  <si>
    <t>DS|Not aligned - The statistical law does not specify that public administrative data producers have a legal obligation to share relevant data with the NSO and other official data producers</t>
  </si>
  <si>
    <t>EIC</t>
  </si>
  <si>
    <t>For the calculation of elementary indices, the unweighted geometric mean of price relatives (Jevons) is used.</t>
  </si>
  <si>
    <t>For the calculation of elementary indices; the unweighted geometric mean of price relatives (Jevons) is used.</t>
  </si>
  <si>
    <t>EIC|For the calculation of elementary indices; the unweighted geometric mean of price relatives (Jevons) is used.</t>
  </si>
  <si>
    <t xml:space="preserve">For the calculation of elementary indices, the ratio of the unweighted arithmetic average of prices (Dutot) is used. </t>
  </si>
  <si>
    <t xml:space="preserve">For the calculation of elementary indices; the ratio of the unweighted arithmetic average of prices (Dutot) is used. </t>
  </si>
  <si>
    <t xml:space="preserve">EIC|For the calculation of elementary indices; the ratio of the unweighted arithmetic average of prices (Dutot) is used. </t>
  </si>
  <si>
    <t>For the calculation of elementary indices, the arithmetic average of price relatives (Carli) is used?</t>
  </si>
  <si>
    <t>For the calculation of elementary indices; the arithmetic average of price relatives (Carli) is used?</t>
  </si>
  <si>
    <t>EIC|For the calculation of elementary indices; the arithmetic average of price relatives (Carli) is used?</t>
  </si>
  <si>
    <t>ETBV</t>
  </si>
  <si>
    <t>Fully - Code of ethics and ethical standards are documented and posted publicly where staff can access them, review and certify every year.</t>
  </si>
  <si>
    <t>Fully - Code of ethics and ethical standards are documented and posted publicly where staff can access them; review and certify every year.</t>
  </si>
  <si>
    <t>ETBV|Fully - Code of ethics and ethical standards are documented and posted publicly where staff can access them; review and certify every year.</t>
  </si>
  <si>
    <t>Highly - Code of ethics and ethical standards are documented are available to all staff but not posted for public access and reviewed by staff once per year</t>
  </si>
  <si>
    <t>ETBV|Highly - Code of ethics and ethical standards are documented are available to all staff but not posted for public access and reviewed by staff once per year</t>
  </si>
  <si>
    <t>Broadly - Code of ethics and ethical standards are  documented and available to a limited number of staff members and are reviewed by staff occasionally</t>
  </si>
  <si>
    <t>ETBV|Broadly - Code of ethics and ethical standards are  documented and available to a limited number of staff members and are reviewed by staff occasionally</t>
  </si>
  <si>
    <t>Partially - Code of ethics and ethical standards are documented and available to a limited number of staff members but are not reviewed</t>
  </si>
  <si>
    <t>ETBV|Partially - Code of ethics and ethical standards are documented and available to a limited number of staff members but are not reviewed</t>
  </si>
  <si>
    <t>Not aligned - Code of ethics and ethical standards do not exist</t>
  </si>
  <si>
    <t>ETBV|Not aligned - Code of ethics and ethical standards do not exist</t>
  </si>
  <si>
    <t>FREQ</t>
  </si>
  <si>
    <t>Daily</t>
  </si>
  <si>
    <t>FREQ|Daily</t>
  </si>
  <si>
    <t>Monthly</t>
  </si>
  <si>
    <t>FREQ|Monthly</t>
  </si>
  <si>
    <t>Quarterly</t>
  </si>
  <si>
    <t>FREQ|Quarterly</t>
  </si>
  <si>
    <t>Annual</t>
  </si>
  <si>
    <t>FREQ|Annual</t>
  </si>
  <si>
    <t>Bi-Annual</t>
  </si>
  <si>
    <t>FREQ|Bi-Annual</t>
  </si>
  <si>
    <t>Not aligned - Less than bi-annual</t>
  </si>
  <si>
    <t>FREQ|Not aligned - Less than bi-annual</t>
  </si>
  <si>
    <t>Not published</t>
  </si>
  <si>
    <t>FREQ|Not published</t>
  </si>
  <si>
    <t>FREQNR</t>
  </si>
  <si>
    <t>FREQNR|Daily</t>
  </si>
  <si>
    <t>FREQNR|Monthly</t>
  </si>
  <si>
    <t>FREQNR|Quarterly</t>
  </si>
  <si>
    <t>FREQNR|Annual</t>
  </si>
  <si>
    <t>FREQNR|Bi-Annual</t>
  </si>
  <si>
    <t>FREQNR|Not aligned - Less than bi-annual</t>
  </si>
  <si>
    <t>FREQNR|Not published</t>
  </si>
  <si>
    <t>Not relevant</t>
  </si>
  <si>
    <t>FREQNR|Not relevant</t>
  </si>
  <si>
    <t>FREQNRDC</t>
  </si>
  <si>
    <t>FREQNRDC|Daily</t>
  </si>
  <si>
    <t>FREQNRDC|Monthly</t>
  </si>
  <si>
    <t>FREQNRDC|Quarterly</t>
  </si>
  <si>
    <t>FREQNRDC|Annual</t>
  </si>
  <si>
    <t>FREQNRDC|Bi-Annual</t>
  </si>
  <si>
    <t>FREQNRDC|Not aligned - Less than bi-annual</t>
  </si>
  <si>
    <t>FREQNRDC|Not published</t>
  </si>
  <si>
    <t>FREQNRDC|Not relevant</t>
  </si>
  <si>
    <t>FREQNROFC</t>
  </si>
  <si>
    <t>FREQNROFC|Daily</t>
  </si>
  <si>
    <t>FREQNROFC|Monthly</t>
  </si>
  <si>
    <t>FREQNROFC|Quarterly</t>
  </si>
  <si>
    <t>FREQNROFC|Annual</t>
  </si>
  <si>
    <t>FREQNROFC|Bi-Annual</t>
  </si>
  <si>
    <t>FREQNROFC|Not aligned - Less than bi-annual</t>
  </si>
  <si>
    <t>FREQNROFC|Not published</t>
  </si>
  <si>
    <t>FREQNROFC|Not relevant</t>
  </si>
  <si>
    <t>INIT</t>
  </si>
  <si>
    <t>Fully - National Statistical Organizations have full autonomy in determining data sources, statistical concepts and methods and in hiring staff</t>
  </si>
  <si>
    <t>Fully - National Statistical Organizations have full autonomy in determining data sources; statistical concepts and methods and in hiring staff</t>
  </si>
  <si>
    <t>INIT|Fully - National Statistical Organizations have full autonomy in determining data sources; statistical concepts and methods and in hiring staff</t>
  </si>
  <si>
    <t>Highly - National Statistical Organizations have full autonomy in determining data sources, statistical concepts and methods but limited autonomy in hiring staff</t>
  </si>
  <si>
    <t>Highly - National Statistical Organizations have full autonomy in determining data sources; statistical concepts and methods but limited autonomy in hiring staff</t>
  </si>
  <si>
    <t>INIT|Highly - National Statistical Organizations have full autonomy in determining data sources; statistical concepts and methods but limited autonomy in hiring staff</t>
  </si>
  <si>
    <t>Broadly - National Statistical Organizations have limited autonomy in determining data sources, statistical concepts and methods and full autonomy in hiring staff</t>
  </si>
  <si>
    <t>Broadly - National Statistical Organizations have limited autonomy in determining data sources; statistical concepts and methods and full autonomy in hiring staff</t>
  </si>
  <si>
    <t>INIT|Broadly - National Statistical Organizations have limited autonomy in determining data sources; statistical concepts and methods and full autonomy in hiring staff</t>
  </si>
  <si>
    <t>Partially - National Statistical Organizations have limited autonomy in determining data sources, statistical concepts and methods and in hiring staff</t>
  </si>
  <si>
    <t>Partially - National Statistical Organizations have limited autonomy in determining data sources; statistical concepts and methods and in hiring staff</t>
  </si>
  <si>
    <t>INIT|Partially - National Statistical Organizations have limited autonomy in determining data sources; statistical concepts and methods and in hiring staff</t>
  </si>
  <si>
    <t>Not aligned - National Statistical Organizations do not have autonomy in determining data sources, statistical concepts and methods and in hiring staff</t>
  </si>
  <si>
    <t>Not aligned - National Statistical Organizations do not have autonomy in determining data sources; statistical concepts and methods and in hiring staff</t>
  </si>
  <si>
    <t>INIT|Not aligned - National Statistical Organizations do not have autonomy in determining data sources; statistical concepts and methods and in hiring staff</t>
  </si>
  <si>
    <t>OOH</t>
  </si>
  <si>
    <t>Rental equivalence used to measure OOH</t>
  </si>
  <si>
    <t>OOH|Rental equivalence used to measure OOH</t>
  </si>
  <si>
    <t>Net acquisitions approach used to measure OOH</t>
  </si>
  <si>
    <t>OOH|Net acquisitions approach used to measure OOH</t>
  </si>
  <si>
    <t>User cost approach used to measure OOH</t>
  </si>
  <si>
    <t>OOH|User cost approach used to measure OOH</t>
  </si>
  <si>
    <t>Payments approach used to measure OOH</t>
  </si>
  <si>
    <t>OOH|Payments approach used to measure OOH</t>
  </si>
  <si>
    <t>OOH excluded from the CPI</t>
  </si>
  <si>
    <t>OOH|OOH excluded from the CPI</t>
  </si>
  <si>
    <t>PC</t>
  </si>
  <si>
    <t>For a monthly CPI, price collection for all good and services takes place during all 4 weeks in the month.</t>
  </si>
  <si>
    <t>For a monthly CPI; price collection for all good and services takes place during all 4 weeks in the month.</t>
  </si>
  <si>
    <t>PC|For a monthly CPI; price collection for all good and services takes place during all 4 weeks in the month.</t>
  </si>
  <si>
    <t>For a monthly CPI, price collection for all good and services is limited to a period of no more than 3 weeks</t>
  </si>
  <si>
    <t>For a monthly CPI; price collection for all good and services is limited to a period of no more than 3 weeks</t>
  </si>
  <si>
    <t>PC|For a monthly CPI; price collection for all good and services is limited to a period of no more than 3 weeks</t>
  </si>
  <si>
    <t>For a monthly CPI, price collection for all good and services is limited to a period of no more than 2 weeks</t>
  </si>
  <si>
    <t>For a monthly CPI; price collection for all good and services is limited to a period of no more than 2 weeks</t>
  </si>
  <si>
    <t>PC|For a monthly CPI; price collection for all good and services is limited to a period of no more than 2 weeks</t>
  </si>
  <si>
    <t>For a monthly CPI, price collection for all good and services is limited to a period of no more than 1 week</t>
  </si>
  <si>
    <t>For a monthly CPI; price collection for all good and services is limited to a period of no more than 1 week</t>
  </si>
  <si>
    <t>PC|For a monthly CPI; price collection for all good and services is limited to a period of no more than 1 week</t>
  </si>
  <si>
    <t>For a monthly CPI, price collection for all good and services is limited to a single day in the month.</t>
  </si>
  <si>
    <t>For a monthly CPI; price collection for all good and services is limited to a single day in the month.</t>
  </si>
  <si>
    <t>PC|For a monthly CPI; price collection for all good and services is limited to a single day in the month.</t>
  </si>
  <si>
    <t>PRCV</t>
  </si>
  <si>
    <t>Fully - Are prices collected from both urban and rural areas?</t>
  </si>
  <si>
    <t>PRCV|Fully - Are prices collected from both urban and rural areas?</t>
  </si>
  <si>
    <t>Highly - Are prices collected in urban areas only?</t>
  </si>
  <si>
    <t>PRCV|Highly - Are prices collected in urban areas only?</t>
  </si>
  <si>
    <t>Broadly - Are prices collected in the capital city only?</t>
  </si>
  <si>
    <t>PRCV|Broadly - Are prices collected in the capital city only?</t>
  </si>
  <si>
    <t>RES|Fully - Allocated resources are sufficient (quality and quantity) to meet program demands</t>
  </si>
  <si>
    <t>RES|Highly - Allocated resources (quality and quantity) can only meet between 90% and 95% of program demands</t>
  </si>
  <si>
    <t>RES|Broadly - Allocated resources (quality and quantity) can only meet between 80% and 89% of program demands</t>
  </si>
  <si>
    <t>RES|Partially - Allocated resources (quality and quantity) can only meet between 50% and 79% of program demands</t>
  </si>
  <si>
    <t>RES|Not aligned - Allocated resources (quality and quantity) can only meet less than 50% of program demands.</t>
  </si>
  <si>
    <t>RESNR|Fully - Allocated resources are sufficient (quality and quantity) to meet program demands</t>
  </si>
  <si>
    <t>RESNR|Highly - Allocated resources (quality and quantity) can only meet between 90% and 95% of program demands</t>
  </si>
  <si>
    <t>RESNR|Broadly - Allocated resources (quality and quantity) can only meet between 80% and 89% of program demands</t>
  </si>
  <si>
    <t>RESNR|Partially - Allocated resources (quality and quantity) can only meet between 50% and 79% of program demands</t>
  </si>
  <si>
    <t>RESNR|Not aligned - Allocated resources (quality and quantity) can only meet less than 50% of program demands.</t>
  </si>
  <si>
    <t>RESNR|Not Relevant - This organization does not produce statistics related to this domain.</t>
  </si>
  <si>
    <t>SASDA</t>
  </si>
  <si>
    <t>Fully - Sub-annual source data are available for every period and fully cover the target population</t>
  </si>
  <si>
    <t>SASDA|Fully - Sub-annual source data are available for every period and fully cover the target population</t>
  </si>
  <si>
    <t>Highly - Sub-annual source data are available for every period and cover between 90% and 95% of the target population</t>
  </si>
  <si>
    <t>SASDA|Highly - Sub-annual source data are available for every period and cover between 90% and 95% of the target population</t>
  </si>
  <si>
    <t>Broadly - Sub-annual source data are available for every period and cover between 80% and 89% of the target population</t>
  </si>
  <si>
    <t>SASDA|Broadly - Sub-annual source data are available for every period and cover between 80% and 89% of the target population</t>
  </si>
  <si>
    <t>Partially - Sub-annual source data are available for every period and cover between 50% and 79% of the population</t>
  </si>
  <si>
    <t>SASDA|Partially - Sub-annual source data are available for every period and cover between 50% and 79% of the population</t>
  </si>
  <si>
    <t>Not aligned - Sub-annual source data are not avaliable for every period and/or cover less than 50% of the target population.</t>
  </si>
  <si>
    <t>SASDA|Not aligned - Sub-annual source data are not avaliable for every period and/or cover less than 50% of the target population.</t>
  </si>
  <si>
    <t>SASDANR</t>
  </si>
  <si>
    <t>SASDANR|Fully - Sub-annual source data are available for every period and fully cover the target population</t>
  </si>
  <si>
    <t>SASDANR|Highly - Sub-annual source data are available for every period and cover between 90% and 95% of the target population</t>
  </si>
  <si>
    <t>SASDANR|Broadly - Sub-annual source data are available for every period and cover between 80% and 89% of the target population</t>
  </si>
  <si>
    <t>SASDANR|Partially - Sub-annual source data are available for every period and cover between 50% and 79% of the population</t>
  </si>
  <si>
    <t>Not aligned - Sub-annual source data are not available for every period and cover less than 50% of the target population</t>
  </si>
  <si>
    <t>SASDANR|Not aligned - Sub-annual source data are not available for every period and cover less than 50% of the target population</t>
  </si>
  <si>
    <t>Not relevant - Not relevant for this economy</t>
  </si>
  <si>
    <t>SASDANR|Not relevant - Not relevant for this economy</t>
  </si>
  <si>
    <t>SDA</t>
  </si>
  <si>
    <t>Fully - Data are available on a daily basis</t>
  </si>
  <si>
    <t>SDA|Fully - Data are available on a daily basis</t>
  </si>
  <si>
    <t>Fully - Data are available on a monthly basis</t>
  </si>
  <si>
    <t>SDA|Fully - Data are available on a monthly basis</t>
  </si>
  <si>
    <t>Fully - Data are available on quarterly basis</t>
  </si>
  <si>
    <t>SDA|Fully - Data are available on quarterly basis</t>
  </si>
  <si>
    <t>Highly - Data are available on an annual basis</t>
  </si>
  <si>
    <t>SDA|Highly - Data are available on an annual basis</t>
  </si>
  <si>
    <t>Broadly - Data are available on an annual basis at least every three years</t>
  </si>
  <si>
    <t>SDA|Broadly - Data are available on an annual basis at least every three years</t>
  </si>
  <si>
    <t>Partially - Data are available on an annual basis at least every five years</t>
  </si>
  <si>
    <t>SDA|Partially - Data are available on an annual basis at least every five years</t>
  </si>
  <si>
    <t>Not Aligned – Data are available less frequently than every five years or only on an ad hoc basis.</t>
  </si>
  <si>
    <t>SDA|Not Aligned – Data are available less frequently than every five years or only on an ad hoc basis.</t>
  </si>
  <si>
    <t>SDANR</t>
  </si>
  <si>
    <t>SDANR|Fully - Data are available on a daily basis</t>
  </si>
  <si>
    <t>SDANR|Fully - Data are available on a monthly basis</t>
  </si>
  <si>
    <t>SDANR|Fully - Data are available on quarterly basis</t>
  </si>
  <si>
    <t>SDANR|Highly - Data are available on an annual basis</t>
  </si>
  <si>
    <t>SDANR|Broadly - Data are available on an annual basis at least every three years</t>
  </si>
  <si>
    <t>SDANR|Partially - Data are available on an annual basis at least every five years</t>
  </si>
  <si>
    <t>SDANR|Not Aligned – Data are available less frequently than every five years or only on an ad hoc basis.</t>
  </si>
  <si>
    <t>SDANR|Not relevant - Not relevant for this economy</t>
  </si>
  <si>
    <t>SDC</t>
  </si>
  <si>
    <t>Fully - Source data coverage, classifications, concepts, accounting rules, statistical methods are fully consistent with what is recommended by the statistical standards</t>
  </si>
  <si>
    <t>Fully - Source data coverage; classifications; concepts; accounting rules; statistical methods are fully consistent with what is recommended by the statistical standards</t>
  </si>
  <si>
    <t>SDC|Fully - Source data coverage; classifications; concepts; accounting rules; statistical methods are fully consistent with what is recommended by the statistical standards</t>
  </si>
  <si>
    <t>Highly - Source data coverage and concepts are consistent with what is recommended by the statistical standard but adjustments to classifications are required</t>
  </si>
  <si>
    <t>SDC|Highly - Source data coverage and concepts are consistent with what is recommended by the statistical standard but adjustments to classifications are required</t>
  </si>
  <si>
    <t>Broadly - Source data coverage is consistent with what is recommended by the statistical standard but adjustments to classifications and concepts are required</t>
  </si>
  <si>
    <t>SDC|Broadly - Source data coverage is consistent with what is recommended by the statistical standard but adjustments to classifications and concepts are required</t>
  </si>
  <si>
    <t>Partially - Significant adjustments to source data coverage, classifications, concepts are required to align with what is recommended by the statistical standard</t>
  </si>
  <si>
    <t>Partially - Significant adjustments to source data coverage; classifications; concepts are required to align with what is recommended by the statistical standard</t>
  </si>
  <si>
    <t>SDC|Partially - Significant adjustments to source data coverage; classifications; concepts are required to align with what is recommended by the statistical standard</t>
  </si>
  <si>
    <t>Not aligned - Source data is not available and models are used</t>
  </si>
  <si>
    <t>SDC|Not aligned - Source data is not available and models are used</t>
  </si>
  <si>
    <t>SDCNR</t>
  </si>
  <si>
    <t>SDCNR|Fully - Source data coverage; classifications; concepts; accounting rules; statistical methods are fully consistent with what is recommended by the statistical standards</t>
  </si>
  <si>
    <t>SDCNR|Highly - Source data coverage and concepts are consistent with what is recommended by the statistical standard but adjustments to classifications are required</t>
  </si>
  <si>
    <t>SDCNR|Broadly - Source data coverage is consistent with what is recommended by the statistical standard but adjustments to classifications and concepts are required</t>
  </si>
  <si>
    <t>SDCNR|Partially - Significant adjustments to source data coverage; classifications; concepts are required to align with what is recommended by the statistical standard</t>
  </si>
  <si>
    <t>SDCNR|Not aligned - Source data is not available and models are used</t>
  </si>
  <si>
    <t>SDCNR|Not relevant - Not relevant for this economy</t>
  </si>
  <si>
    <t>SGPP|Fully - Recommended revision studies/analysis/roadmaps/standards/guidelines/procedures/policies are documented and available to all staff and posted where the public can access them</t>
  </si>
  <si>
    <t>SGPP|Highly - Recommended revision studies/analysis/roadmaps/standards/guidelines/procedures/policies are documented are available to all staff but not posted for public access</t>
  </si>
  <si>
    <t>SGPP|Broadly - Recommended revision studies/analysis/roadmaps/standards/guidelines/procedures/policies are documented and available to a limited set of staff members</t>
  </si>
  <si>
    <t>SGPP|Partially - Recommended revision studies/analysis/roadmaps/standards/guidelines/procedures/policies are not documented</t>
  </si>
  <si>
    <t>SGPP|Not aligned - Recommended revision studies/analysis/roadmaps/standards/guidelines/procedures and/or policies do not exist</t>
  </si>
  <si>
    <t>SLAF</t>
  </si>
  <si>
    <t>The provision fully reflects the UNECE Generic Law in scope, clarity, and intent.</t>
  </si>
  <si>
    <t>The provision fully reflects the UNECE Generic Law in scope; clarity; and intent.</t>
  </si>
  <si>
    <t>SLAF|The provision fully reflects the UNECE Generic Law in scope; clarity; and intent.</t>
  </si>
  <si>
    <t>The provision closely follows UNECE guidance with minor gaps.</t>
  </si>
  <si>
    <t>SLAF|The provision closely follows UNECE guidance with minor gaps.</t>
  </si>
  <si>
    <t>The concept is broadly reflected but not fully aligned with UNECE guidance.</t>
  </si>
  <si>
    <t>SLAF|The concept is broadly reflected but not fully aligned with UNECE guidance.</t>
  </si>
  <si>
    <t>The concept is partially addressed but lacks clarity, scope, or enforceability.</t>
  </si>
  <si>
    <t>The concept is partially addressed but lacks clarity; scope; or enforceability.</t>
  </si>
  <si>
    <t>SLAF|The concept is partially addressed but lacks clarity; scope; or enforceability.</t>
  </si>
  <si>
    <t>The draft law does not include any provision addressing this recommendation.</t>
  </si>
  <si>
    <t>SLAF|The draft law does not include any provision addressing this recommendation.</t>
  </si>
  <si>
    <t>SM</t>
  </si>
  <si>
    <t>Fully - Statistical methods are reviewed once per year and align with the latest advances in statistical methods</t>
  </si>
  <si>
    <t>SM|Fully - Statistical methods are reviewed once per year and align with the latest advances in statistical methods</t>
  </si>
  <si>
    <t>Highly - Statistical methods are reviewed once every two years and align with the latest advances in statistical methods</t>
  </si>
  <si>
    <t>SM|Highly - Statistical methods are reviewed once every two years and align with the latest advances in statistical methods</t>
  </si>
  <si>
    <t>Broadly - Statistical methods are periodically reviewed but not subject to a regular review cycle</t>
  </si>
  <si>
    <t>SM|Broadly - Statistical methods are periodically reviewed but not subject to a regular review cycle</t>
  </si>
  <si>
    <t>Partially - Statistical methods have not been reviewed or updated in the last five years</t>
  </si>
  <si>
    <t>SM|Partially - Statistical methods have not been reviewed or updated in the last five years</t>
  </si>
  <si>
    <t>Not aligned - Internationally accepted statistical methods are not used</t>
  </si>
  <si>
    <t>SM|Not aligned - Internationally accepted statistical methods are not used</t>
  </si>
  <si>
    <t>Over 100</t>
  </si>
  <si>
    <t>STFLVL|Over 100</t>
  </si>
  <si>
    <t>Between 76 and 99</t>
  </si>
  <si>
    <t>STFLVL|Between 76 and 99</t>
  </si>
  <si>
    <t>Between 51 and 75</t>
  </si>
  <si>
    <t>STFLVL|Between 51 and 75</t>
  </si>
  <si>
    <t>Between 26 and 50</t>
  </si>
  <si>
    <t>STFLVL|Between 26 and 50</t>
  </si>
  <si>
    <t>Between 5 and 25</t>
  </si>
  <si>
    <t>STFLVL|Between 5 and 25</t>
  </si>
  <si>
    <t>Less than 5</t>
  </si>
  <si>
    <t>STFLVL|Less than 5</t>
  </si>
  <si>
    <t>TIME</t>
  </si>
  <si>
    <t>1-30 day lag</t>
  </si>
  <si>
    <t>TIME|1-30 day lag</t>
  </si>
  <si>
    <t>31-45 day lag</t>
  </si>
  <si>
    <t>TIME|31-45 day lag</t>
  </si>
  <si>
    <t>46-60 day lag</t>
  </si>
  <si>
    <t>TIME|46-60 day lag</t>
  </si>
  <si>
    <t>61-90 day lag</t>
  </si>
  <si>
    <t>TIME|61-90 day lag</t>
  </si>
  <si>
    <t>91-120 day lag</t>
  </si>
  <si>
    <t>TIME|91-120 day lag</t>
  </si>
  <si>
    <t>121-210 day lag</t>
  </si>
  <si>
    <t>TIME|121-210 day lag</t>
  </si>
  <si>
    <t>211-270 day lag</t>
  </si>
  <si>
    <t>TIME|211-270 day lag</t>
  </si>
  <si>
    <t>271-300 day lag</t>
  </si>
  <si>
    <t>TIME|271-300 day lag</t>
  </si>
  <si>
    <t>301-330 day lag</t>
  </si>
  <si>
    <t>TIME|301-330 day lag</t>
  </si>
  <si>
    <t>331-365 day lag</t>
  </si>
  <si>
    <t>TIME|331-365 day lag</t>
  </si>
  <si>
    <t>Greater than 365 days</t>
  </si>
  <si>
    <t>TIME|Greater than 365 days</t>
  </si>
  <si>
    <t>TIME|Not published</t>
  </si>
  <si>
    <t>TIMENR</t>
  </si>
  <si>
    <t>TIMENR|1-30 day lag</t>
  </si>
  <si>
    <t>TIMENR|31-45 day lag</t>
  </si>
  <si>
    <t>TIMENR|46-60 day lag</t>
  </si>
  <si>
    <t>TIMENR|61-90 day lag</t>
  </si>
  <si>
    <t>TIMENR|91-120 day lag</t>
  </si>
  <si>
    <t>TIMENR|121-210 day lag</t>
  </si>
  <si>
    <t>TIMENR|211-270 day lag</t>
  </si>
  <si>
    <t>TIMENR|271-300 day lag</t>
  </si>
  <si>
    <t>TIMENR|301-330 day lag</t>
  </si>
  <si>
    <t>TIMENR|331-365 day lag</t>
  </si>
  <si>
    <t>TIMENR|Greater than 365 days</t>
  </si>
  <si>
    <t>TIMENR|Not published</t>
  </si>
  <si>
    <t>TIMENR|Not relevant</t>
  </si>
  <si>
    <t>TIMENRDC</t>
  </si>
  <si>
    <t>TIMENRDC|1-30 day lag</t>
  </si>
  <si>
    <t>TIMENRDC|31-45 day lag</t>
  </si>
  <si>
    <t>TIMENRDC|46-60 day lag</t>
  </si>
  <si>
    <t>TIMENRDC|61-90 day lag</t>
  </si>
  <si>
    <t>TIMENRDC|91-120 day lag</t>
  </si>
  <si>
    <t>TIMENRDC|121-210 day lag</t>
  </si>
  <si>
    <t>TIMENRDC|211-270 day lag</t>
  </si>
  <si>
    <t>TIMENRDC|271-300 day lag</t>
  </si>
  <si>
    <t>TIMENRDC|301-330 day lag</t>
  </si>
  <si>
    <t>TIMENRDC|331-365 day lag</t>
  </si>
  <si>
    <t>TIMENRDC|Greater than 365 days</t>
  </si>
  <si>
    <t>TIMENRDC|Not published</t>
  </si>
  <si>
    <t>TIMENRDC|Not relevant</t>
  </si>
  <si>
    <t>TIMENROFC</t>
  </si>
  <si>
    <t>TIMENROFC|1-30 day lag</t>
  </si>
  <si>
    <t>TIMENROFC|31-45 day lag</t>
  </si>
  <si>
    <t>TIMENROFC|46-60 day lag</t>
  </si>
  <si>
    <t>TIMENROFC|61-90 day lag</t>
  </si>
  <si>
    <t>TIMENROFC|91-120 day lag</t>
  </si>
  <si>
    <t>TIMENROFC|121-210 day lag</t>
  </si>
  <si>
    <t>TIMENROFC|211-270 day lag</t>
  </si>
  <si>
    <t>TIMENROFC|271-300 day lag</t>
  </si>
  <si>
    <t>TIMENROFC|301-330 day lag</t>
  </si>
  <si>
    <t>TIMENROFC|331-365 day lag</t>
  </si>
  <si>
    <t>TIMENROFC|Greater than 365 days</t>
  </si>
  <si>
    <t>TIMENROFC|Not published</t>
  </si>
  <si>
    <t>TIMENROFC|Not relevant</t>
  </si>
  <si>
    <t>Fully - Within the last five years</t>
  </si>
  <si>
    <t>TP|Fully - Within the last five years</t>
  </si>
  <si>
    <t>Highly - Between the last 6 and 10 years</t>
  </si>
  <si>
    <t>TP|Highly - Between the last 6 and 10 years</t>
  </si>
  <si>
    <t>Broadly - Between the last 11 and 15 years</t>
  </si>
  <si>
    <t>TP|Broadly - Between the last 11 and 15 years</t>
  </si>
  <si>
    <t>Partially - Between the last 16 and 20 years</t>
  </si>
  <si>
    <t>TP|Partially - Between the last 16 and 20 years</t>
  </si>
  <si>
    <t>Not aligned - More than 20 years or does not exist</t>
  </si>
  <si>
    <t>TP|Not aligned - More than 20 years or does not exist</t>
  </si>
  <si>
    <t>YMN</t>
  </si>
  <si>
    <t>Yes - This recommendation / best practice is fully implemented</t>
  </si>
  <si>
    <t>YMN|Yes - This recommendation / best practice is fully implemented</t>
  </si>
  <si>
    <t>Broadly - This recommendation / best practice is implemented but not consistently implemented</t>
  </si>
  <si>
    <t>YMN|Broadly - This recommendation / best practice is implemented but not consistently implemented</t>
  </si>
  <si>
    <t>No - This recommendation / best practice has not been implemented</t>
  </si>
  <si>
    <t>YMN|No - This recommendation / best practice has not been implemented</t>
  </si>
  <si>
    <t>ID</t>
  </si>
  <si>
    <t>Weight</t>
  </si>
  <si>
    <t>2_1_1</t>
  </si>
  <si>
    <t>2_2_1</t>
  </si>
  <si>
    <t>2_2_2</t>
  </si>
  <si>
    <t>2_2_3</t>
  </si>
  <si>
    <t>2_2_4</t>
  </si>
  <si>
    <t>2_3_1</t>
  </si>
  <si>
    <t>3_1_1</t>
  </si>
  <si>
    <t>3_1_2</t>
  </si>
  <si>
    <t>3_1_3</t>
  </si>
  <si>
    <t>3_1_4</t>
  </si>
  <si>
    <t>3_2_1</t>
  </si>
  <si>
    <t>3_2_2</t>
  </si>
  <si>
    <t>3_3_1</t>
  </si>
  <si>
    <t>3_4_1</t>
  </si>
  <si>
    <t>3_5_1</t>
  </si>
  <si>
    <t>3_5_2</t>
  </si>
  <si>
    <t>3_5_3</t>
  </si>
  <si>
    <t>3_5_4</t>
  </si>
  <si>
    <t>3_5_5</t>
  </si>
  <si>
    <t>3_5_6</t>
  </si>
  <si>
    <t>3_5_7</t>
  </si>
  <si>
    <t>3_5_8</t>
  </si>
  <si>
    <t>4_1_1</t>
  </si>
  <si>
    <t>4_1_2</t>
  </si>
  <si>
    <t>4_1_3</t>
  </si>
  <si>
    <t>4_1_4</t>
  </si>
  <si>
    <t>4_1_5</t>
  </si>
  <si>
    <t>4_1_6</t>
  </si>
  <si>
    <t>4_1_7</t>
  </si>
  <si>
    <t>4_1_8</t>
  </si>
  <si>
    <t>4_1_9</t>
  </si>
  <si>
    <t>4_2_1</t>
  </si>
  <si>
    <t>4_3_1</t>
  </si>
  <si>
    <t>4_3_2</t>
  </si>
  <si>
    <t>4_3_3</t>
  </si>
  <si>
    <t>4_3_4</t>
  </si>
  <si>
    <t>4_4_1</t>
  </si>
  <si>
    <t>4_4_2</t>
  </si>
  <si>
    <t>4_5_1</t>
  </si>
  <si>
    <t>4_6_1</t>
  </si>
  <si>
    <t>4_6_2</t>
  </si>
  <si>
    <t>4_6_3</t>
  </si>
  <si>
    <t>5_1_1</t>
  </si>
  <si>
    <t>5_2_1</t>
  </si>
  <si>
    <t>5_3_1</t>
  </si>
  <si>
    <t>5_3_2</t>
  </si>
  <si>
    <t>5_3_3</t>
  </si>
  <si>
    <t>5_3_4</t>
  </si>
  <si>
    <t>5_4_1</t>
  </si>
  <si>
    <t>5_4_2</t>
  </si>
  <si>
    <t>5_4_3</t>
  </si>
  <si>
    <t>5_4_4</t>
  </si>
  <si>
    <t>5_4_5</t>
  </si>
  <si>
    <t>5_5_1</t>
  </si>
  <si>
    <t>5_6_1</t>
  </si>
  <si>
    <t>5_6_2</t>
  </si>
  <si>
    <t>Name</t>
  </si>
  <si>
    <t>2_1</t>
  </si>
  <si>
    <t>Institutional integrity is ensured</t>
  </si>
  <si>
    <t>2_2</t>
  </si>
  <si>
    <t>Transparency is ensured</t>
  </si>
  <si>
    <t>2_3</t>
  </si>
  <si>
    <t>Ethical standards are implemented</t>
  </si>
  <si>
    <t>3_1</t>
  </si>
  <si>
    <t>Aligned with concepts and definitions</t>
  </si>
  <si>
    <t>3_2</t>
  </si>
  <si>
    <t>Aligned with accounting rules</t>
  </si>
  <si>
    <t>3_3</t>
  </si>
  <si>
    <t>Aligned with statistical methods</t>
  </si>
  <si>
    <t>3_4</t>
  </si>
  <si>
    <t>Aligned with classifications</t>
  </si>
  <si>
    <t>3_5</t>
  </si>
  <si>
    <t>Aligned with the recommended scope of statistical output</t>
  </si>
  <si>
    <t>4_1</t>
  </si>
  <si>
    <t>Source data are adequate to ensure accuracy and reliability</t>
  </si>
  <si>
    <t>4_2</t>
  </si>
  <si>
    <t>Accuracy of source data is regularly assessed</t>
  </si>
  <si>
    <t>4_3</t>
  </si>
  <si>
    <t>Rigorous statistical techniques are used for modeling, estimation, imputation, editing and valuation.</t>
  </si>
  <si>
    <t>4_4</t>
  </si>
  <si>
    <t>Rigourous quality assurance practices are employed</t>
  </si>
  <si>
    <t>4_5</t>
  </si>
  <si>
    <t>Revisions analysis and reliability monitoring is conducted.</t>
  </si>
  <si>
    <t>4_6</t>
  </si>
  <si>
    <t>Data consistency is systematically assessed and maintained</t>
  </si>
  <si>
    <t>5_1</t>
  </si>
  <si>
    <t>Appropriate periodicity of dissemination is ensured</t>
  </si>
  <si>
    <t>5_2</t>
  </si>
  <si>
    <t>Timely dissemination of statistics is ensured</t>
  </si>
  <si>
    <t>5_3</t>
  </si>
  <si>
    <t>Correction and revision policies and practices are established and applied</t>
  </si>
  <si>
    <t>5_4</t>
  </si>
  <si>
    <t>Data are publicly accessible</t>
  </si>
  <si>
    <t>5_5</t>
  </si>
  <si>
    <t>Metadata are publicly accessible</t>
  </si>
  <si>
    <t>5_6</t>
  </si>
  <si>
    <t>Assistance to users is provided</t>
  </si>
  <si>
    <t>RBP_P</t>
  </si>
  <si>
    <t>A statistical law or other relevant law establishes a clear legal framework for the development, production, and dissemination of official statistics.</t>
  </si>
  <si>
    <t>A statistical law or other relevant law clearly defines “official statistics” and distinguishes them from other statistics (e.g., administrative or private statistics).</t>
  </si>
  <si>
    <t>The Fundamental Principle of Official Statistics—Relevance, Impartiality, and Equal Access—is embedded in the statistical law or other relevant law.</t>
  </si>
  <si>
    <t>The statistical law or other relevant law provides a clear mandate for producers to collect data (including compulsory surveys when necessary) when such data are not otherwise available.</t>
  </si>
  <si>
    <t>The statistical law or other relevant law overrides conflicting provisions in other legislation, or requires other laws to comply with statistical requirements where needed.</t>
  </si>
  <si>
    <t>The statistical law or other relevant law has been updated recently, and the date of the most recent update is documented.</t>
  </si>
  <si>
    <t>The Fundamental Principle of Official Statistics—Professional Standards, Scientific Principles, and Professional Ethics—is embedded in the statistical law or other relevant law.</t>
  </si>
  <si>
    <t>The Fundamental Principle of Official Statistics—Accountability and Transparency—is embedded in the statistical law or other relevant law.</t>
  </si>
  <si>
    <t>The Fundamental Principle of Official Statistics—Prevention of Misuse—is embedded in the statistical law or other relevant law.</t>
  </si>
  <si>
    <t>A National Statistical Office (NSO), department, or organizational unit is designated as a professionally independent body and recognized as the leading authority of the national statistical system.</t>
  </si>
  <si>
    <t>The National Statistical Office (or equivalent) has full autonomy over statistical methods, data sources, content, and the timing of releases, free from political or administrative interference.</t>
  </si>
  <si>
    <t>The head of the statistical organization is appointed through an open, merit-based process for a fixed term, with strictly limited and clearly defined grounds for dismissal.</t>
  </si>
  <si>
    <t>The head of the statistical organization has full authority over the organization’s structure and staffing decisions.</t>
  </si>
  <si>
    <t>Statistical producers (e.g., the NSO, line ministries, and the central bank) are clearly identified in law and are required to follow the principles of official statistics.</t>
  </si>
  <si>
    <t>A government policy assigns a coordinating body (e.g., the NSO) the authority to coordinate the national statistical system, including issuing common standards, methods, and classifications.</t>
  </si>
  <si>
    <t>Public administrative data producers have a legal obligation to share data with the NSO and other official statistical producers.</t>
  </si>
  <si>
    <t>Data exchange agreements (e.g., MOUs) are established with customs authorities.</t>
  </si>
  <si>
    <t>The date of the most recent data sharing agreement with customs authorities is documented.</t>
  </si>
  <si>
    <t>Data exchange agreements (e.g., MOUs) are established with tax authorities.</t>
  </si>
  <si>
    <t>The date of the most recent data sharing agreement with tax authorities is documented.</t>
  </si>
  <si>
    <t>Data exchange agreements (e.g., MOUs) are established with social security authorities.</t>
  </si>
  <si>
    <t>The date of the most recent data sharing agreement with social security authorities is documented.</t>
  </si>
  <si>
    <t>Appropriate policies and practices guarantee the security and integrity of data and their transmission.</t>
  </si>
  <si>
    <t>Identification risk for individual respondents is assessed and managed using documented practices.</t>
  </si>
  <si>
    <t>Statistical confidentiality is explicitly guaranteed by law or an equivalent legal instrument.</t>
  </si>
  <si>
    <t>Data collected by the national statistical system are used exclusively for statistical purposes and are not shared with other authorities for enforcement, regulatory, or administrative decisions.</t>
  </si>
  <si>
    <t>Documented standards, guidelines, and procedures exist to ensure statistical confidentiality is applied consistently across the agency’s data handling processes.</t>
  </si>
  <si>
    <t>Access to individual-level data is restricted to staff who require the information to perform their statistical duties.</t>
  </si>
  <si>
    <t>Special aggregation and disclosure control rules are applied to prevent residual disclosure when disseminating aggregates derived from survey or other confidential data.</t>
  </si>
  <si>
    <t>All outputs are reviewed for possible indirect (residual) disclosure, and tables and dissemination products are designed to prevent disclosure.</t>
  </si>
  <si>
    <t>Data retention policies are established, followed, and compliance is monitored.</t>
  </si>
  <si>
    <t>Staff are required to sign confidentiality undertakings as part of their terms of employment.</t>
  </si>
  <si>
    <t>Strict protocols govern microdata access for research or statistical purposes, including confidentiality safeguards such as secure access arrangements and anonymization protocols.</t>
  </si>
  <si>
    <t>Penalties for willful breaches of statistical confidentiality are prescribed and are well-known through legislation and/or agency policies.</t>
  </si>
  <si>
    <t>The law or relevant organizational policy includes provisions that ensure secure data processing and storage.</t>
  </si>
  <si>
    <t>The producing agency actively considers response burden and pursues alternative non-survey avenues to obtain data where feasible.</t>
  </si>
  <si>
    <t>The producing agency assists respondents in completing and submitting forms and clearly states the purpose and legal authority for the data collection.</t>
  </si>
  <si>
    <t>The producing agency promotes respondent cooperation through goodwill measures, including registering and addressing complaints, explaining collection purposes, communicating burden-reduction measures, raising awareness of the value of quality statistics, and providing respondents with data upon request where appropriate.</t>
  </si>
  <si>
    <t>The institution maintains a documented staffing complement, including the total number of staff.</t>
  </si>
  <si>
    <t>The number of staff assigned to statistical program(s) is sufficient to meet quality requirements (scope, timeliness, frequency, accuracy and reliability, serviceability, and accessibility).</t>
  </si>
  <si>
    <t>Staff qualifications and skills adequately cover the methodological and analytical needs of the statistical program(s).</t>
  </si>
  <si>
    <t>The responsible agency has an adequate number of statisticians to support the scope of the program.</t>
  </si>
  <si>
    <t>The responsible agency has an adequate number of GIS experts to support economic statistics needs where relevant.</t>
  </si>
  <si>
    <t>The responsible agency has an adequate number of economists to support economic statistics needs where relevant.</t>
  </si>
  <si>
    <t>The responsible agency has an adequate number of sociologists or social science experts to support social statistics needs where relevant.</t>
  </si>
  <si>
    <t>The responsible agency has an adequate number of data scientists to manage new data sources (e.g., big data, administrative data) and advanced analytics.</t>
  </si>
  <si>
    <t>The responsible agency has an adequate number of administrative staff to support operations, including work related to new data sources and advanced analytics.</t>
  </si>
  <si>
    <t>Computing resources (hardware, software, and network capacity) are sufficient to compile and disseminate the statistical programs.</t>
  </si>
  <si>
    <t>Software used to compile and analyze statistics is effective, regularly updated, and well-adapted to current and emerging tasks.</t>
  </si>
  <si>
    <t>Hardware (computers, servers) is distributed adequately to enable efficient collection, processing, and database management.</t>
  </si>
  <si>
    <t>Data backup and disaster recovery measures are in place to protect databases and ensure rapid retrieval of statistical series.</t>
  </si>
  <si>
    <t>An IT roadmap is maintained and regularly updated to ensure the organization uses appropriate, up-to-date technology to process, disseminate, and safeguard national data assets.</t>
  </si>
  <si>
    <t>Office building facilities provide adequate working conditions (e.g., lighting, heating/cooling, and space) to support staff efficiency.</t>
  </si>
  <si>
    <t>Office furniture and equipment are sufficient to perform required tasks comfortably and effectively.</t>
  </si>
  <si>
    <t>Transportation arrangements are adequate to support the statistical program, including field data collection where relevant.</t>
  </si>
  <si>
    <t>Budgeting practices provide clear information to financing authorities and support priority-based discussions on expansions or cutbacks.</t>
  </si>
  <si>
    <t>The funding horizon (two to three years or more) supports strategic planning for future statistical developments and innovations.</t>
  </si>
  <si>
    <t>Periodic staff performance reviews are conducted to support alignment with goals and encourage efficiency.</t>
  </si>
  <si>
    <t>Efficiency is pursued through periodic reviews of work processes, including survey cost-effectiveness and methodological consistency across datasets.</t>
  </si>
  <si>
    <t>Costing procedures measuring resources used to compile statistics are carried out periodically and compared across programs.</t>
  </si>
  <si>
    <t>Budgeting procedures support management in allocating resources across competing statistical priorities.</t>
  </si>
  <si>
    <t>A resource mobilization strategy (e.g., an NSDS or equivalent) exists to fund statistical work and the development program.</t>
  </si>
  <si>
    <t>The annual work plan is feasible given available resources (staff, budget, IT, and related capacities).</t>
  </si>
  <si>
    <t>Costs (staff and other costs) are measured at each stage of the production process for key statistical outputs.</t>
  </si>
  <si>
    <t>2_1_1_1</t>
  </si>
  <si>
    <t>A law or formal provision supports the professional independence of the data-producing organization and ensures impartiality in compiling and disseminating statistics.</t>
  </si>
  <si>
    <t>2_1_1_2</t>
  </si>
  <si>
    <t>Data sources and statistical techniques are chosen solely on the basis of statistical considerations (e.g., objectives, data requirements, and best-fit methodologies), free from external influence.</t>
  </si>
  <si>
    <t>2_1_1_3</t>
  </si>
  <si>
    <t>Decisions about when to disseminate data are based solely on statistical considerations.</t>
  </si>
  <si>
    <t>2_1_1_4</t>
  </si>
  <si>
    <t>Decisions about the timing, media, and other aspects of dissemination are based solely on statistical considerations (e.g., user needs and best-practice transparency), without external interference.</t>
  </si>
  <si>
    <t>2_1_1_5</t>
  </si>
  <si>
    <t>When errors are detected, they are corrected as soon as possible, and users are informed about how the errors affected the released statistics.</t>
  </si>
  <si>
    <t>2_1_1_6</t>
  </si>
  <si>
    <t>The data-producing organization has a procedure or policy for publicly commenting on the misuse or misinterpretation of statistics.</t>
  </si>
  <si>
    <t>2_1_1_7</t>
  </si>
  <si>
    <t>Recruitment and promotion of staff are based on relevant aptitude and/or expertise in the relevant domain.</t>
  </si>
  <si>
    <t>2_1_1_8</t>
  </si>
  <si>
    <t>Workplace processes and activities promote a culture of professionalism.</t>
  </si>
  <si>
    <t>2_2_1_1</t>
  </si>
  <si>
    <t>The terms and conditions under which statistics are collected, processed, and disseminated are publicly available.</t>
  </si>
  <si>
    <t>2_2_2_1</t>
  </si>
  <si>
    <t>Internal governmental access to statistics prior to public release is clearly disclosed to the public, including which entities have pre-release access and how far in advance.</t>
  </si>
  <si>
    <t>2_2_2_2</t>
  </si>
  <si>
    <t>When internal government access to statistics is provided prior to public release, the data are provided after financial markets close.</t>
  </si>
  <si>
    <t>2_2_2_3</t>
  </si>
  <si>
    <t>Agreements on internal government access to statistics are regularly reviewed.</t>
  </si>
  <si>
    <t>2_2_2_4</t>
  </si>
  <si>
    <t>Mechanisms governing internal government access to statistics include a process for revoking these privileges.</t>
  </si>
  <si>
    <t>2_2_3_1</t>
  </si>
  <si>
    <t>Statistical products are clearly identified as originating from the official statistical organization, including in joint publications.</t>
  </si>
  <si>
    <t>2_2_4_1</t>
  </si>
  <si>
    <t>Major changes in methodology, source data, or statistical techniques are announced in advance so users can understand upcoming breaks in series or methodological shifts.</t>
  </si>
  <si>
    <t>2_2_4_2</t>
  </si>
  <si>
    <t>A written, publicly available quality policy or explicit statement of the organization’s commitment to quality is in place.</t>
  </si>
  <si>
    <t>2_2_4_3</t>
  </si>
  <si>
    <t>The governance and management arrangements of the organization’s statistical operations are publicly available in an accessible format.</t>
  </si>
  <si>
    <t>2_3_1_1</t>
  </si>
  <si>
    <t>The organization has a code of ethics for staff.</t>
  </si>
  <si>
    <t>2_3_1_2</t>
  </si>
  <si>
    <t>The organization’s code of ethics for staff includes provisions recognizing ethical responsibilities related to statistical methods, processing, and dissemination.</t>
  </si>
  <si>
    <t>2_3_1_3</t>
  </si>
  <si>
    <t>New staff are made aware of the organization’s ethical standards when they join the organization and are required to sign an ethical code of conduct.</t>
  </si>
  <si>
    <t>2_3_1_4</t>
  </si>
  <si>
    <t>The organization has a clear and documented set of ethical standards for managing staff conflicts of interest.</t>
  </si>
  <si>
    <t>2_3_1_5</t>
  </si>
  <si>
    <t>The organization takes corrective action when staff conflicts of interest are identified.</t>
  </si>
  <si>
    <t>2_3_1_6</t>
  </si>
  <si>
    <t>The organization has a clear and documented set of ethical standards for safeguarding against data misuse by staff.</t>
  </si>
  <si>
    <t>2_3_1_7</t>
  </si>
  <si>
    <t>The organization takes corrective action when misuse of data by staff is identified.</t>
  </si>
  <si>
    <t>2_3_1_8</t>
  </si>
  <si>
    <t>The organization has a clear and documented set of ethical standards for upholding confidentiality.</t>
  </si>
  <si>
    <t>2_3_1_9</t>
  </si>
  <si>
    <t>The organization takes corrective action when staff non-compliance with the confidentiality policy is identified.</t>
  </si>
  <si>
    <t>3_1_1_1</t>
  </si>
  <si>
    <t>National accounts statistics fully cover all activities within the entire domestic economic territory.</t>
  </si>
  <si>
    <t>3_1_1_2</t>
  </si>
  <si>
    <t>Activities in territorial enclaves abroad (e.g., embassies, military bases) are included in national accounts statistics.</t>
  </si>
  <si>
    <t>3_1_1_3</t>
  </si>
  <si>
    <t>Activities in free trade zones, bonded warehouses, and offshore factories under customs control are included in national accounts statistics.</t>
  </si>
  <si>
    <t>3_1_1_4</t>
  </si>
  <si>
    <t>Activities of cross-border and seasonal workers who maintain a center of economic interest in the economy are included in national accounts statistics.</t>
  </si>
  <si>
    <t>3_1_2_1</t>
  </si>
  <si>
    <t>Activities of households are included in national accounts statistics.</t>
  </si>
  <si>
    <t>3_1_2_2</t>
  </si>
  <si>
    <t>Activities of non-profit institutions serving households (NPISH) are included in national accounts statistics.</t>
  </si>
  <si>
    <t>3_1_2_3</t>
  </si>
  <si>
    <t>Activities of nonfinancial corporations are included in national accounts statistics.</t>
  </si>
  <si>
    <t>3_1_2_4</t>
  </si>
  <si>
    <t>Activities of financial corporations are included in national accounts statistics.</t>
  </si>
  <si>
    <t>3_1_2_5</t>
  </si>
  <si>
    <t>Activities of central government are included in national accounts statistics.</t>
  </si>
  <si>
    <t>3_1_2_6</t>
  </si>
  <si>
    <t>Activities of state government are included in national accounts statistics.</t>
  </si>
  <si>
    <t>3_1_2_7</t>
  </si>
  <si>
    <t>Activities of local government are included in national accounts statistics.</t>
  </si>
  <si>
    <t>3_1_2_8</t>
  </si>
  <si>
    <t>Activities of other levels of government (other than central, state local) are included in national accounts statistics.</t>
  </si>
  <si>
    <t>3_1_3_1</t>
  </si>
  <si>
    <t>Market production activities are recorded in total output.</t>
  </si>
  <si>
    <t>3_1_3_2</t>
  </si>
  <si>
    <t>All non-market output of government is included in total output.</t>
  </si>
  <si>
    <t>3_1_3_3</t>
  </si>
  <si>
    <t>All non-market output of NPISH is included in total output.</t>
  </si>
  <si>
    <t>3_1_3_4</t>
  </si>
  <si>
    <t>Implicit financial services on loans and deposits (FISIM) are calculated using appropriate reference rates (e.g., a risk-free rate) and included in total output.</t>
  </si>
  <si>
    <t>3_1_3_5</t>
  </si>
  <si>
    <t>Goods produced by households for own final use (e.g., subsistence crops) are included in total output.</t>
  </si>
  <si>
    <t>3_1_3_6</t>
  </si>
  <si>
    <t>Services of owner-occupied dwellings are valued and included in total output.</t>
  </si>
  <si>
    <t>3_1_3_7</t>
  </si>
  <si>
    <t>Underground activities (legal activities that are unreported or under-reported) are included in measured output.</t>
  </si>
  <si>
    <t>3_1_3_8</t>
  </si>
  <si>
    <t>Production by units that are not formally recognized as distinct producers (but produce for market income/profit without formal registration) is included in total output.</t>
  </si>
  <si>
    <t>3_1_3_9</t>
  </si>
  <si>
    <t>Informal economic activities facilitated by digitalization and involving cross-border flows are included in total output.</t>
  </si>
  <si>
    <t>3_1_4_1</t>
  </si>
  <si>
    <t>Purchases of research and development that are expected to be used in production for more than one year are included in gross fixed capital formation.</t>
  </si>
  <si>
    <t>3_1_4_2</t>
  </si>
  <si>
    <t>Own-account research and development expenditures that are expected to be used in production for more than one year are included in output and gross fixed capital formation.</t>
  </si>
  <si>
    <t>3_1_4_3</t>
  </si>
  <si>
    <t>Output of goods for own-account fixed capital formation is included in gross fixed capital formation.</t>
  </si>
  <si>
    <t>3_1_4_4</t>
  </si>
  <si>
    <t>Mineral exploration and evaluation costs (successful or not) are included in output and gross fixed capital formation.</t>
  </si>
  <si>
    <t>3_1_4_5</t>
  </si>
  <si>
    <t>Expenditures on entertainment, literary, or artistic originals (bought or produced on own account) are included in output and gross fixed capital formation.</t>
  </si>
  <si>
    <t>3_1_4_6</t>
  </si>
  <si>
    <t>Own-account computer software expected to be used for more than one year is included in gross fixed capital formation.</t>
  </si>
  <si>
    <t>3_1_4_7</t>
  </si>
  <si>
    <t>Purchased computer software expected to be used for more than one year is included in gross fixed capital formation.</t>
  </si>
  <si>
    <t>3_1_4_8</t>
  </si>
  <si>
    <t>Databases (bought or produced on own account) expected to be used for more than one year are included in gross fixed capital formation.</t>
  </si>
  <si>
    <t>3_1_4_9</t>
  </si>
  <si>
    <t>Assets under a financial lease, where the lessee becomes the economic owner, are included in gross fixed capital formation.</t>
  </si>
  <si>
    <t>3_2_1_1</t>
  </si>
  <si>
    <t>Market output is valued at economically significant prices.</t>
  </si>
  <si>
    <t>3_2_1_2</t>
  </si>
  <si>
    <t>Output is valued at basic prices (net of taxes on products and including subsidies on products where applicable).</t>
  </si>
  <si>
    <t>3_2_1_3</t>
  </si>
  <si>
    <t>Goods produced for own final use (e.g., farm products) are valued at equivalent market prices.</t>
  </si>
  <si>
    <t>3_2_1_4</t>
  </si>
  <si>
    <t>Non-deductible sales and excise taxes are included in intermediate consumption.</t>
  </si>
  <si>
    <t>3_2_1_5</t>
  </si>
  <si>
    <t>Non-deductible value added taxes are included in intermediate consumption and not recorded in final uses.</t>
  </si>
  <si>
    <t>3_2_1_6</t>
  </si>
  <si>
    <t>Transfer prices within the same enterprise group are monitored and adjusted when they are set artificially.</t>
  </si>
  <si>
    <t>3_2_1_7</t>
  </si>
  <si>
    <t>Imports and exports are recorded on an FOB basis, and CIF-to-FOB adjustments are made when required.</t>
  </si>
  <si>
    <t>3_2_1_8</t>
  </si>
  <si>
    <t>Information on insurance and freight for imports is available to support accurate CIF-to-FOB adjustments.</t>
  </si>
  <si>
    <t>3_2_1_9</t>
  </si>
  <si>
    <t>Foreign-currency transactions are converted using the midpoint exchange rate prevailing at the time of the transaction.</t>
  </si>
  <si>
    <t>3_2_2_1</t>
  </si>
  <si>
    <t>Transactions and flows are recorded on an accrual basis, when economic value is created, transformed, exchanged, transferred, or extinguished.</t>
  </si>
  <si>
    <t>3_2_2_2</t>
  </si>
  <si>
    <t>Government transactions (taxes, subsidies, expenditures, and revenue) are recorded on an accrual basis.</t>
  </si>
  <si>
    <t>3_2_2_3</t>
  </si>
  <si>
    <t>Work-in-progress is recorded in the period it is produced (e.g., for large construction projects and crops), not only upon completion.</t>
  </si>
  <si>
    <t>3_2_2_4</t>
  </si>
  <si>
    <t>Transactions between establishments of the same enterprise are recorded gross in the accounts, without consolidation for deliveries between establishments.</t>
  </si>
  <si>
    <t>3_2_2_5</t>
  </si>
  <si>
    <t>Transactions are recorded at the time economic ownership changes.</t>
  </si>
  <si>
    <t>3_2_2_6</t>
  </si>
  <si>
    <t>Goods sent abroad for processing where the domestic unit retains economic ownership (principal) are recorded in domestic output, and the related materials are not recorded as exports and imports of goods.</t>
  </si>
  <si>
    <t>3_2_2_7</t>
  </si>
  <si>
    <t>Goods sent abroad for processing where the domestic unit does not retain economic ownership (processor/contractor arrangement) are recorded as manufacturing services in domestic output, and the related materials are not recorded as exports and imports of goods.</t>
  </si>
  <si>
    <t>3_2_2_8</t>
  </si>
  <si>
    <t>Merchanting transactions are recorded in the national accounts, with the merchanting margin recorded as domestic output.</t>
  </si>
  <si>
    <t>3_2_2_9</t>
  </si>
  <si>
    <t>Life insurance output estimates include premium supplements and are not based solely on premiums less claims.</t>
  </si>
  <si>
    <t>3_3_1_1</t>
  </si>
  <si>
    <t>The current-price benchmark year for the national accounts program is updated at least every five years.</t>
  </si>
  <si>
    <t>3_3_1_2</t>
  </si>
  <si>
    <t>The latest year for which current-price benchmark estimates are available is identified and documented.</t>
  </si>
  <si>
    <t>3_3_1_3</t>
  </si>
  <si>
    <t>Sub-annual series (e.g., quarterly data) are adjusted for seasonality and calendar effects in accordance with standard statistical practices.</t>
  </si>
  <si>
    <t>3_3_1_4</t>
  </si>
  <si>
    <t>Double deflation is used where appropriate for compiling volume estimates.</t>
  </si>
  <si>
    <t>3_3_1_5</t>
  </si>
  <si>
    <t>Single extrapolation is used where appropriate for compiling volume estimates.</t>
  </si>
  <si>
    <t>3_3_1_6</t>
  </si>
  <si>
    <t>Output is deflated using appropriate price indices.</t>
  </si>
  <si>
    <t>3_3_1_7</t>
  </si>
  <si>
    <t>Intermediate consumption is deflated using appropriate price indices.</t>
  </si>
  <si>
    <t>3_3_1_8</t>
  </si>
  <si>
    <t>Volume measures (e.g., GDP in volumen terms and output in volume terms) are chain-weighted to reflect shifting relative prices over time.</t>
  </si>
  <si>
    <t>3_3_1_9</t>
  </si>
  <si>
    <t>Weights for fixed-weighted (constant price) volume aggregates are updated at least every five years.</t>
  </si>
  <si>
    <t>3_4_1_1</t>
  </si>
  <si>
    <t>Industries are classified using ISIC or a national variant consistent with ISIC, and the version used is documented.</t>
  </si>
  <si>
    <t>3_4_1_2</t>
  </si>
  <si>
    <t>Products are classified using CPC or a national variant consistent with CPC, and the version used is documented.</t>
  </si>
  <si>
    <t>3_4_1_3</t>
  </si>
  <si>
    <t>Household final consumption expenditures are classified using COICOP or a national variant consistent with COICOP, and the version used is documented.</t>
  </si>
  <si>
    <t>3_4_1_4</t>
  </si>
  <si>
    <t>Government expenditures are classified using COFOG or a national variant consistent with COFOG, and the version used is documented.</t>
  </si>
  <si>
    <t>3_4_1_5</t>
  </si>
  <si>
    <t>NPISH final consumption expenditures are classified using COPNI or a national variant consistent with COPNI, and the version used is documented.</t>
  </si>
  <si>
    <t>3_4_1_6</t>
  </si>
  <si>
    <t>Definitions of stocks, transactions, and other flows are consistent with the SNA and are applied consistently in the accounts.</t>
  </si>
  <si>
    <t>3_4_1_7</t>
  </si>
  <si>
    <t>Financial instruments are classified using SNA financial instrument classes (or a consistent national variant) and applied in the financial accounts and balance sheets.</t>
  </si>
  <si>
    <t>3_4_1_8</t>
  </si>
  <si>
    <t>Institutional units are classified using the SNA institutional sector classification (or a consistent national variant) and applied consistently.</t>
  </si>
  <si>
    <t>3_5_1_1</t>
  </si>
  <si>
    <t>Value added by industry and GDP in current prices are produced and disseminated annually by a designated national official statistical organization.</t>
  </si>
  <si>
    <t>3_5_1_2</t>
  </si>
  <si>
    <t>The number of industries disseminated for annual current-price GDP is identified and documented.</t>
  </si>
  <si>
    <t>3_5_1_3</t>
  </si>
  <si>
    <t>Value added by industry and GDP in current prices are produced and disseminated at a discrete quarterly frequency by a designated national official statistical organization.</t>
  </si>
  <si>
    <t>3_5_1_4</t>
  </si>
  <si>
    <t>The number of industries disseminated for quarterly current-price GDP is identified and documented.</t>
  </si>
  <si>
    <t>3_5_1_5</t>
  </si>
  <si>
    <t>Value added by industry and GDP in volume terms are produced and disseminated annually by a designated national official statistical organization.</t>
  </si>
  <si>
    <t>3_5_1_6</t>
  </si>
  <si>
    <t>The number of industries disseminated for annual volume GDP is identified and documented.</t>
  </si>
  <si>
    <t>3_5_1_7</t>
  </si>
  <si>
    <t>Value added by industry and GDP in volume terms are produced and disseminated at a discrete quarterly frequency by a designated national official statistical organization.</t>
  </si>
  <si>
    <t>3_5_1_8</t>
  </si>
  <si>
    <t>The number of industries disseminated for quarterly volume GDP is identified and documented.</t>
  </si>
  <si>
    <t>3_5_2_1</t>
  </si>
  <si>
    <t>Benchmark supply and use tables in current prices are produced and disseminated by a designated national official statistical organization.</t>
  </si>
  <si>
    <t>3_5_2_2</t>
  </si>
  <si>
    <t>Benchmark supply and use tables in volume terms are produced and disseminated by a designated national official statistical organization.</t>
  </si>
  <si>
    <t>3_5_2_3</t>
  </si>
  <si>
    <t>Input-output tables are produced and disseminated by a designated national official statistical organization.</t>
  </si>
  <si>
    <t>3_5_3_1</t>
  </si>
  <si>
    <t>GDP by expenditure in current prices is produced and disseminated annually by a designated national official statistical organization.</t>
  </si>
  <si>
    <t>3_5_3_2</t>
  </si>
  <si>
    <t>GDP by expenditure in current prices is produced and disseminated at a discrete quarterly frequency by a designated national official statistical organization.</t>
  </si>
  <si>
    <t>3_5_3_3</t>
  </si>
  <si>
    <t>GDP by expenditure in volume terms is produced and disseminated annually by a designated national official statistical organization.</t>
  </si>
  <si>
    <t>3_5_3_4</t>
  </si>
  <si>
    <t>GDP by expenditure in volume terms is produced and disseminated at a discrete quarterly frequency by a designated national official statistical organization.</t>
  </si>
  <si>
    <t>3_5_3_5</t>
  </si>
  <si>
    <t>Government final consumption expenditure by purpose in current prices is produced and disseminated annually by a designated national official statistical organization.</t>
  </si>
  <si>
    <t>3_5_3_6</t>
  </si>
  <si>
    <t>Government final consumption expenditure by purpose in current prices is produced and disseminated at a discrete quarterly frequency by a designated national official statistical organization.</t>
  </si>
  <si>
    <t>3_5_3_7</t>
  </si>
  <si>
    <t>Government final consumption expenditure by purpose in constant prices is produced and disseminated annually by a designated national official statistical organization.</t>
  </si>
  <si>
    <t>3_5_3_8</t>
  </si>
  <si>
    <t>Government final consumption expenditure by purpose in constant prices is produced and disseminated at a discrete quarterly frequency by a designated national official statistical organization.</t>
  </si>
  <si>
    <t>3_5_3_9</t>
  </si>
  <si>
    <t>Individual consumption expenditure by purpose in current prices is produced and disseminated annually by a designated national official statistical organization.</t>
  </si>
  <si>
    <t>3_5_4_1</t>
  </si>
  <si>
    <t>GDP by income in current prices is produced and disseminated annually by a designated national official statistical organization.</t>
  </si>
  <si>
    <t>3_5_4_2</t>
  </si>
  <si>
    <t>GDP by income in current prices is produced and disseminated at a discrete quarterly frequency by a designated national official statistical organization.</t>
  </si>
  <si>
    <t>3_5_4_3</t>
  </si>
  <si>
    <t>Components of value added by industry in current prices are produced and disseminated annually by a designated national official statistical organization.</t>
  </si>
  <si>
    <t>3_5_4_4</t>
  </si>
  <si>
    <t>Components of value added by industry in current prices are produced and disseminated at a discrete quarterly frequency by a designated national official statistical organization.</t>
  </si>
  <si>
    <t>3_5_4_5</t>
  </si>
  <si>
    <t>Real GDI are produced and disseminated annually by a designated national official statistical organization.</t>
  </si>
  <si>
    <t>3_5_4_6</t>
  </si>
  <si>
    <t>Real GDI are produced and disseminated at a discrete quarterly frequency by a designated national official statistical organization.</t>
  </si>
  <si>
    <t>3_5_4_7</t>
  </si>
  <si>
    <t>Real GNI are produced and disseminated annually by a designated national official statistical organization.</t>
  </si>
  <si>
    <t>3_5_4_8</t>
  </si>
  <si>
    <t>Real GNI are produced and disseminated at a discrete quarterly frequency by a designated national official statistical organization.</t>
  </si>
  <si>
    <t>3_5_5_1</t>
  </si>
  <si>
    <t>Sequence of accounts for the total economy (through net lending/borrowing) is produced and disseminated annually by a designated national official statistical organization.</t>
  </si>
  <si>
    <t>3_5_5_2</t>
  </si>
  <si>
    <t>Sequence of accounts for the total economy (through net lending/borrowing) is produced and disseminated quarterly by a designated national official statistical organization.</t>
  </si>
  <si>
    <t>3_5_5_3</t>
  </si>
  <si>
    <t>Cross-classifications of output/value added by industries and sectors are produced and disseminated at an annual or quarterly frequency.</t>
  </si>
  <si>
    <t>3_5_5_4</t>
  </si>
  <si>
    <t>Rest of the world accounts (through net lending/borrowing) are produced and disseminated annually by a designated national official statistical organization.</t>
  </si>
  <si>
    <t>3_5_5_5</t>
  </si>
  <si>
    <t>Rest of the world accounts (through net lending/borrowing) are produced and disseminated quarterly by a designated national official statistical organization.</t>
  </si>
  <si>
    <t>3_5_5_6</t>
  </si>
  <si>
    <t>Non-financial corporations sector accounts (through net lending/borrowing) are produced and disseminated annually by a designated national official statistical organization.</t>
  </si>
  <si>
    <t>3_5_5_7</t>
  </si>
  <si>
    <t>Non-financial corporations sector accounts (through net lending/borrowing) are produced and disseminated quarterly by a designated national official statistical organization.</t>
  </si>
  <si>
    <t>3_5_5_8</t>
  </si>
  <si>
    <t>Financial corporations sector accounts (through net lending/borrowing) are produced and disseminated annually by a designated national official statistical organization.</t>
  </si>
  <si>
    <t>3_5_5_9</t>
  </si>
  <si>
    <t>Financial corporations sector accounts (through net lending/borrowing) are produced and disseminated quarterly by a designated national official statistical organization.</t>
  </si>
  <si>
    <t>3_5_6_1</t>
  </si>
  <si>
    <t>Financial accounts for the total economy are produced and disseminated annually by a designated national official statistical organization.</t>
  </si>
  <si>
    <t>3_5_6_2</t>
  </si>
  <si>
    <t>Financial accounts for the total economy are produced and disseminated quarterly by a designated national official statistical organization.</t>
  </si>
  <si>
    <t>3_5_6_3</t>
  </si>
  <si>
    <t>Financial accounts for the rest of the world are produced and disseminated annually by a designated national official statistical organization.</t>
  </si>
  <si>
    <t>3_5_6_4</t>
  </si>
  <si>
    <t>Financial accounts for the rest of the world are produced and disseminated quarterly by a designated national official statistical organization.</t>
  </si>
  <si>
    <t>3_5_6_5</t>
  </si>
  <si>
    <t>Financial accounts for the non-financial corporation sector are produced and disseminated annually by a designated national official statistical organization.</t>
  </si>
  <si>
    <t>3_5_6_6</t>
  </si>
  <si>
    <t>Financial accounts for the non-financial corporation sector are produced and disseminated quarterly by a designated national official statistical organization.</t>
  </si>
  <si>
    <t>3_5_6_7</t>
  </si>
  <si>
    <t>Financial accounts for the financial corporations sector are produced and disseminated annually by a designated national official statistical organization.</t>
  </si>
  <si>
    <t>3_5_6_8</t>
  </si>
  <si>
    <t>Financial accounts for the financial corporations sector are produced and disseminated quarterly by a designated national official statistical organization.</t>
  </si>
  <si>
    <t>3_5_6_9</t>
  </si>
  <si>
    <t>Financial accounts for the general government sector are produced and disseminated annually by a designated national official statistical organization.</t>
  </si>
  <si>
    <t>3_5_7_1</t>
  </si>
  <si>
    <t>Balance sheet accounts for the total economy are produced and disseminated annually by a designated national official statistical organization.</t>
  </si>
  <si>
    <t>3_5_7_2</t>
  </si>
  <si>
    <t>Balance sheet accounts for the total economy are produced and disseminated quarterly by a designated national official statistical organization.</t>
  </si>
  <si>
    <t>3_5_7_3</t>
  </si>
  <si>
    <t>Balance sheet accounts for the rest of the world are produced and disseminated annually by a designated national official statistical organization.</t>
  </si>
  <si>
    <t>3_5_7_4</t>
  </si>
  <si>
    <t>Balance sheet accounts for the rest of the world are produced and disseminated quarterly by a designated national official statistical organization.</t>
  </si>
  <si>
    <t>3_5_7_5</t>
  </si>
  <si>
    <t>Balance sheet accounts for the non-financial corporation sector are produced and disseminated annually by a designated national official statistical organization.</t>
  </si>
  <si>
    <t>3_5_7_6</t>
  </si>
  <si>
    <t>Balance sheet accounts for the non-financial corporation sector are produced and disseminated quarterly by a designated national official statistical organization.</t>
  </si>
  <si>
    <t>3_5_7_7</t>
  </si>
  <si>
    <t>Balance sheet accounts for the financial corporations sector are produced and disseminated annually by a designated national official statistical organization.</t>
  </si>
  <si>
    <t>3_5_7_8</t>
  </si>
  <si>
    <t>Balance sheet accounts for the financial corporations sector are produced and disseminated quarterly by a designated national official statistical organization.</t>
  </si>
  <si>
    <t>3_5_7_9</t>
  </si>
  <si>
    <t>Balance sheet accounts for the general government sector are produced and disseminated annually by a designated national official statistical organization.</t>
  </si>
  <si>
    <t>3_5_8_1</t>
  </si>
  <si>
    <t>Capital stock estimates are produced and disseminated by a designated national official statistical organization.</t>
  </si>
  <si>
    <t>3_5_8_2</t>
  </si>
  <si>
    <t>Employment by industry statistics are produced and disseminated by a designated national official statistical organization.</t>
  </si>
  <si>
    <t>3_5_8_3</t>
  </si>
  <si>
    <t>Tourism accounts, environmental accounts, and/or other socio-economic accounts are produced and disseminated by a designated national official statistical organization.</t>
  </si>
  <si>
    <t>3_5_8_4</t>
  </si>
  <si>
    <t>Productivity tables (multi-factor, labor, and capital) are produced and disseminated by a designated national official statistical organization.</t>
  </si>
  <si>
    <t>3_5_8_5</t>
  </si>
  <si>
    <t>The supplementary table on social insurance pensions schemes is produced and disseminated by a designated national official statistical organization.</t>
  </si>
  <si>
    <t>3_5_8_6</t>
  </si>
  <si>
    <t>Labor market tables are produced and disseminated annually by a designated national official statistical organization.</t>
  </si>
  <si>
    <t>3_5_8_7</t>
  </si>
  <si>
    <t>Labor market tables are produced and disseminated quarterly by a designated national official statistical organization.</t>
  </si>
  <si>
    <t>3_5_8_8</t>
  </si>
  <si>
    <t>Extended supply and use tables (SUTs) are produced and disseminated with at least one additional breakdown by firm characteristics and/or control (e.g., size, trading status, foreign-controlled, or domestically controlled within MNEs).</t>
  </si>
  <si>
    <t>3_5_8_9</t>
  </si>
  <si>
    <t>Extended/thematic accounts (e.g., unpaid household work, education, and health) are produced and disseminated by a designated national official statistical organization.</t>
  </si>
  <si>
    <t>4_1_1_1</t>
  </si>
  <si>
    <t>A comprehensive and up-to-date register (or, where no business register exists, a comprehensive list with new registrations) is used as the basis for enterprise or establishment sample surveys.</t>
  </si>
  <si>
    <t>4_1_1_2</t>
  </si>
  <si>
    <t>Register maintenance procedures are adequate (e.g., adding new units, deleting inactive units, and tracking mergers and reorganizations).</t>
  </si>
  <si>
    <t>4_1_1_3</t>
  </si>
  <si>
    <t>The sample design ensures that the in-scope population is adequately represented and efficiently stratified (e.g., by industry or geography).</t>
  </si>
  <si>
    <t>4_1_1_4</t>
  </si>
  <si>
    <t>Sample selections and estimation methods are regularly reviewed to ensure acceptable levels of sampling error.</t>
  </si>
  <si>
    <t>4_1_1_5</t>
  </si>
  <si>
    <t>Population benchmarks and survey weights used in the estimation process are reviewed and updated periodically.</t>
  </si>
  <si>
    <t>4_1_1_6</t>
  </si>
  <si>
    <t>Survey questionnaires are constructed using sound design principles, including pilot testing and periodic review.</t>
  </si>
  <si>
    <t>4_1_1_7</t>
  </si>
  <si>
    <t>Survey instruments are designed to facilitate efficient data capture and processing while minimizing nonsampling errors.</t>
  </si>
  <si>
    <t>4_1_1_8</t>
  </si>
  <si>
    <t>Benchmark collections and other framework information are gathered frequently enough to support an effective survey methodology.</t>
  </si>
  <si>
    <t>4_1_1_9</t>
  </si>
  <si>
    <t>The survey framework supports supplementary data collections that provide irregular but useful information for national accounts.</t>
  </si>
  <si>
    <t>4_1_2_1</t>
  </si>
  <si>
    <t>Household income data are available at a defined frequency.</t>
  </si>
  <si>
    <t>4_1_2_2</t>
  </si>
  <si>
    <t>Household expenditure data are available at a defined frequency.</t>
  </si>
  <si>
    <t>4_1_2_3</t>
  </si>
  <si>
    <t>Household balance sheet data are available at a defined frequency.</t>
  </si>
  <si>
    <t>4_1_2_4</t>
  </si>
  <si>
    <t>Household surveys are based on an up-to-date register or a current area sample frame.</t>
  </si>
  <si>
    <t>4_1_2_5</t>
  </si>
  <si>
    <t>Household surveys use scientific sampling techniques with known probabilities of selection for households/persons.</t>
  </si>
  <si>
    <t>4_1_2_6</t>
  </si>
  <si>
    <t>Where applicable, multi-stage samples, stratification, and planned rotation of sample units are effectively implemented in repeated household surveys.</t>
  </si>
  <si>
    <t>4_1_2_7</t>
  </si>
  <si>
    <t>Household sample selections are refreshed regularly to maintain acceptable sampling error and are upgraded when necessary.</t>
  </si>
  <si>
    <t>4_1_2_8</t>
  </si>
  <si>
    <t>The timing of household surveys accounts for seasonal variation in expenditure patterns.</t>
  </si>
  <si>
    <t>4_1_2_9</t>
  </si>
  <si>
    <t>The household survey framework supports supplementary collections of irregular but useful data to extend the main compilation.</t>
  </si>
  <si>
    <t>4_1_3_1</t>
  </si>
  <si>
    <t>Central government finance statistics are available at a defined frequency.</t>
  </si>
  <si>
    <t>4_1_3_2</t>
  </si>
  <si>
    <t>State/province government finance statistics are available at a defined frequency.</t>
  </si>
  <si>
    <t>4_1_3_3</t>
  </si>
  <si>
    <t>Local government finance statistics are available at a defined frequency.</t>
  </si>
  <si>
    <t>4_1_3_4</t>
  </si>
  <si>
    <t>Financial public corporation statistics are available at a defined frequency.</t>
  </si>
  <si>
    <t>4_1_3_5</t>
  </si>
  <si>
    <t>Non-financial public corporation statistics are available at a defined frequency.</t>
  </si>
  <si>
    <t>4_1_3_6</t>
  </si>
  <si>
    <t>Government finance statistics include the operations of extra-budgetary funds.</t>
  </si>
  <si>
    <t>4_1_3_7</t>
  </si>
  <si>
    <t>Government finance statistics comprehensively cover defense-related expenditures, including weapon systems and single-use items such as ammunition and missiles.</t>
  </si>
  <si>
    <t>4_1_3_8</t>
  </si>
  <si>
    <t>Government finance statistics include data on government capital stocks.</t>
  </si>
  <si>
    <t>4_1_3_9</t>
  </si>
  <si>
    <t>Detailed government finance statistics are available to measure government output, intermediate consumption, fixed capital formation, final consumption expenditure, and relevant transactions, other economic flows, and stocks of financial assets and liabilities for the general government sector.</t>
  </si>
  <si>
    <t>4_1_4_1</t>
  </si>
  <si>
    <t>Nonfinancial corporation source data are available at a defined frequency.</t>
  </si>
  <si>
    <t>4_1_4_2</t>
  </si>
  <si>
    <t>Detailed data are available to measure nonfinancial corporation output, intermediate consumption, operating surplus, fixed capital formation, and relevant transactions, other economic flows, and stocks of financial assets and liabilities.</t>
  </si>
  <si>
    <t>4_1_4_3</t>
  </si>
  <si>
    <t>Nonfinancial corporation source data concepts are consistent with national accounts concepts.</t>
  </si>
  <si>
    <t>4_1_4_4</t>
  </si>
  <si>
    <t>The geographic and institutional coverage of nonfinancial corporation source data is consistent with national accounts requirements.</t>
  </si>
  <si>
    <t>4_1_4_5</t>
  </si>
  <si>
    <t>Nonfinancial corporation source data classifications can be readily aligned to national accounts classifications.</t>
  </si>
  <si>
    <t>4_1_4_6</t>
  </si>
  <si>
    <t>Nonfinancial corporation source data valuation principles are consistent with national accounts valuation principles.</t>
  </si>
  <si>
    <t>4_1_4_7</t>
  </si>
  <si>
    <t>Nonfinancial corporation source data recording principles are consistent with national accounts recording principles.</t>
  </si>
  <si>
    <t>4_1_4_8</t>
  </si>
  <si>
    <t>The nonfinancial corporation source data reference period is consistent with the reference period of the national accounts.</t>
  </si>
  <si>
    <t>4_1_4_9</t>
  </si>
  <si>
    <t>Nonfinancial corporation source data collection and processing timetables are adequate to meet national accounts timeliness and periodicity dissemination standards.</t>
  </si>
  <si>
    <t>4_1_5_1</t>
  </si>
  <si>
    <t>Source data for private financial corporations are available at a defined frequency.</t>
  </si>
  <si>
    <t>4_1_5_2</t>
  </si>
  <si>
    <t>Annual financial corporation source data are available to measure financial corporation output, intermediate consumption, operating surplus, fixed capital formation, and relevant transactions, other economic flows, and stocks of financial assets and liabilities.</t>
  </si>
  <si>
    <t>4_1_5_3</t>
  </si>
  <si>
    <t>Financial corporation source data concepts are consistent with national accounts concepts.</t>
  </si>
  <si>
    <t>4_1_5_4</t>
  </si>
  <si>
    <t>The geographic and institutional coverage of financial corporation source data is consistent with national accounts requirements.</t>
  </si>
  <si>
    <t>4_1_5_5</t>
  </si>
  <si>
    <t>Financial corporation source data classifications can be readily aligned to national accounts classifications.</t>
  </si>
  <si>
    <t>4_1_5_6</t>
  </si>
  <si>
    <t>Financial corporation source data valuation principles are consistent with national accounts valuation principles.</t>
  </si>
  <si>
    <t>4_1_5_7</t>
  </si>
  <si>
    <t>Financial corporation source data recording principles are consistent with national accounts recording principles.</t>
  </si>
  <si>
    <t>4_1_5_8</t>
  </si>
  <si>
    <t>The reference period of financial corporation source data is consistent with the reference period of the national accounts.</t>
  </si>
  <si>
    <t>4_1_5_9</t>
  </si>
  <si>
    <t>Financial corporation source data collection and processing timetables are adequate to meet national accounts timeliness and periodicity dissemination standards.</t>
  </si>
  <si>
    <t>4_1_6_1</t>
  </si>
  <si>
    <t>Detailed data are available to measure the domestic economy’s transactions and positions with the rest of the world, including imports, exports, income, and related financial assets and liabilities.</t>
  </si>
  <si>
    <t>4_1_6_2</t>
  </si>
  <si>
    <t>External sector source data concepts are consistent with national accounts concepts.</t>
  </si>
  <si>
    <t>4_1_6_3</t>
  </si>
  <si>
    <t>The geographic and institutional coverage of external sector source data is consistent with national accounts requirements.</t>
  </si>
  <si>
    <t>4_1_6_4</t>
  </si>
  <si>
    <t>External sector source data classifications can be readily aligned to national accounts classifications.</t>
  </si>
  <si>
    <t>4_1_6_5</t>
  </si>
  <si>
    <t>External sector source data valuation principles are consistent with national accounts valuation principles.</t>
  </si>
  <si>
    <t>4_1_6_6</t>
  </si>
  <si>
    <t>External sector source data recording principles are consistent with national accounts recording principles.</t>
  </si>
  <si>
    <t>4_1_6_7</t>
  </si>
  <si>
    <t>The reference period of external sector source data is consistent with the reference period of the national accounts.</t>
  </si>
  <si>
    <t>4_1_6_8</t>
  </si>
  <si>
    <t>External sector source data collection and processing timetables are adequate to meet national accounts timeliness and periodicity dissemination standards.</t>
  </si>
  <si>
    <t>4_1_6_9</t>
  </si>
  <si>
    <t>External sector respondents are made aware of reporting deadlines for their data submissions.</t>
  </si>
  <si>
    <t>4_1_7_1</t>
  </si>
  <si>
    <t>Producer price statistics are available at a sufficient level of detail for deflation purposes.</t>
  </si>
  <si>
    <t>4_1_7_2</t>
  </si>
  <si>
    <t>Consumer price statistics are available at a sufficient level of detail for deflation purposes.</t>
  </si>
  <si>
    <t>4_1_7_3</t>
  </si>
  <si>
    <t>Import price statistics are available at a sufficient level of detail for deflation purposes.</t>
  </si>
  <si>
    <t>4_1_7_4</t>
  </si>
  <si>
    <t>Export price statistics are available at a sufficient level of detail for deflation purposes.</t>
  </si>
  <si>
    <t>4_1_7_5</t>
  </si>
  <si>
    <t>Raw material price statistics are available at a sufficient level of detail for deflation purposes.</t>
  </si>
  <si>
    <t>4_1_7_6</t>
  </si>
  <si>
    <t>Machinery and equipment price statistics are available at a sufficient level of detail for deflation purposes.</t>
  </si>
  <si>
    <t>4_1_7_7</t>
  </si>
  <si>
    <t>Price statistics source data concepts are consistent with national accounts concepts.</t>
  </si>
  <si>
    <t>4_1_7_8</t>
  </si>
  <si>
    <t>The geographic and institutional coverage of price statistics source data is consistent with national accounts requirements.</t>
  </si>
  <si>
    <t>4_1_7_9</t>
  </si>
  <si>
    <t>Price statistics source data classifications can be readily aligned to national accounts classifications.</t>
  </si>
  <si>
    <t>4_1_8_1</t>
  </si>
  <si>
    <t>Monthly or quarterly enterprise/establishment data provide an adequate basis for compiling monthly or quarterly national accounts.</t>
  </si>
  <si>
    <t>4_1_8_2</t>
  </si>
  <si>
    <t>Monthly or quarterly household expenditure data provide an adequate basis for compiling monthly or quarterly national accounts.</t>
  </si>
  <si>
    <t>4_1_8_3</t>
  </si>
  <si>
    <t>Monthly or quarterly financial corporation data provide a sound basis for compiling monthly or quarterly national accounts.</t>
  </si>
  <si>
    <t>4_1_8_4</t>
  </si>
  <si>
    <t>Monthly or quarterly non-financial corporation data provide an adequate basis for compiling quarterly national accounts.</t>
  </si>
  <si>
    <t>4_1_8_5</t>
  </si>
  <si>
    <t>Monthly or quarterly general government data provide an adequate basis for compiling monthly or quarterly national accounts.</t>
  </si>
  <si>
    <t>4_1_8_6</t>
  </si>
  <si>
    <t>Monthly or quarterly external sector data provide an adequate basis for compiling monthly or quarterly national accounts.</t>
  </si>
  <si>
    <t>4_1_8_7</t>
  </si>
  <si>
    <t>Monthly or quarterly price data provide an adequate basis for compiling monthly or quarterly national accounts.</t>
  </si>
  <si>
    <t>4_1_9_1</t>
  </si>
  <si>
    <t>Periodic meetings are held with the business community to solicit cooperation in enterprise data collection and to identify developments relevant to national accounts compilation.</t>
  </si>
  <si>
    <t>4_1_9_2</t>
  </si>
  <si>
    <t>The press and research publications are monitored to identify activities relevant to national accounts compilation.</t>
  </si>
  <si>
    <t>4_1_9_3</t>
  </si>
  <si>
    <t>International standards, guidelines, and practices are monitored regularly for changes that should be reflected in national accounts compilation.</t>
  </si>
  <si>
    <t>4_1_9_4</t>
  </si>
  <si>
    <t>The compiling agency consults with source agencies to identify changes in administrative processes that may affect the statistics.</t>
  </si>
  <si>
    <t>4_1_9_5</t>
  </si>
  <si>
    <t>Data sources are kept under continuous review to ensure the data collection program remains comprehensive.</t>
  </si>
  <si>
    <t>4_1_9_6</t>
  </si>
  <si>
    <t>Ad-hoc surveys are conducted when necessary to supplement regular surveys for national accounts compilation.</t>
  </si>
  <si>
    <t>4_2_1_1</t>
  </si>
  <si>
    <t>Information on sampling and nonsampling errors (e.g., misclassification, nonresponse, and processing errors) is regularly monitored for each survey.</t>
  </si>
  <si>
    <t>4_2_1_2</t>
  </si>
  <si>
    <t>Material changes in source data are analyzed and incorporated into the national accounts through a structured revision cycle.</t>
  </si>
  <si>
    <t>4_2_1_3</t>
  </si>
  <si>
    <t>Editing procedures are in place to identify and confirm outliers or atypical survey responses with respondents.</t>
  </si>
  <si>
    <t>4_2_1_4</t>
  </si>
  <si>
    <t>The effects of questionnaire changes on survey estimates are regularly assessed.</t>
  </si>
  <si>
    <t>4_2_1_5</t>
  </si>
  <si>
    <t>Surveys and censuses are audited to verify the accuracy of reported data.</t>
  </si>
  <si>
    <t>4_2_1_6</t>
  </si>
  <si>
    <t>Source data are analyzed to detect and correct underreporting and misreporting through cross-checks with related data.</t>
  </si>
  <si>
    <t>4_3_1_1</t>
  </si>
  <si>
    <t>Compilation procedures minimize processing errors such as coding, editing, and tabulation errors.</t>
  </si>
  <si>
    <t>4_3_1_2</t>
  </si>
  <si>
    <t>Adjustments to unit records are made only when clearly warranted (e.g., outliers are not modified unless necessary).</t>
  </si>
  <si>
    <t>4_3_1_3</t>
  </si>
  <si>
    <t>Imputation and nonresponse adjustment procedures are soundly based and appropriately documented.</t>
  </si>
  <si>
    <t>4_3_1_4</t>
  </si>
  <si>
    <t>Ancillary and benchmark information is used appropriately when compiling population estimates.</t>
  </si>
  <si>
    <t>4_3_1_5</t>
  </si>
  <si>
    <t>Sound estimation techniques are used to adjust for missing observations in statistical collections.</t>
  </si>
  <si>
    <t>4_3_1_6</t>
  </si>
  <si>
    <t>Adjustments for undercoverage and/or out-of-scope units are based on scientifically derived grossing-up factors consistent with the sample design.</t>
  </si>
  <si>
    <t>4_3_1_7</t>
  </si>
  <si>
    <t>Statistical procedures incorporate unobserved activities (e.g., informal, hidden, illegal) using a detailed, case-by-case approach supported by relevant sources.</t>
  </si>
  <si>
    <t>4_3_2_1</t>
  </si>
  <si>
    <t>Output estimates are compiled at least at the two-digit ISIC level, and preferably at the three- or four-digit level.</t>
  </si>
  <si>
    <t>4_3_2_2</t>
  </si>
  <si>
    <t>Intermediate consumption estimates are compiled at least at the two-digit ISIC level, and preferably at the three- or four-digit level.</t>
  </si>
  <si>
    <t>4_3_2_3</t>
  </si>
  <si>
    <t>Within total value added, the use of fixed ratios older than five years is limited to less than 20 percent of total value added.</t>
  </si>
  <si>
    <t>4_3_2_4</t>
  </si>
  <si>
    <t>For key industries (e.g., ISIC one-digit level), the use of fixed ratios older than five years is limited.</t>
  </si>
  <si>
    <t>4_3_2_5</t>
  </si>
  <si>
    <t>Owner-occupied dwelling output is valued using estimated rentals that tenants would pay for similar accommodation.</t>
  </si>
  <si>
    <t>4_3_2_6</t>
  </si>
  <si>
    <t>Implicit financial services are calculated separately for loans and deposits using the SNA reference rate method.</t>
  </si>
  <si>
    <t>4_3_2_7</t>
  </si>
  <si>
    <t>Employee stock options are treated as compensation of employees in kind.</t>
  </si>
  <si>
    <t>4_3_2_8</t>
  </si>
  <si>
    <t>Non-life insurance service output is calculated using adjusted claims and adjusted premium supplements.</t>
  </si>
  <si>
    <t>4_3_2_9</t>
  </si>
  <si>
    <t>When goods are sent abroad for processing without a change in economic ownership, the processing fee is recorded as a service.</t>
  </si>
  <si>
    <t>4_3_3_1</t>
  </si>
  <si>
    <t>Suitable deflators or price indices are used to deflate output at least at the two-digit activity level when applying the double indicator method.</t>
  </si>
  <si>
    <t>4_3_3_2</t>
  </si>
  <si>
    <t>Suitable deflators or price indices are used to deflate intermediate consumption at least at the two-digit activity level when applying the double indicator method.</t>
  </si>
  <si>
    <t>4_3_3_3</t>
  </si>
  <si>
    <t>When production indices or volume data extrapolate value added, the volume extrapolators are representative of underlying activity.</t>
  </si>
  <si>
    <t>4_3_3_4</t>
  </si>
  <si>
    <t>Value added at current prices is deflated directly using output price indices.</t>
  </si>
  <si>
    <t>4_3_3_5</t>
  </si>
  <si>
    <t>Value added at current prices is deflated indirectly using input price indices.</t>
  </si>
  <si>
    <t>4_3_3_6</t>
  </si>
  <si>
    <t>Volume measures of taxes and subsidies on products are estimated using base-year rates or appropriate volume extrapolators of the taxed/subsidized transactions.</t>
  </si>
  <si>
    <t>4_3_3_7</t>
  </si>
  <si>
    <t>The output volume of trade margins is estimated using base-year margin rates applied to the volume of sales.</t>
  </si>
  <si>
    <t>4_3_3_8</t>
  </si>
  <si>
    <t>The output volume of trade margins is estimated using volume extrapolators of sales.</t>
  </si>
  <si>
    <t>4_3_4_1</t>
  </si>
  <si>
    <t>Household final consumption expenditure estimates are derived independently of other GDP components.</t>
  </si>
  <si>
    <t>4_3_4_2</t>
  </si>
  <si>
    <t>Gross fixed capital formation estimates are derived independently of other GDP components.</t>
  </si>
  <si>
    <t>4_3_4_3</t>
  </si>
  <si>
    <t>Changes in inventories estimates are derived independently of other GDP components.</t>
  </si>
  <si>
    <t>4_3_4_4</t>
  </si>
  <si>
    <t>Household final consumption expenditure is compiled at least at the one-digit level of an appropriate classification (e.g., COICOP).</t>
  </si>
  <si>
    <t>4_3_4_5</t>
  </si>
  <si>
    <t>Government final consumption expenditure is compiled at least at the one-digit level of an appropriate classification (e.g., COFOG).</t>
  </si>
  <si>
    <t>4_3_4_6</t>
  </si>
  <si>
    <t>Gross fixed capital formation is compiled by activity and by type of asset.</t>
  </si>
  <si>
    <t>4_3_4_7</t>
  </si>
  <si>
    <t>Changes in inventories are compiled by activity and by type of inventory.</t>
  </si>
  <si>
    <t>4_3_4_8</t>
  </si>
  <si>
    <t>In total expenditure estimates, the use of fixed ratios older than five years is limited to less than 20 percent.</t>
  </si>
  <si>
    <t>4_3_4_9</t>
  </si>
  <si>
    <t>Government final expenditure is estimated excluding incidental sales.</t>
  </si>
  <si>
    <t>4_4_1_1</t>
  </si>
  <si>
    <t>National accounts aggregates are checked against other independent data sources.</t>
  </si>
  <si>
    <t>4_4_1_2</t>
  </si>
  <si>
    <t>National accounts aggregates are reconciled with balance of payments aggregates.</t>
  </si>
  <si>
    <t>4_4_1_3</t>
  </si>
  <si>
    <t>National accounts aggregates are reconciled with government finance statistics aggregates.</t>
  </si>
  <si>
    <t>4_4_1_4</t>
  </si>
  <si>
    <t>National accounts aggregates are reconciled with monetary and financial statistics aggregates.</t>
  </si>
  <si>
    <t>4_4_1_5</t>
  </si>
  <si>
    <t>Household source data used in the national accounts are checked against other independent household sources (e.g., social surveys, household administrative data, and population/farm censuses).</t>
  </si>
  <si>
    <t>4_4_1_6</t>
  </si>
  <si>
    <t>Non-financial corporation source data used in the national accounts are checked against other independent non-financial sources (e.g., industry associations and commercial data providers).</t>
  </si>
  <si>
    <t>4_4_1_7</t>
  </si>
  <si>
    <t>Financial corporation source data used in the national accounts are checked against other independent financial sources (e.g., financial regulators and commercial data providers).</t>
  </si>
  <si>
    <t>4_4_1_8</t>
  </si>
  <si>
    <t>General government source data used in the national accounts are checked against other independent general government sources (e.g., public accounts).</t>
  </si>
  <si>
    <t>4_4_1_9</t>
  </si>
  <si>
    <t>External sector source data used in the national accounts are checked against mirror data from key trading and financial partners.</t>
  </si>
  <si>
    <t>4_4_2_1</t>
  </si>
  <si>
    <t>A systematic procedure is in place to routinely assess potential discrepancies in intermediate data.</t>
  </si>
  <si>
    <t>4_4_2_2</t>
  </si>
  <si>
    <t>A systematic procedure is in place to routinely assess potential discrepancies in final output.</t>
  </si>
  <si>
    <t>4_4_2_3</t>
  </si>
  <si>
    <t>Appropriate adjustments are routinely made to eliminate identified discrepancies in national accounts data.</t>
  </si>
  <si>
    <t>4_4_2_4</t>
  </si>
  <si>
    <t>The supply and use framework is used to investigate discrepancies and ensure consistency across statistical outputs.</t>
  </si>
  <si>
    <t>4_4_2_5</t>
  </si>
  <si>
    <t>Where discrepancies persist between GDP by production and GDP by expenditure, the statistical discrepancy is explicitly shown.</t>
  </si>
  <si>
    <t>4_4_2_6</t>
  </si>
  <si>
    <t>Official GDP estimates are validated against credible unofficial estimates when they differ significantly.</t>
  </si>
  <si>
    <t>4_4_2_7</t>
  </si>
  <si>
    <t>Studies are conducted to ensure bias in GDP estimates is negligible and remains stable over time.</t>
  </si>
  <si>
    <t>4_5_1_1</t>
  </si>
  <si>
    <t>Initial GDP estimates are routinely assessed against revised or final estimates to evaluate reliability over time.</t>
  </si>
  <si>
    <t>4_5_1_2</t>
  </si>
  <si>
    <t>Studies of the scale of revisions (e.g., frequency and number of series revised) are conducted periodically.</t>
  </si>
  <si>
    <t>4_5_1_3</t>
  </si>
  <si>
    <t>Studies of the direction and magnitude of GDP revisions are conducted.</t>
  </si>
  <si>
    <t>4_5_1_4</t>
  </si>
  <si>
    <t>Long-term trends in revision patterns are analyzed regularly to detect systematic bias in GDP revisions.</t>
  </si>
  <si>
    <t>4_5_1_5</t>
  </si>
  <si>
    <t>Sources of error, omissions, and fluctuations in GDP data are routinely investigated, and revision methods are clearly explained.</t>
  </si>
  <si>
    <t>4_5_1_6</t>
  </si>
  <si>
    <t>Findings from revision studies are used to define an optimal revision cycle aligned with the availability of key data sources.</t>
  </si>
  <si>
    <t>4_5_1_7</t>
  </si>
  <si>
    <t>Findings from revision studies are used to improve preliminary data and inform future data collection practices.</t>
  </si>
  <si>
    <t>4_5_1_8</t>
  </si>
  <si>
    <t>Time series of GDP revisions are analyzed to identify patterns and to adjust initial estimates where necessary.</t>
  </si>
  <si>
    <t>4_5_1_9</t>
  </si>
  <si>
    <t>Documentation on GDP revisions is maintained, including causes, methods, and adjustment processes.</t>
  </si>
  <si>
    <t>4_6_1_1</t>
  </si>
  <si>
    <t>GDP by income and GDP by expenditure are equal within a reasonable discrepancy.</t>
  </si>
  <si>
    <t>4_6_1_2</t>
  </si>
  <si>
    <t>GDP by production and GDP by expenditure are equal within a reasonable discrepancy.</t>
  </si>
  <si>
    <t>4_6_1_3</t>
  </si>
  <si>
    <t>Consistent growth rates are obtained from volume GDP series by activity and by expenditure categories.</t>
  </si>
  <si>
    <t>4_6_1_4</t>
  </si>
  <si>
    <t>GDP current-price estimates, volume measures, and implicit deflators are consistent with the identity “value = volume × price.”</t>
  </si>
  <si>
    <t>4_6_1_5</t>
  </si>
  <si>
    <t>Current transfers received equal current transfers paid in the sector accounts.</t>
  </si>
  <si>
    <t>4_6_1_6</t>
  </si>
  <si>
    <t>Primary income received equals primary income paid in the sector accounts.</t>
  </si>
  <si>
    <t>4_6_1_7</t>
  </si>
  <si>
    <t>Quarterly concepts and classifications are consistent with annual concepts and classifications, and quarterly estimates are reconciled with annual estimates without large unexplained differences.</t>
  </si>
  <si>
    <t>4_6_1_8</t>
  </si>
  <si>
    <t>Quarterly GDP statistics are consistent with annual estimates.</t>
  </si>
  <si>
    <t>4_6_1_9</t>
  </si>
  <si>
    <t>Over long periods, statistical discrepancies are not large.</t>
  </si>
  <si>
    <t>4_6_2_1</t>
  </si>
  <si>
    <t>Consistent time series are available for at least 10 years.</t>
  </si>
  <si>
    <t>4_6_2_2</t>
  </si>
  <si>
    <t>When source data, methodology, or statistical techniques change, historical series are reconstructed as far back as reasonably possible.</t>
  </si>
  <si>
    <t>4_6_2_3</t>
  </si>
  <si>
    <t>Unusual changes in economic indicators are explained in analytical text or metadata so users understand their causes.</t>
  </si>
  <si>
    <t>4_6_2_4</t>
  </si>
  <si>
    <t>Breaks and discontinuities in component time series are explained in analytical text or metadata and adjustments are made, where appropriate, to maintain consistency over time.</t>
  </si>
  <si>
    <t>4_6_3_1</t>
  </si>
  <si>
    <t>The program’s statistics are largely consistent or reconcilable with comparable balance of payments and international investment position statistics.</t>
  </si>
  <si>
    <t>4_6_3_2</t>
  </si>
  <si>
    <t>Data are exchanged with the BOP/IIP program prior to release to support compilation and/or ensure consistency.</t>
  </si>
  <si>
    <t>4_6_3_3</t>
  </si>
  <si>
    <t>The program’s statistics are largely consistent or reconcilable with comparable government finance statistics.</t>
  </si>
  <si>
    <t>4_6_3_4</t>
  </si>
  <si>
    <t>Data are exchanged with the government finance statistics program prior to release to support compilation and/or ensure consistency.</t>
  </si>
  <si>
    <t>4_6_3_5</t>
  </si>
  <si>
    <t>The program’s statistics are largely consistent or reconcilable with comparable monetary and financial statistics.</t>
  </si>
  <si>
    <t>4_6_3_6</t>
  </si>
  <si>
    <t>Data are exchanged with the monetary and financial statistics program prior to release to support compilation and/or ensure consistency.</t>
  </si>
  <si>
    <t>4_6_3_7</t>
  </si>
  <si>
    <t>The program’s statistics are largely consistent or reconcilable with comparable environmental-economic accounts.</t>
  </si>
  <si>
    <t>4_6_3_8</t>
  </si>
  <si>
    <t>Data are exchanged with the environmental-economic accounts program prior to release to support compilation and/or ensure consistency.</t>
  </si>
  <si>
    <t>4_6_3_9</t>
  </si>
  <si>
    <t>The program shares its data with other macroeconomic statistics programs and permits their use as direct inputs into production processes.</t>
  </si>
  <si>
    <t>5_1_1_1</t>
  </si>
  <si>
    <t>The periodicity of GDP by production statistics is defined and assessed.</t>
  </si>
  <si>
    <t>5_1_1_2</t>
  </si>
  <si>
    <t>The periodicity of GDP by expenditure statistics is defined and assessed.</t>
  </si>
  <si>
    <t>5_1_1_3</t>
  </si>
  <si>
    <t>The periodicity of GDP by income statistics is defined and assessed.</t>
  </si>
  <si>
    <t>5_1_1_4</t>
  </si>
  <si>
    <t>The periodicity of sector stocks of financial assets and liabilities is defined and assessed.</t>
  </si>
  <si>
    <t>5_1_1_5</t>
  </si>
  <si>
    <t>The periodicity of sector flows of incomes and expenditures is defined and assessed.</t>
  </si>
  <si>
    <t>5_1_1_6</t>
  </si>
  <si>
    <t>The periodicity of labor market employment statistics is defined and assessed.</t>
  </si>
  <si>
    <t>5_1_1_7</t>
  </si>
  <si>
    <t>The periodicity of labor market unemployment statistics is defined and assessed.</t>
  </si>
  <si>
    <t>5_1_1_8</t>
  </si>
  <si>
    <t>The periodicity of labor market wage/earnings statistics is defined and assessed.</t>
  </si>
  <si>
    <t>5_2_1_1</t>
  </si>
  <si>
    <t>The timeliness of quarterly GDP by production statistics is defined and assessed.</t>
  </si>
  <si>
    <t>5_2_1_2</t>
  </si>
  <si>
    <t>The timeliness of quarterly GDP by expenditure statistics is defined and assessed.</t>
  </si>
  <si>
    <t>5_2_1_3</t>
  </si>
  <si>
    <t>The timeliness of quarterly GDP by income statistics is defined and assessed.</t>
  </si>
  <si>
    <t>5_2_1_4</t>
  </si>
  <si>
    <t>The timeliness of quarterly sector stocks of financial assets and liabilities is defined and assessed.</t>
  </si>
  <si>
    <t>5_2_1_5</t>
  </si>
  <si>
    <t>The timeliness of quarterly sector flows of incomes and expenditures is defined and assessed.</t>
  </si>
  <si>
    <t>5_2_1_6</t>
  </si>
  <si>
    <t>The timeliness of annual GDP by production statistics is defined and assessed.</t>
  </si>
  <si>
    <t>5_2_1_7</t>
  </si>
  <si>
    <t>The timeliness of annual GDP by expenditure statistics is defined and assessed.</t>
  </si>
  <si>
    <t>5_2_1_8</t>
  </si>
  <si>
    <t>The timeliness of annual GDP by income statistics is defined and assessed.</t>
  </si>
  <si>
    <t>5_2_1_9</t>
  </si>
  <si>
    <t>The timeliness of annual sector stocks of financial assets and liabilities is defined and assessed.</t>
  </si>
  <si>
    <t>5_3_1_1</t>
  </si>
  <si>
    <t>The revision cycle for this program’s estimates is predetermined, stable, and publicly known.</t>
  </si>
  <si>
    <t>5_3_1_2</t>
  </si>
  <si>
    <t>The reasons underlying the revision cycle—such as the availability of source data, the timing of revisions to related datasets, and the schedule for preparing key economic policy documents—are clearly explained.</t>
  </si>
  <si>
    <t>5_3_1_3</t>
  </si>
  <si>
    <t>When revisions occur, adequate documentation is provided in publications/databases explaining the causes (e.g., new data, methodology changes).</t>
  </si>
  <si>
    <t>5_3_1_4</t>
  </si>
  <si>
    <t>If unexpected (out-of-cycle) revisions are needed (e.g., errors, major new source data discovery), they are announced to the public and explained promptly.</t>
  </si>
  <si>
    <t>5_3_2_1</t>
  </si>
  <si>
    <t>Users are explicitly informed when estimates are preliminary or subject to revision, so they can interpret them with caution.</t>
  </si>
  <si>
    <t>5_3_2_2</t>
  </si>
  <si>
    <t>Users are clearly notified of data revisions (e.g., “Revised” label), allowing them to distinguish them from previously published figures.</t>
  </si>
  <si>
    <t>5_3_3_1</t>
  </si>
  <si>
    <t>Revision studies (e.g., scale/direction of changes from preliminary to final) are published, with analysis of differences for major aggregates to assess the reliability of earlier estimates.</t>
  </si>
  <si>
    <t>5_3_3_2</t>
  </si>
  <si>
    <t>The publication/database includes analysis of differences between revised and preliminary data to show where and why major changes occurred.</t>
  </si>
  <si>
    <t>5_3_3_3</t>
  </si>
  <si>
    <t>A revisions database is generated for this program.</t>
  </si>
  <si>
    <t>5_3_3_4</t>
  </si>
  <si>
    <t>The revisions database (all or part) is accessible to the public.</t>
  </si>
  <si>
    <t>5_3_4_1</t>
  </si>
  <si>
    <t>There are provisions for correction of errors (e.g., notifying users if methods change).</t>
  </si>
  <si>
    <t>5_3_4_2</t>
  </si>
  <si>
    <t>The organization has a policy on informing users about the correction of errors when discovered.</t>
  </si>
  <si>
    <t>5_3_4_3</t>
  </si>
  <si>
    <t>The organization regularly monitors the frequency of data errors.</t>
  </si>
  <si>
    <t>5_4_1_1</t>
  </si>
  <si>
    <t>National accounts statistics are published in table format, with clear and consistent titles, labels, footnotes, and descriptions.</t>
  </si>
  <si>
    <t>5_4_1_2</t>
  </si>
  <si>
    <t>The disseminating agency has a search feature on its website that allows users to search for national accounts statistics using keyword search.</t>
  </si>
  <si>
    <t>5_4_1_3</t>
  </si>
  <si>
    <t>The usage of national accounts statistics is actively monitored.</t>
  </si>
  <si>
    <t>5_4_1_4</t>
  </si>
  <si>
    <t>The usage of national accounts statistics is reported to the head of the national accounts statistics program.</t>
  </si>
  <si>
    <t>5_4_1_5</t>
  </si>
  <si>
    <t>The disseminating organization has developed a national accounts statistics dashboard or interactive query tool that allows users to interact with the statistics on the website or other dissemination vehicle.</t>
  </si>
  <si>
    <t>5_4_2_1</t>
  </si>
  <si>
    <t>The disseminating institution has an official release vehicle (publication, bulletin) where it announces the release of national accounts statistics.</t>
  </si>
  <si>
    <t>5_4_2_2</t>
  </si>
  <si>
    <t>The official release vehicle (publication, bulletin, newsletter) includes an analysis of the data being released.</t>
  </si>
  <si>
    <t>5_4_2_3</t>
  </si>
  <si>
    <t>National accounts statistics are made available in an electronic database.</t>
  </si>
  <si>
    <t>5_4_2_4</t>
  </si>
  <si>
    <t>National accounts statistics are disseminated according to SDMX standards.</t>
  </si>
  <si>
    <t>5_4_2_5</t>
  </si>
  <si>
    <t>National accounts statistics can be accessed via an API maintained by the disseminating organization.</t>
  </si>
  <si>
    <t>5_4_2_6</t>
  </si>
  <si>
    <t>Users can download national accounts statistics from the disseminating agency’s website in CSV format.</t>
  </si>
  <si>
    <t>5_4_2_7</t>
  </si>
  <si>
    <t>All users can access national accounts statistics free of charge.</t>
  </si>
  <si>
    <t>5_4_3_1</t>
  </si>
  <si>
    <t>The disseminating agency maintains a schedule that announces release dates for the statistics at least three months in advance.</t>
  </si>
  <si>
    <t>5_4_3_2</t>
  </si>
  <si>
    <t>Statistics are released according to the preannounced schedule.</t>
  </si>
  <si>
    <t>5_4_4_1</t>
  </si>
  <si>
    <t>Statistics are made available to all interested users simultaneously (other than when made available to press under embargo).</t>
  </si>
  <si>
    <t>5_4_4_2</t>
  </si>
  <si>
    <t>The disseminating organization has an embargo process in place for national accounts statistics.</t>
  </si>
  <si>
    <t>5_4_4_3</t>
  </si>
  <si>
    <t>If the press is briefed in advance, processes are in place to prevent early public disclosure.</t>
  </si>
  <si>
    <t>5_4_4_4</t>
  </si>
  <si>
    <t>The disseminating agency has a cybersecurity program in place.</t>
  </si>
  <si>
    <t>5_4_5_1</t>
  </si>
  <si>
    <t>Statistics that are not routinely disseminated are made available upon request.</t>
  </si>
  <si>
    <t>5_4_5_2</t>
  </si>
  <si>
    <t>The disseminating agency provides a customized tabulation service to meet specific user requests.</t>
  </si>
  <si>
    <t>5_4_5_3</t>
  </si>
  <si>
    <t>Users are informed about the availability of additional statistics and how to obtain them.</t>
  </si>
  <si>
    <t>5_5_1_1</t>
  </si>
  <si>
    <t>A comprehensive sources and methods document is published and updated regularly.</t>
  </si>
  <si>
    <t>5_5_1_2</t>
  </si>
  <si>
    <t>The sources and methods document includes information on concepts, definitions, classifications, compilation methods, statistical techniques, and other relevant methodological aspects and procedures.</t>
  </si>
  <si>
    <t>5_5_1_3</t>
  </si>
  <si>
    <t>The sources and methods document includes information on departures from internationally accepted standards, guidelines, or good practices.</t>
  </si>
  <si>
    <t>5_5_1_4</t>
  </si>
  <si>
    <t>The sources and methods document includes information on (where relevant) survey sources, such as survey characteristics (response rates, survey monitoring and studies of nonsampling errors) and other survey features (method, sample frame, sample design and selection, estimation and imputation techniques, etc.), coverage of reporting sectors, and administrative data sources.</t>
  </si>
  <si>
    <t>5_5_1_5</t>
  </si>
  <si>
    <t>The disseminating organization regularly provides updates regarding methodology and data sources to international organizations that re-distribute their data (e.g., IMF SDDS/GDDS metadata, SDDS summary methodologies, and related descriptions are reviewed and updated regularly).</t>
  </si>
  <si>
    <t>5_5_1_6</t>
  </si>
  <si>
    <t>Metadata are readily accessible (e.g., websites, statistical publications), their availability is cross-referenced in data releases, and they are otherwise well publicized (e.g., in catalogs).</t>
  </si>
  <si>
    <t>5_5_1_7</t>
  </si>
  <si>
    <t>Metadata are disseminated alongside the data (i.e., in the same table as the data).</t>
  </si>
  <si>
    <t>5_5_1_8</t>
  </si>
  <si>
    <t>General information on national accounts statistics (e.g., guidance on how to locate the data) is publicly available and accessible to users.</t>
  </si>
  <si>
    <t>5_5_1_9</t>
  </si>
  <si>
    <t>Specialized use information (e.g., background papers, working documents) is publicly available and accessible to users.</t>
  </si>
  <si>
    <t>5_6_1_1</t>
  </si>
  <si>
    <t>Contact points for national accounts statistics are established and contact information is posted on the website.</t>
  </si>
  <si>
    <t>5_6_1_2</t>
  </si>
  <si>
    <t>The disseminating organization has a tool (generally on the website) that allows data users to provide feedback and ask questions regarding disseminated national accounts statistics.</t>
  </si>
  <si>
    <t>5_6_1_3</t>
  </si>
  <si>
    <t>The disseminating organization has identified an individual (or team) responsible for providing prompt and knowledgeable service and support to users of national accounts statistics.</t>
  </si>
  <si>
    <t>5_6_1_4</t>
  </si>
  <si>
    <t>All statistical releases identify contact points for enquiries by mail, telephone, facsimile, or by e-mail.</t>
  </si>
  <si>
    <t>5_6_1_5</t>
  </si>
  <si>
    <t>The disseminating organization has developed materials to raise awareness about the use of statistics (e.g., resources for schools and researchers) and posted this information on its official website.</t>
  </si>
  <si>
    <t>5_6_1_6</t>
  </si>
  <si>
    <t>Assistance to users is monitored and reviewed periodically (e.g., time of response to e-mail requests).</t>
  </si>
  <si>
    <t>5_6_2_1</t>
  </si>
  <si>
    <t>Publications, documents, and other services to users are available and updated regularly (e.g., each year if needed).</t>
  </si>
  <si>
    <t>5_6_2_2</t>
  </si>
  <si>
    <t>Prices of statistical products and services are clearly disclosed and assistance is provided in placing orders.</t>
  </si>
  <si>
    <t>The relevance and practical utility of existing statistics for meeting user needs are monitored and documented.</t>
  </si>
  <si>
    <t>Data users are consulted regularly (e.g., surveys, newsletters, seminars) regarding the detail, periodicity, and timeliness of published statistics.</t>
  </si>
  <si>
    <t>A Statistical Council (or equivalent) exists with broad representation of user communities and advises the statistical organization on strategic issues and user needs.</t>
  </si>
  <si>
    <t>Mechanisms are in place to identify new and emerging data requirements.</t>
  </si>
  <si>
    <t>Structured, periodic consultations are conducted with policy departments, academia, media, and private sector representatives to review existing statistics and identify emerging needs.</t>
  </si>
  <si>
    <t>The agency participates in international and regional seminars and professional events to remain current on developments and identify emerging data requirements.</t>
  </si>
  <si>
    <t>The agency undertakes studies or research projects to identify and address new data requirements.</t>
  </si>
  <si>
    <t>The Fundamental Principle of Official Statistics—Sources of Official Statistics—is embedded in the statistical law or other relevant law.</t>
  </si>
  <si>
    <t>Managers promote a shared concern for quality across the organization and demonstrate sensitivity to all dimensions of data quality.</t>
  </si>
  <si>
    <t>The Fundamental Principle of Official Statistics—Confidentiality—is embedded in the statistical law or other relevant law.</t>
  </si>
  <si>
    <t>Staff training programs emphasize the importance of quality and clarify how quality can be achieved.</t>
  </si>
  <si>
    <t>The Fundamental Principle of Official Statistics—Legislation—is embedded in the statistical law or other relevant law.</t>
  </si>
  <si>
    <t>Externally recognized quality management processes and frameworks (e.g., GSBPM, GSIM, ISO standards, or equivalent) are implemented and adapted as needed.</t>
  </si>
  <si>
    <t>The Fundamental Principle of Official Statistics—National Coordination—is embedded in the statistical law or other relevant law.</t>
  </si>
  <si>
    <t>Information on quality commitment, including relevant trade-offs, is communicated regularly to staff.</t>
  </si>
  <si>
    <t>The Fundamental Principle of Official Statistics—Use of International Standards—is embedded in the statistical law or other relevant law.</t>
  </si>
  <si>
    <t>Systematic processes are in place to monitor and review quality.</t>
  </si>
  <si>
    <t>The Fundamental Principle of Official Statistics—International Cooperation—is embedded in the statistical law or other relevant law.</t>
  </si>
  <si>
    <t>Monitoring processes (e.g., response rates, editing rates, revision history) are in place to inform managers about current quality levels of ongoing statistical activities.</t>
  </si>
  <si>
    <t>Compiling areas have access to expert guidance (internal or external) to improve data production processes and strengthen quality.</t>
  </si>
  <si>
    <t>Periodic reviews are conducted to identify actions needed to maintain or improve data quality, particularly for core statistical outputs.</t>
  </si>
  <si>
    <t>Data exchange agreements (e.g., MOUs) are established with land registry authorities.</t>
  </si>
  <si>
    <t>The date of the most recent data sharing agreement with land registry authorities is documented.</t>
  </si>
  <si>
    <t>Data exchange agreements (e.g., MOUs) are established with relevant private sector entities, where needed for statistical purposes.</t>
  </si>
  <si>
    <t>The date of the most recent data sharing agreement with private sector entities is documented.</t>
  </si>
  <si>
    <t>Data exchange agreements (e.g., MOUs) are established with the Monetary Union, where relevant.</t>
  </si>
  <si>
    <t>The date of the most recent data sharing agreement with the Monetary Union is documented.</t>
  </si>
  <si>
    <t>A policy, law, or established tradition designates a focal point (e.g., the NSO) for international cooperation and reporting obligations, and this body coordinates international data transmissions.</t>
  </si>
  <si>
    <t>The agency seeks external expert assistance when needed to evaluate and strengthen statistical methodologies and systems.</t>
  </si>
  <si>
    <t>The responsible agency has an adequate number of data collection and processing staff to manage new data sources and advanced analytics.</t>
  </si>
  <si>
    <t>The responsible agency has an adequate number of IT professionals to maintain systems, develop software, and ensure cybersecurity.</t>
  </si>
  <si>
    <t>The responsible agency has sufficient financial sector experts, where needed, to compile specialized financial statistics.</t>
  </si>
  <si>
    <t>The management team is sufficient in number and expertise to guide strategy, oversee operations, and manage cross-cutting issues.</t>
  </si>
  <si>
    <t>A core staff is maintained with adequate training to preserve institutional knowledge and ensure continuity.</t>
  </si>
  <si>
    <t>Staff turnover is maintained at a manageable level to preserve institutional knowledge and continuity.</t>
  </si>
  <si>
    <t>Salary levels are adequate to recruit and retain skilled staff and are comparable to general public administration standards in the country.</t>
  </si>
  <si>
    <t>Workplace programs are in place to support staff training, professional development, and career advancement.</t>
  </si>
  <si>
    <t>The number of staff working in the National Accounts statistical program is documented.</t>
  </si>
  <si>
    <t>The number of staff working in the Balance of Payments / International Investment Position statistical program is documented.</t>
  </si>
  <si>
    <t>The number of staff working in the Government Finance Statistics statistical program is documented.</t>
  </si>
  <si>
    <t>The number of staff working in the Monetary and Financial statistical program is documented.</t>
  </si>
  <si>
    <t>The number of staff working in the Public Sector Debt Statistics statistical program is documented.</t>
  </si>
  <si>
    <t>The number of staff working in the Consumer Prices statistical program is documented.</t>
  </si>
  <si>
    <t>The number of staff working in the Producer Prices statistical program is documented.</t>
  </si>
  <si>
    <t>Information technology is used effectively to increase efficiency through automation, online data collection, and integrated databases where feasible.</t>
  </si>
  <si>
    <t>Standardization, integration, and automation of production and dissemination are pursued to reduce costs and optimize operations.</t>
  </si>
  <si>
    <t>Indicators on resource usage (e.g., staff utilization and financial spending) are regularly monitored and reported to management.</t>
  </si>
  <si>
    <t>Human resource use is evaluated annually based on established guidelines covering allocation, performance, and training needs.</t>
  </si>
  <si>
    <t>Staff opinion and satisfaction surveys are conducted regularly and management acts on the feedback.</t>
  </si>
  <si>
    <t>Funding is reasonably secure and stable year-over-year to meet identified needs of the statistical program.</t>
  </si>
  <si>
    <t>2_3_1_10</t>
  </si>
  <si>
    <t>The organizational confidentiality policy applies to staff after termination from the organization.</t>
  </si>
  <si>
    <t>2_3_1_11</t>
  </si>
  <si>
    <t>Staff are regularly reminded of their ethical obligations through training, workshops, or an annual review and acknowledgement process.</t>
  </si>
  <si>
    <t>2_3_1_12</t>
  </si>
  <si>
    <t>Management adheres to ethical standards and actively ensures that staff comply.</t>
  </si>
  <si>
    <t>2_3_1_13</t>
  </si>
  <si>
    <t>3_1_3_10</t>
  </si>
  <si>
    <t>Illegal activities (e.g., manufacture and distribution of illegal drugs and illegal prostitution) are included in total output.</t>
  </si>
  <si>
    <t>3_1_3_11</t>
  </si>
  <si>
    <t>Activities that are usually legal but become illegal when carried out by unauthorized producers (e.g., unlicensed alcohol distribution) are included in total output.</t>
  </si>
  <si>
    <t>3_1_3_12</t>
  </si>
  <si>
    <t>Depletion is treated as a cost of production, alongside depreciation, in the calculation of net domestic product (NDP) and other net measures.</t>
  </si>
  <si>
    <t>3_1_3_13</t>
  </si>
  <si>
    <t>A net return to capital used in production is included in the value of output for non-market producers (e.g., central banks, government and NPISH).</t>
  </si>
  <si>
    <t>3_1_3_14</t>
  </si>
  <si>
    <t>All central bank output is treated as non-market output and recorded as consumed by the central bank.</t>
  </si>
  <si>
    <t>3_1_3_15</t>
  </si>
  <si>
    <t>Payments by financial corporations to the central bank related to supervision services are treated as current transfers and not as payments for services.</t>
  </si>
  <si>
    <t>3_1_3_16</t>
  </si>
  <si>
    <t>Factoryless goods production is recorded in alignment with 2025 SNA methodology in the national accounts.</t>
  </si>
  <si>
    <t>3_1_3_17</t>
  </si>
  <si>
    <t>Productive activities related to Islamic Finance are recorded and included in total output.</t>
  </si>
  <si>
    <t>3_1_4_10</t>
  </si>
  <si>
    <t>Expenditures on dwellings (separate from land) are included in output and gross fixed capital formation.</t>
  </si>
  <si>
    <t>3_1_4_11</t>
  </si>
  <si>
    <t>Expenditures on other buildings and structures (e.g., roads, bridges) separate from land are included in output and gross fixed capital formation.</t>
  </si>
  <si>
    <t>3_1_4_12</t>
  </si>
  <si>
    <t>Expenditures on machinery and equipment that are expected to be used in production for more than one year are included in gross fixed capital formation.</t>
  </si>
  <si>
    <t>3_1_4_13</t>
  </si>
  <si>
    <t>Expenditures on weapons systems used repeatedly for training or other noncombat functions (i.e., deterrence) are included in gross fixed capital formation.</t>
  </si>
  <si>
    <t>3_1_4_14</t>
  </si>
  <si>
    <t>Costs of ownership transfer on non-produced non-financial assets are included in gross fixed capital formation.</t>
  </si>
  <si>
    <t>3_1_4_15</t>
  </si>
  <si>
    <t>Expenditures on cultivated biological resources (e.g., livestock, vineyards) which are expected to be used in production for more than one year are included in gross fixed capital formation.</t>
  </si>
  <si>
    <t>3_1_4_16</t>
  </si>
  <si>
    <t>Expenditures on valuables (e.g., art, precious metals) are included in gross capital formation.</t>
  </si>
  <si>
    <t>3_1_4_17</t>
  </si>
  <si>
    <t>Agricultural work-in-progress (e.g., growing crops) is recognized in inventories until harvest and included in gross capital formation.</t>
  </si>
  <si>
    <t>3_1_4_18</t>
  </si>
  <si>
    <t>Separately calculated changes in inventories are included in estimates of gross capital formation.</t>
  </si>
  <si>
    <t>3_1_4_19</t>
  </si>
  <si>
    <t>Expenditures on the digitization of information content (observable phenomenon) (bought or produced own account) which is expected to be used in production for more than one year are included in gross fixed capital formation.</t>
  </si>
  <si>
    <t>3_1_4_20</t>
  </si>
  <si>
    <t>Payments for emissions permits (cap-and-trade) are recorded as a financial asset when issued and as taxes at the time of surrender, valued at the issuance price.</t>
  </si>
  <si>
    <t>3_1_4_21</t>
  </si>
  <si>
    <t>Crypto-assets with a corresponding liability are treated as financial instruments.</t>
  </si>
  <si>
    <t>3_1_4_22</t>
  </si>
  <si>
    <t>Crypto-assets without a corresponding liability (e.g., bitcoin) and non-fungible tokens (NFTs) that grant limited commercial rights are treated as non-produced non-financial assets and classified as a separate standard category.</t>
  </si>
  <si>
    <t>3_1_4_23</t>
  </si>
  <si>
    <t>The value of natural resource assets is split between the legal owner and the extractor when economic ownership of the resources is shared.</t>
  </si>
  <si>
    <t>3_1_4_24</t>
  </si>
  <si>
    <t>Natural resources are distinguished as a separate asset category in the national balance sheet.</t>
  </si>
  <si>
    <t>3_1_4_25</t>
  </si>
  <si>
    <t>Monetary estimates for commercially recoverable natural resources are recorded on the national balance sheet.</t>
  </si>
  <si>
    <t>3_1_4_26</t>
  </si>
  <si>
    <t>Estimates of the market value of stocks of renewable energy from solar are recorded on the national balance sheet.</t>
  </si>
  <si>
    <t>3_1_4_27</t>
  </si>
  <si>
    <t>Estimates of the market value of stocks of renewable energy from wind are recorded on the national balance sheet.</t>
  </si>
  <si>
    <t>3_1_4_28</t>
  </si>
  <si>
    <t>Estimates of the market value of stocks of renewable energy from water are recorded on the national balance sheet.</t>
  </si>
  <si>
    <t>3_1_4_29</t>
  </si>
  <si>
    <t>Estimates of the market value of stocks of renewable energy from geothermal sources are recorded on the national balance sheet.</t>
  </si>
  <si>
    <t>3_1_4_30</t>
  </si>
  <si>
    <t>Expenditures on artificial intelligence systems (bought or produced on own account) or their copies which are expected to be used in production for more than one year are included in gross fixed capital formation.</t>
  </si>
  <si>
    <t>3_1_4_31</t>
  </si>
  <si>
    <t>Expenditures on cloud computing structures (for example, data centres), equipment and software (bought or produced on own account) which are expected to be used in production for more than one year are included in gross fixed capital formation.</t>
  </si>
  <si>
    <t>3_2_1_10</t>
  </si>
  <si>
    <t>Where multiple exchange rates exist, adjustments are made to reflect actual transaction values expressed in domestic currency.</t>
  </si>
  <si>
    <t>3_2_1_11</t>
  </si>
  <si>
    <t>Consumption of fixed capital / depreciation is measured at current replacement cost (the cost to replace the asset with an equivalent one).</t>
  </si>
  <si>
    <t>3_2_1_12</t>
  </si>
  <si>
    <t>Consumption of fixed capital / depreciation is measured for all government fixed assets, including military weapon systems and relevant infrastructure assets.</t>
  </si>
  <si>
    <t>3_2_1_13</t>
  </si>
  <si>
    <t>Stocks of nonfinancial assets are valued at market prices, or at the closest equivalent value when observable prices are not available.</t>
  </si>
  <si>
    <t>3_2_2_10</t>
  </si>
  <si>
    <t>Non-life insurance output estimates include premium supplements and are not based solely on premiums less claims.</t>
  </si>
  <si>
    <t>3_2_2_11</t>
  </si>
  <si>
    <t>Output of non-life insurance services in the event of catastrophic losses is estimated using adjusted claims and adjusted premium supplements.</t>
  </si>
  <si>
    <t>3_2_2_12</t>
  </si>
  <si>
    <t>Unfunded social contributions by enterprises are imputed as part of compensation of employees and recorded as contributions to social insurance.</t>
  </si>
  <si>
    <t>3_3_1_10</t>
  </si>
  <si>
    <t>The base year for fixed-weight national accounts volume estimates is identified and documented.</t>
  </si>
  <si>
    <t>3_3_1_11</t>
  </si>
  <si>
    <t>A revision policy is published for the national accounts program.</t>
  </si>
  <si>
    <t>3_3_1_12</t>
  </si>
  <si>
    <t>The published revision policy covers both GDP and institutional sector accounts.</t>
  </si>
  <si>
    <t>3_5_3_10</t>
  </si>
  <si>
    <t>Individual consumption expenditure by purpose in current prices is produced and disseminated at a discrete quarterly frequency by a designated national official statistical organization.</t>
  </si>
  <si>
    <t>3_5_3_11</t>
  </si>
  <si>
    <t>Individual consumption expenditure by purpose in constant prices is produced and disseminated annually by a designated national official statistical organization.</t>
  </si>
  <si>
    <t>3_5_3_12</t>
  </si>
  <si>
    <t>Individual consumption expenditure by purpose in constant prices is produced and disseminated at a discrete quarterly frequency by a designated national official statistical organization.</t>
  </si>
  <si>
    <t>3_5_5_10</t>
  </si>
  <si>
    <t>General government sector accounts (through net lending/borrowing) are produced and disseminated annually by a designated national official statistical organization.</t>
  </si>
  <si>
    <t>3_5_5_11</t>
  </si>
  <si>
    <t>General government sector accounts (through net lending/borrowing) are produced and disseminated quarterly by a designated national official statistical organization.</t>
  </si>
  <si>
    <t>3_5_5_12</t>
  </si>
  <si>
    <t>Household sector accounts (through net lending/borrowing) are produced and disseminated annually by a designated national official statistical organization.</t>
  </si>
  <si>
    <t>3_5_5_13</t>
  </si>
  <si>
    <t>Household sector accounts (through net lending/borrowing) are produced and disseminated quarterly by a designated national official statistical organization.</t>
  </si>
  <si>
    <t>3_5_5_14</t>
  </si>
  <si>
    <t>NPISH sector accounts (through net lending/borrowing) are produced and disseminated annually by a designated national official statistical organization.</t>
  </si>
  <si>
    <t>3_5_5_15</t>
  </si>
  <si>
    <t>NPISH sector accounts (through net lending/borrowing) are produced and disseminated quarterly by a designated national official statistical organization.</t>
  </si>
  <si>
    <t>3_5_5_16</t>
  </si>
  <si>
    <t>A breakdown distinguishing foreign-controlled corporations, public corporations, and national private corporations is produced and disseminated.</t>
  </si>
  <si>
    <t>3_5_5_17</t>
  </si>
  <si>
    <t>Where special purpose entities are significant, they are separately identified and disseminated as “of which” items in the sector accounts.</t>
  </si>
  <si>
    <t>3_5_5_18</t>
  </si>
  <si>
    <t>Where non-bank financial intermediation is significant, supplementary breakdowns are produced and disseminated.</t>
  </si>
  <si>
    <t>3_5_5_19</t>
  </si>
  <si>
    <t>Where fintech-related activities are significant, recommended supplementary items are produced and disseminated.</t>
  </si>
  <si>
    <t>3_5_5_20</t>
  </si>
  <si>
    <t>Standard breakdowns of (adjusted) disposable income, consumption, saving, and wealth by income and wealth decile groups are produced and disseminated.</t>
  </si>
  <si>
    <t>3_5_6_10</t>
  </si>
  <si>
    <t>Financial accounts for the general government sector are produced and disseminated quarterly by a designated national official statistical organization.</t>
  </si>
  <si>
    <t>3_5_6_11</t>
  </si>
  <si>
    <t>Financial accounts for the household sector are produced and disseminated annually by a designated national official statistical organization.</t>
  </si>
  <si>
    <t>3_5_6_12</t>
  </si>
  <si>
    <t>Financial accounts for the household sector are produced and disseminated quarterly by a designated national official statistical organization.</t>
  </si>
  <si>
    <t>3_5_6_13</t>
  </si>
  <si>
    <t>Financial accounts for the NPISH sector (through net lending/borrowing) are produced and disseminated annually by a designated national official statistical organization.</t>
  </si>
  <si>
    <t>3_5_6_14</t>
  </si>
  <si>
    <t>Financial accounts for the NPISH sector are produced and disseminated quarterly by a designated national official statistical organization.</t>
  </si>
  <si>
    <t>3_5_6_15</t>
  </si>
  <si>
    <t>A standard breakdown of financial derivatives is produced and disseminated.</t>
  </si>
  <si>
    <t>3_5_6_16</t>
  </si>
  <si>
    <t>Where relevant activities are significant, additional details for financial instruments are produced and disseminated.</t>
  </si>
  <si>
    <t>3_5_7_10</t>
  </si>
  <si>
    <t>Balance sheet accounts for the general government sector are produced and disseminated quarterly by a designated national official statistical organization.</t>
  </si>
  <si>
    <t>3_5_7_11</t>
  </si>
  <si>
    <t>Balance sheet accounts for the household sector are produced and disseminated annually by a designated national official statistical organization.</t>
  </si>
  <si>
    <t>3_5_7_12</t>
  </si>
  <si>
    <t>Balance sheet accounts for the household sector are produced and disseminated quarterly by a designated national official statistical organization.</t>
  </si>
  <si>
    <t>3_5_7_13</t>
  </si>
  <si>
    <t>Balance sheet accounts for the NPISH sector (through net lending/borrowing) are produced and disseminated annually by a designated national official statistical organization.</t>
  </si>
  <si>
    <t>3_5_7_14</t>
  </si>
  <si>
    <t>Balance sheet accounts for the NPISH sector are produced and disseminated quarterly by a designated national official statistical organization.</t>
  </si>
  <si>
    <t>3_5_8_10</t>
  </si>
  <si>
    <t>Digital supply and use tables are produced and disseminated by a designated national official statistical organization.</t>
  </si>
  <si>
    <t>3_5_8_11</t>
  </si>
  <si>
    <t>From-whom-to-whom tables are produced and disseminated by a designated national official statistical organization.</t>
  </si>
  <si>
    <t>4_1_2_10</t>
  </si>
  <si>
    <t>Residential unit coverage is comprehensive, with all residents included or with exclusions justified and not affecting representativeness.</t>
  </si>
  <si>
    <t>4_1_2_11</t>
  </si>
  <si>
    <t>Geographic coverage of household surveys is comprehensive, with any exclusions clearly identified and justified to preserve representativeness.</t>
  </si>
  <si>
    <t>4_1_2_12</t>
  </si>
  <si>
    <t>Household survey questionnaires follow sound design principles (e.g., pilot testing and observation studies), are reviewed periodically, and are pretested before implementation.</t>
  </si>
  <si>
    <t>4_1_2_13</t>
  </si>
  <si>
    <t>Household survey instruments are designed to ensure efficient data capture and processing while minimizing nonsampling errors.</t>
  </si>
  <si>
    <t>4_1_2_14</t>
  </si>
  <si>
    <t>Source data concepts are consistent with national accounts concepts.</t>
  </si>
  <si>
    <t>4_1_2_15</t>
  </si>
  <si>
    <t>The geographic and institutional coverage of source data is consistent with national accounts requirements.</t>
  </si>
  <si>
    <t>4_1_2_16</t>
  </si>
  <si>
    <t>Source data classifications can be readily aligned to national accounts classifications.</t>
  </si>
  <si>
    <t>4_1_2_17</t>
  </si>
  <si>
    <t>Source data are consistent with the valuation principles of the national accounts.</t>
  </si>
  <si>
    <t>4_1_2_18</t>
  </si>
  <si>
    <t>Source data are consistent with the recording principles of the national accounts.</t>
  </si>
  <si>
    <t>4_1_2_19</t>
  </si>
  <si>
    <t>Source data are consistent with the reference period of the national accounts.</t>
  </si>
  <si>
    <t>4_1_2_20</t>
  </si>
  <si>
    <t>Administrative records used to compile national accounts provide reasonable approximations of methodological requirements.</t>
  </si>
  <si>
    <t>4_1_2_21</t>
  </si>
  <si>
    <t>Source data collection and processing timetables are adequate to meet national accounts timeliness and periodicity dissemination standards.</t>
  </si>
  <si>
    <t>4_1_2_22</t>
  </si>
  <si>
    <t>Respondents are made aware of reporting deadlines for their data submissions.</t>
  </si>
  <si>
    <t>4_1_2_23</t>
  </si>
  <si>
    <t>Rigorous follow-up procedures are used to ensure the timely receipt of data.</t>
  </si>
  <si>
    <t>4_1_3_10</t>
  </si>
  <si>
    <t>Government finance source data concepts are consistent with national accounts concepts.</t>
  </si>
  <si>
    <t>4_1_3_11</t>
  </si>
  <si>
    <t>The geographic and institutional coverage of government finance source data is consistent with national accounts requirements.</t>
  </si>
  <si>
    <t>4_1_3_12</t>
  </si>
  <si>
    <t>Government finance source data classifications can be readily aligned to national accounts classifications.</t>
  </si>
  <si>
    <t>4_1_3_13</t>
  </si>
  <si>
    <t>Government finance source data valuation principles are consistent with national accounts valuation principles (e.g., consistent valuation for creditor and debtor for the same instrument).</t>
  </si>
  <si>
    <t>4_1_3_14</t>
  </si>
  <si>
    <t>Government finance source data recording principles are consistent with national accounts recording principles (e.g., accrual recording where applicable).</t>
  </si>
  <si>
    <t>4_1_3_15</t>
  </si>
  <si>
    <t>The government finance source data reference period is consistent with the reference period of the national accounts.</t>
  </si>
  <si>
    <t>4_1_3_16</t>
  </si>
  <si>
    <t>Government finance source data collection and processing timetables are adequate to meet national accounts timeliness and periodicity dissemination standards.</t>
  </si>
  <si>
    <t>4_1_3_17</t>
  </si>
  <si>
    <t>Government finance respondents are made aware of reporting deadlines for their data submissions.</t>
  </si>
  <si>
    <t>4_1_3_18</t>
  </si>
  <si>
    <t>Rigorous follow-up procedures are used to ensure the timely receipt of government finance data.</t>
  </si>
  <si>
    <t>4_1_4_10</t>
  </si>
  <si>
    <t>Nonfinancial corporation respondents are made aware of reporting deadlines for their data submissions.</t>
  </si>
  <si>
    <t>4_1_4_11</t>
  </si>
  <si>
    <t>Rigorous follow-up procedures are used to ensure the timely receipt of nonfinancial corporation data.</t>
  </si>
  <si>
    <t>4_1_5_10</t>
  </si>
  <si>
    <t>Financial corporation respondents are made aware of reporting deadlines for their data submissions.</t>
  </si>
  <si>
    <t>4_1_5_11</t>
  </si>
  <si>
    <t>Rigorous follow-up procedures are used to ensure the timely receipt of financial corporation data.</t>
  </si>
  <si>
    <t>4_1_6_10</t>
  </si>
  <si>
    <t>Rigorous follow-up procedures are used to ensure the timely receipt of external sector data.</t>
  </si>
  <si>
    <t>4_1_7_10</t>
  </si>
  <si>
    <t>Price statistics source data are consistent with the valuation principles of the national accounts.</t>
  </si>
  <si>
    <t>4_1_7_11</t>
  </si>
  <si>
    <t>Price statistics source data are consistent with the recording principles of the national accounts.</t>
  </si>
  <si>
    <t>4_1_7_12</t>
  </si>
  <si>
    <t>Price statistics source data are consistent with the reference period of the national accounts.</t>
  </si>
  <si>
    <t>4_1_7_13</t>
  </si>
  <si>
    <t>Administrative records used for compiling national accounts provide reasonable approximations of methodological requirements for price statistics, where applicable.</t>
  </si>
  <si>
    <t>4_1_7_14</t>
  </si>
  <si>
    <t>Price statistics source data collection and processing timetables are adequate to meet national accounts timeliness and periodicity dissemination standards.</t>
  </si>
  <si>
    <t>4_1_7_15</t>
  </si>
  <si>
    <t>Price statistics respondents are made aware of reporting deadlines for their data submissions.</t>
  </si>
  <si>
    <t>4_1_7_16</t>
  </si>
  <si>
    <t>Rigorous follow-up procedures are used to ensure the timely receipt of price statistics data.</t>
  </si>
  <si>
    <t>4_1_7_17</t>
  </si>
  <si>
    <t>Price statistics are consistent with the variables being deflated in terms of price concept, coverage, and reference period.</t>
  </si>
  <si>
    <t>4_3_2_10</t>
  </si>
  <si>
    <t>Growing crops are treated as work-in-progress.</t>
  </si>
  <si>
    <t>4_3_2_11</t>
  </si>
  <si>
    <t>Cultivated standing timber is treated as work-in-progress.</t>
  </si>
  <si>
    <t>4_3_2_12</t>
  </si>
  <si>
    <t>Livestock reared for food (including farmed fish) is treated as work-in-progress.</t>
  </si>
  <si>
    <t>4_3_2_13</t>
  </si>
  <si>
    <t>Large construction projects are treated as work-in-progress.</t>
  </si>
  <si>
    <t>4_3_2_14</t>
  </si>
  <si>
    <t>Output of large equipment (e.g., ships) is treated as work-in-progress.</t>
  </si>
  <si>
    <t>4_3_2_15</t>
  </si>
  <si>
    <t>Output estimates based on inventory data are adjusted to remove holding gains and losses.</t>
  </si>
  <si>
    <t>4_3_2_16</t>
  </si>
  <si>
    <t>Intermediate consumption estimates based on inventory data are adjusted to remove holding gains and losses.</t>
  </si>
  <si>
    <t>4_3_2_17</t>
  </si>
  <si>
    <t>The perpetual inventory method is used to estimate consumption of fixed capital.</t>
  </si>
  <si>
    <t>4_3_2_18</t>
  </si>
  <si>
    <t>Cash-based data are converted to accrual by allocating values to the correct period for national accounts purposes.</t>
  </si>
  <si>
    <t>4_3_2_19</t>
  </si>
  <si>
    <t>Cash data on taxes and subsidies on products are converted to accrual on a timely basis.</t>
  </si>
  <si>
    <t>4_3_2_20</t>
  </si>
  <si>
    <t>Government revenue data are converted from cash to accrual on the basis of the period of economic activity.</t>
  </si>
  <si>
    <t>4_3_2_21</t>
  </si>
  <si>
    <t>Government expenditure data are converted from cash to accrual using the correct reference period.</t>
  </si>
  <si>
    <t>4_3_4_10</t>
  </si>
  <si>
    <t>Residents’ expenses abroad are included in household final consumption expenditure and in imports.</t>
  </si>
  <si>
    <t>4_3_4_11</t>
  </si>
  <si>
    <t>Nonresidents’ expenses in the domestic economy are excluded from household consumption and included in exports.</t>
  </si>
  <si>
    <t>4_3_4_12</t>
  </si>
  <si>
    <t>Expenditures on valuables (e.g., jewelry and art) are included in estimates of valuables.</t>
  </si>
  <si>
    <t>4_3_4_13</t>
  </si>
  <si>
    <t>Dedicated price indices or deflators are used to deflate GDP components at least at the one-digit classification level.</t>
  </si>
  <si>
    <t>4_3_4_14</t>
  </si>
  <si>
    <t>The implicit deflator for household consumption is consistent with the CPI.</t>
  </si>
  <si>
    <t>4_3_4_15</t>
  </si>
  <si>
    <t>Government final consumption expenditure is derived by deflating the cost components of final output.</t>
  </si>
  <si>
    <t>4_3_4_16</t>
  </si>
  <si>
    <t>Appropriate methods are used to derive volume measures of changes in inventories (i.e., current price changes are not directly deflated).</t>
  </si>
  <si>
    <t>4_3_4_17</t>
  </si>
  <si>
    <t>An appropriate benchmarking technique (e.g., Denton method) is used to combine annual estimates with quarterly indicators.</t>
  </si>
  <si>
    <t>4_3_4_18</t>
  </si>
  <si>
    <t>Unadjusted quarterly series are derived from unadjusted source data within the quarterly compilation system.</t>
  </si>
  <si>
    <t>4_3_4_19</t>
  </si>
  <si>
    <t>Quarterly national accounts are seasonally adjusted using internationally accepted procedures (e.g., X-12 or TRAMO/SEATS).</t>
  </si>
  <si>
    <t>4_4_1_10</t>
  </si>
  <si>
    <t>Price statistics source data used in the national accounts are checked against other independent price sources (e.g., social surveys and administrative data).</t>
  </si>
  <si>
    <t>4_6_1_10</t>
  </si>
  <si>
    <t>Flow data for financial assets and liabilities are reconcilable with changes in corresponding stock positions, and a reconciliation table (transactions, holding gains/losses, and other volume changes) is disseminated regularly.</t>
  </si>
  <si>
    <t>5_2_1_10</t>
  </si>
  <si>
    <t>The timeliness of annual sector flows of incomes and expenditures is defined and assessed.</t>
  </si>
  <si>
    <t>5_2_1_11</t>
  </si>
  <si>
    <t>The timeliness of labor market employment statistics is defined and assessed.</t>
  </si>
  <si>
    <t>5_2_1_12</t>
  </si>
  <si>
    <t>The timeliness of labor market unemployment statistics is defined and assessed.</t>
  </si>
  <si>
    <t>5_2_1_13</t>
  </si>
  <si>
    <t>The timeliness of labor market wage/earnings statistics is defined and assessed.</t>
  </si>
  <si>
    <t>Current Maturity (0-100)</t>
  </si>
  <si>
    <t>Target Maturity (0-100)</t>
  </si>
  <si>
    <t>S&amp;Cs Observed</t>
  </si>
  <si>
    <t>Total S&amp;C</t>
  </si>
  <si>
    <t>% Observed</t>
  </si>
  <si>
    <t>Fully Observed</t>
  </si>
  <si>
    <t>% Fully Observed</t>
  </si>
  <si>
    <t>IND_WEIGHT</t>
  </si>
  <si>
    <t>WEIGHTED_MATURITY</t>
  </si>
  <si>
    <t>WEIGHTED_MATURITY_TGT</t>
  </si>
  <si>
    <t>Element</t>
  </si>
  <si>
    <t>ELEM_WEIGHT</t>
  </si>
  <si>
    <t>WEIGHTED_ELEM_MATURITY</t>
  </si>
  <si>
    <t>WEIGHTED_ELEM_MATURITY_TGT</t>
  </si>
  <si>
    <t>Dimension</t>
  </si>
  <si>
    <t>Maturity Score</t>
  </si>
  <si>
    <t>Target Maturity Score</t>
  </si>
  <si>
    <t>The Tonga Strategy for Development of Statistics (TSDS) 2019-2023 aims to manage the production and dissessmination of accessible, quality, and accurate statistical information efficiently and effectively</t>
  </si>
  <si>
    <t>Yes, outlined in TSDS and Statistical Act 2020 is commited to providing data with improved accessibility, unbiased, and relevant  publication of its statistics.</t>
  </si>
  <si>
    <t>Part II of the Statistic Act 2016 outlines the TSD may collect data from people, businesses or organisations for purposes relating to compiling, analyzing and publishing official statistics</t>
  </si>
  <si>
    <t>Official statistics is defined in the Statistics Act revision 2016 as "statistics produced by any department to inform the Government and people of Tonga about the economic, social, cultural and 
environmental conditions of the Kingdom and the activities, performance and 
impact of the Government, and to measure economic and social progress of 
the people of Tonga;" It is clearly defined that the TSD is the principal authority for official statistics. However, its distinction from other types of data is not explicitly mentioned and this could be clarified</t>
  </si>
  <si>
    <t>Part II Section 5(1) of the Statistical Act inculcates the scientific integrity of methods used, the protection against disclosing identifiable information and other professional standards</t>
  </si>
  <si>
    <t>Not sure</t>
  </si>
  <si>
    <t>The Statistical Act in 2020 is referenced as the latest revision of the 2015 Act, however, only the 2016 revision of the Statistical Act 2015 is found online- and is referenced throughout this document</t>
  </si>
  <si>
    <t>Part IV Section 11 clearly outlines protection measures against the disclosure of respondent information, with data being used only for statistical purposes and to prevent identification of any person.</t>
  </si>
  <si>
    <t>Part IV of the Statistical Act, Section 10, describes the legal oath required by all employees to protect the use of information and its confidentiality. Part VIII reveals the penalties and imprisonment punishment for those who commit offences against misuse of data.</t>
  </si>
  <si>
    <t>Part II Section 5(3d) outlines the coordination of international cooperation including Pacific regional collaboration on standards and information management</t>
  </si>
  <si>
    <t>Again, the sources of official statistics may be collected from respondents including persons, businesses or organisations.</t>
  </si>
  <si>
    <t>Yes, the Tonga Statistical Department is the principal authority for the publication of official statistics</t>
  </si>
  <si>
    <t>Currently there is no monitoring process or indicators used to assess quality levels and report to managers about ongoing statistical activities</t>
  </si>
  <si>
    <t>Section 6 of Government Statistician (GS) responsibilities highlihgt the autonomy of the GS over managing statistical methods, content and timing of releases</t>
  </si>
  <si>
    <t>Section 4 covers the appointment of the Government Statistician, however, its contents arent very detailed in its selection.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</si>
</sst>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
    <numFmt numFmtId="165" formatCode="0.0"/>
    <numFmt numFmtId="166" formatCode="0.0%"/>
    <numFmt numFmtId="167" formatCode="0.000"/>
  </numFmts>
  <fonts count="4" x14ac:knownFonts="1">
    <font>
      <sz val="11"/>
      <color theme="1"/>
      <name val="Calibri"/>
      <family val="2"/>
      <scheme val="minor"/>
    </font>
    <font>
      <b/>
      <sz val="11"/>
      <name val="Calibri"/>
      <family val="2"/>
    </font>
    <font>
      <sz val="11"/>
      <color rgb="FFFF0000"/>
      <name val="Calibri"/>
      <family val="2"/>
      <scheme val="minor"/>
    </font>
    <font>
      <sz val="11"/>
      <name val="Calibri"/>
      <family val="2"/>
      <scheme val="minor"/>
    </font>
  </fonts>
  <fills count="8">
    <fill>
      <patternFill patternType="none"/>
    </fill>
    <fill>
      <patternFill patternType="gray125"/>
    </fill>
    <fill>
      <patternFill patternType="solid">
        <fgColor rgb="FFD9D9D9"/>
      </patternFill>
    </fill>
    <fill>
      <patternFill patternType="solid">
        <fgColor rgb="FFEFEFEF"/>
      </patternFill>
    </fill>
    <fill>
      <patternFill patternType="solid">
        <fgColor rgb="FFFFF2CC"/>
      </patternFill>
    </fill>
    <fill>
      <patternFill patternType="solid">
        <fgColor rgb="FFBDD7EE"/>
      </patternFill>
    </fill>
    <fill>
      <patternFill patternType="solid">
        <fgColor rgb="FFC6EFCE"/>
      </patternFill>
    </fill>
    <fill>
      <patternFill patternType="solid">
        <fgColor rgb="FFEDEDED"/>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0">
    <xf numFmtId="0" fontId="0" fillId="0" borderId="0" xfId="0"/>
    <xf numFmtId="0" fontId="0" fillId="0" borderId="1" xfId="0" applyBorder="1"/>
    <xf numFmtId="0" fontId="1" fillId="2" borderId="1" xfId="0" applyFont="1" applyFill="1" applyBorder="1" applyAlignment="1">
      <alignment horizontal="center" vertical="center" wrapText="1"/>
    </xf>
    <xf numFmtId="0" fontId="0" fillId="3" borderId="1" xfId="0" applyFill="1" applyBorder="1"/>
    <xf numFmtId="0" fontId="0" fillId="0" borderId="1" xfId="0" applyBorder="1" applyAlignment="1">
      <alignment vertical="center" wrapText="1"/>
    </xf>
    <xf numFmtId="164" fontId="0" fillId="0" borderId="1" xfId="0" applyNumberFormat="1" applyBorder="1"/>
    <xf numFmtId="0" fontId="0" fillId="6" borderId="1" xfId="0" applyFill="1" applyBorder="1" applyAlignment="1">
      <alignment vertical="center" wrapText="1"/>
    </xf>
    <xf numFmtId="0" fontId="0" fillId="7" borderId="1" xfId="0" applyFill="1" applyBorder="1" applyAlignment="1">
      <alignment vertical="center" wrapText="1"/>
    </xf>
    <xf numFmtId="165" fontId="0" fillId="0" borderId="1" xfId="0" applyNumberFormat="1" applyBorder="1" applyAlignment="1">
      <alignment vertical="center" wrapText="1"/>
    </xf>
    <xf numFmtId="1" fontId="0" fillId="0" borderId="1" xfId="0" applyNumberFormat="1" applyBorder="1" applyAlignment="1">
      <alignment vertical="center" wrapText="1"/>
    </xf>
    <xf numFmtId="166" fontId="0" fillId="0" borderId="1" xfId="0" applyNumberFormat="1" applyBorder="1" applyAlignment="1">
      <alignment vertical="center" wrapText="1"/>
    </xf>
    <xf numFmtId="167" fontId="0" fillId="0" borderId="0" xfId="0" applyNumberFormat="1"/>
    <xf numFmtId="0" fontId="0" fillId="0" borderId="1" xfId="0" applyBorder="1" applyAlignment="1">
      <alignment wrapText="1"/>
    </xf>
    <xf numFmtId="167" fontId="0" fillId="0" borderId="1" xfId="0" applyNumberFormat="1" applyBorder="1" applyAlignment="1">
      <alignment vertical="center" wrapText="1"/>
    </xf>
    <xf numFmtId="0" fontId="1" fillId="5" borderId="1" xfId="0" applyFont="1" applyFill="1" applyBorder="1" applyAlignment="1">
      <alignment horizontal="left" vertical="center" wrapText="1" indent="1"/>
    </xf>
    <xf numFmtId="164" fontId="1" fillId="5" borderId="1" xfId="0" applyNumberFormat="1" applyFont="1" applyFill="1" applyBorder="1" applyAlignment="1">
      <alignment horizontal="left" vertical="center" wrapText="1" indent="1"/>
    </xf>
    <xf numFmtId="0" fontId="1" fillId="4" borderId="1" xfId="0" applyFont="1" applyFill="1" applyBorder="1" applyAlignment="1">
      <alignment horizontal="left" vertical="center" wrapText="1" indent="1"/>
    </xf>
    <xf numFmtId="0" fontId="0" fillId="0" borderId="1" xfId="0" applyBorder="1"/>
    <xf numFmtId="0" fontId="2" fillId="7" borderId="1" xfId="0" applyFont="1" applyFill="1" applyBorder="1" applyAlignment="1">
      <alignment vertical="center" wrapText="1"/>
    </xf>
    <xf numFmtId="0" fontId="3" fillId="7" borderId="1" xfId="0" applyFont="1" applyFill="1" applyBorder="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applyStyles="1" summaryBelow="0"/>
  </sheetPr>
  <dimension ref="A1:AG129"/>
  <sheetViews>
    <sheetView tabSelected="1" topLeftCell="E1" workbookViewId="0">
      <pane ySplit="2" topLeftCell="A5" activePane="bottomLeft" state="frozen"/>
      <selection pane="bottomLeft" activeCell="K17" sqref="K17"/>
    </sheetView>
  </sheetViews>
  <sheetFormatPr defaultRowHeight="14.4" outlineLevelRow="1" x14ac:dyDescent="0.3"/>
  <cols>
    <col min="1" max="2" width="13" hidden="1" customWidth="1"/>
    <col min="3" max="3" width="10.21875" hidden="1" customWidth="1"/>
    <col min="4" max="4" width="7.5546875" hidden="1" customWidth="1"/>
    <col min="5" max="5" width="17.88671875" customWidth="1"/>
    <col min="6" max="6" width="55" customWidth="1"/>
    <col min="7" max="7" width="13" hidden="1" customWidth="1"/>
    <col min="8" max="8" width="35" customWidth="1"/>
    <col min="9" max="9" width="3" customWidth="1"/>
    <col min="10" max="10" width="35" customWidth="1"/>
    <col min="11" max="12" width="50" customWidth="1"/>
    <col min="13" max="15" width="13" hidden="1" customWidth="1"/>
    <col min="17" max="33" width="13" hidden="1" customWidth="1"/>
  </cols>
  <sheetData>
    <row r="1" spans="1:33" ht="30" customHeight="1" x14ac:dyDescent="0.3">
      <c r="A1" s="16" t="s">
        <v>0</v>
      </c>
      <c r="B1" s="17"/>
      <c r="C1" s="17"/>
      <c r="D1" s="17"/>
      <c r="E1" s="17"/>
      <c r="F1" s="17"/>
      <c r="G1" s="17"/>
      <c r="H1" s="17"/>
      <c r="I1" s="17"/>
      <c r="J1" s="17"/>
      <c r="K1" s="1"/>
      <c r="L1" s="1"/>
      <c r="M1" s="1"/>
      <c r="N1" s="1"/>
      <c r="O1" s="1"/>
      <c r="P1" s="1"/>
      <c r="Q1" s="1"/>
      <c r="R1" s="1"/>
      <c r="S1" s="1" t="s">
        <v>1</v>
      </c>
      <c r="T1" s="1" t="s">
        <v>2</v>
      </c>
      <c r="U1" s="1" t="s">
        <v>3</v>
      </c>
      <c r="V1" s="1" t="s">
        <v>4</v>
      </c>
      <c r="W1" s="1" t="s">
        <v>5</v>
      </c>
      <c r="X1" s="1" t="s">
        <v>6</v>
      </c>
      <c r="Y1" s="1" t="s">
        <v>7</v>
      </c>
      <c r="Z1" s="1" t="s">
        <v>8</v>
      </c>
      <c r="AA1" s="1" t="s">
        <v>9</v>
      </c>
      <c r="AB1" s="1" t="s">
        <v>10</v>
      </c>
      <c r="AC1" s="1" t="s">
        <v>11</v>
      </c>
      <c r="AD1" s="1" t="s">
        <v>12</v>
      </c>
      <c r="AE1" s="1" t="s">
        <v>13</v>
      </c>
      <c r="AF1" s="1" t="s">
        <v>14</v>
      </c>
      <c r="AG1" s="1" t="s">
        <v>15</v>
      </c>
    </row>
    <row r="2" spans="1:33" ht="30" customHeight="1" x14ac:dyDescent="0.3">
      <c r="A2" s="2" t="s">
        <v>16</v>
      </c>
      <c r="B2" s="2" t="s">
        <v>17</v>
      </c>
      <c r="C2" s="2" t="s">
        <v>18</v>
      </c>
      <c r="D2" s="2" t="s">
        <v>19</v>
      </c>
      <c r="E2" s="2" t="s">
        <v>20</v>
      </c>
      <c r="F2" s="2" t="s">
        <v>21</v>
      </c>
      <c r="G2" s="2" t="s">
        <v>22</v>
      </c>
      <c r="H2" s="2" t="s">
        <v>23</v>
      </c>
      <c r="I2" s="3"/>
      <c r="J2" s="2" t="s">
        <v>24</v>
      </c>
      <c r="K2" s="2" t="s">
        <v>25</v>
      </c>
      <c r="L2" s="2" t="s">
        <v>26</v>
      </c>
      <c r="M2" s="2" t="s">
        <v>27</v>
      </c>
      <c r="N2" s="2" t="s">
        <v>28</v>
      </c>
      <c r="O2" s="2" t="s">
        <v>29</v>
      </c>
      <c r="P2" s="2" t="s">
        <v>30</v>
      </c>
      <c r="Q2" s="2" t="s">
        <v>31</v>
      </c>
      <c r="R2" s="2" t="s">
        <v>32</v>
      </c>
      <c r="S2" s="1"/>
      <c r="T2" s="1"/>
      <c r="U2" s="1"/>
      <c r="V2" s="1"/>
      <c r="W2" s="1"/>
      <c r="X2" s="1"/>
      <c r="Y2" s="1"/>
      <c r="Z2" s="1"/>
      <c r="AA2" s="1"/>
      <c r="AB2" s="1"/>
      <c r="AC2" s="1"/>
      <c r="AD2" s="1"/>
      <c r="AE2" s="1"/>
      <c r="AF2" s="1"/>
      <c r="AG2" s="1"/>
    </row>
    <row r="3" spans="1:33" ht="30" customHeight="1" x14ac:dyDescent="0.3">
      <c r="A3" s="1"/>
      <c r="B3" s="1"/>
      <c r="C3" s="1"/>
      <c r="D3" s="1"/>
      <c r="E3" s="1"/>
      <c r="F3" s="14" t="s">
        <v>33</v>
      </c>
      <c r="G3" s="15"/>
      <c r="H3" s="14"/>
      <c r="I3" s="14"/>
      <c r="J3" s="14"/>
      <c r="K3" s="14"/>
      <c r="L3" s="14"/>
      <c r="M3" s="1"/>
      <c r="N3" s="1"/>
      <c r="O3" s="1"/>
      <c r="P3" s="1"/>
      <c r="Q3" s="1"/>
      <c r="R3" s="1"/>
      <c r="S3" s="1"/>
      <c r="T3" s="1"/>
      <c r="U3" s="1"/>
      <c r="V3" s="1"/>
      <c r="W3" s="1"/>
      <c r="X3" s="1"/>
      <c r="Y3" s="1"/>
      <c r="Z3" s="1"/>
      <c r="AA3" s="1"/>
      <c r="AB3" s="1"/>
      <c r="AC3" s="1"/>
      <c r="AD3" s="1"/>
      <c r="AE3" s="1"/>
      <c r="AF3" s="1"/>
      <c r="AG3" s="1"/>
    </row>
    <row r="4" spans="1:33" ht="72" outlineLevel="1" x14ac:dyDescent="0.3">
      <c r="A4" s="1" t="s">
        <v>33</v>
      </c>
      <c r="B4" s="1" t="s">
        <v>34</v>
      </c>
      <c r="C4" s="1" t="s">
        <v>35</v>
      </c>
      <c r="D4" s="1" t="s">
        <v>36</v>
      </c>
      <c r="E4" s="1" t="s">
        <v>37</v>
      </c>
      <c r="F4" s="4" t="s">
        <v>38</v>
      </c>
      <c r="G4" s="5">
        <v>50</v>
      </c>
      <c r="H4" s="6" t="s">
        <v>363</v>
      </c>
      <c r="I4" s="3"/>
      <c r="J4" s="6" t="s">
        <v>358</v>
      </c>
      <c r="K4" s="18" t="s">
        <v>2111</v>
      </c>
      <c r="L4" s="4" t="s">
        <v>39</v>
      </c>
      <c r="M4" s="1" t="str">
        <f>IFERROR(INDEX(__key!$D:$D,MATCH(O4&amp;"|"&amp;SUBSTITUTE(H4,",",";"), __key!$E:$E, 0)), "")</f>
        <v>4</v>
      </c>
      <c r="N4" s="1" t="str">
        <f>IFERROR(INDEX(__key!$D:$D,MATCH(O4&amp;"|"&amp;SUBSTITUTE(J4,",",";"), __key!$E:$E, 0)), "")</f>
        <v>5</v>
      </c>
      <c r="O4" s="1" t="s">
        <v>40</v>
      </c>
      <c r="P4" s="1"/>
      <c r="Q4" s="1" t="s">
        <v>41</v>
      </c>
      <c r="R4" s="1">
        <v>1111</v>
      </c>
      <c r="S4" s="1">
        <f t="shared" ref="S4:S18" si="0">IFERROR(1*M4,0)</f>
        <v>4</v>
      </c>
      <c r="T4" s="1">
        <f t="shared" ref="T4:T18" si="1">IFERROR(1*N4,0)</f>
        <v>5</v>
      </c>
      <c r="U4" s="1">
        <f t="shared" ref="U4:U18" si="2">IFERROR(IF(ISNUMBER(SEARCH("Not Relevant",H4)),0,VALUE(G4)),"")</f>
        <v>50</v>
      </c>
      <c r="V4" s="1">
        <f t="shared" ref="V4:V18" si="3">IFERROR(SUMIF($D:$D,D4,$U:$U),"")</f>
        <v>150</v>
      </c>
      <c r="W4" s="1">
        <f t="shared" ref="W4:W18" si="4">IF(OR(V4=0,V4=""),"",U4/V4)</f>
        <v>0.33333333333333331</v>
      </c>
      <c r="X4" s="1">
        <f t="shared" ref="X4:X18" si="5">IF(OR(M4="",W4=""),"",VALUE(M4)*W4)</f>
        <v>1.3333333333333333</v>
      </c>
      <c r="Y4" s="1" t="b">
        <f t="shared" ref="Y4:Y18" si="6">IFERROR(ISNUMBER(SEARCH("Not Relevant",H4)),FALSE)</f>
        <v>0</v>
      </c>
      <c r="Z4" s="1" t="str">
        <f>IF(Y4, COUNTIF($Y$2:Y4, TRUE), "")</f>
        <v/>
      </c>
      <c r="AA4" s="1">
        <f t="shared" ref="AA4:AA18" si="7">IFERROR(IF(ISNUMBER(SEARCH("Not Relevant",J4)),0,VALUE(G4)),"")</f>
        <v>50</v>
      </c>
      <c r="AB4" s="1">
        <f t="shared" ref="AB4:AB18" si="8">IFERROR(SUMIF($D:$D,D4,$AA:$AA),"")</f>
        <v>150</v>
      </c>
      <c r="AC4" s="1">
        <f t="shared" ref="AC4:AC18" si="9">IF(OR(AB4=0,AB4=""),"",AA4/AB4)</f>
        <v>0.33333333333333331</v>
      </c>
      <c r="AD4" s="1">
        <f t="shared" ref="AD4:AD18" si="10">IF(OR(N4="",AC4=""),"",VALUE(N4)*AC4)</f>
        <v>1.6666666666666665</v>
      </c>
      <c r="AE4" s="1" t="b">
        <f t="shared" ref="AE4:AE18" si="11">IFERROR(ISNUMBER(SEARCH("Not Relevant",J4)),FALSE)</f>
        <v>0</v>
      </c>
      <c r="AF4" s="1" t="b">
        <f t="shared" ref="AF4:AF18" si="12">IF(OR(H4="",J4=""),FALSE,IF(H4&lt;&gt;J4,TRUE,FALSE))</f>
        <v>1</v>
      </c>
      <c r="AG4" s="1">
        <f>IF(AF4, COUNTIF($AF$2:AF4, TRUE), "")</f>
        <v>1</v>
      </c>
    </row>
    <row r="5" spans="1:33" ht="172.8" outlineLevel="1" x14ac:dyDescent="0.3">
      <c r="A5" s="1" t="s">
        <v>33</v>
      </c>
      <c r="B5" s="1" t="s">
        <v>34</v>
      </c>
      <c r="C5" s="1" t="s">
        <v>35</v>
      </c>
      <c r="D5" s="1" t="s">
        <v>36</v>
      </c>
      <c r="E5" s="1" t="s">
        <v>42</v>
      </c>
      <c r="F5" s="4" t="s">
        <v>43</v>
      </c>
      <c r="G5" s="5">
        <v>10</v>
      </c>
      <c r="H5" s="6" t="s">
        <v>363</v>
      </c>
      <c r="I5" s="3"/>
      <c r="J5" s="6" t="s">
        <v>358</v>
      </c>
      <c r="K5" s="7" t="s">
        <v>2114</v>
      </c>
      <c r="L5" s="4" t="s">
        <v>39</v>
      </c>
      <c r="M5" s="1" t="str">
        <f>IFERROR(INDEX(__key!$D:$D,MATCH(O5&amp;"|"&amp;SUBSTITUTE(H5,",",";"), __key!$E:$E, 0)), "")</f>
        <v>4</v>
      </c>
      <c r="N5" s="1" t="str">
        <f>IFERROR(INDEX(__key!$D:$D,MATCH(O5&amp;"|"&amp;SUBSTITUTE(J5,",",";"), __key!$E:$E, 0)), "")</f>
        <v>5</v>
      </c>
      <c r="O5" s="1" t="s">
        <v>40</v>
      </c>
      <c r="P5" s="1"/>
      <c r="Q5" s="1" t="s">
        <v>41</v>
      </c>
      <c r="R5" s="1">
        <v>1112</v>
      </c>
      <c r="S5" s="1">
        <f t="shared" si="0"/>
        <v>4</v>
      </c>
      <c r="T5" s="1">
        <f t="shared" si="1"/>
        <v>5</v>
      </c>
      <c r="U5" s="1">
        <f t="shared" si="2"/>
        <v>10</v>
      </c>
      <c r="V5" s="1">
        <f t="shared" si="3"/>
        <v>150</v>
      </c>
      <c r="W5" s="1">
        <f t="shared" si="4"/>
        <v>6.6666666666666666E-2</v>
      </c>
      <c r="X5" s="1">
        <f t="shared" si="5"/>
        <v>0.26666666666666666</v>
      </c>
      <c r="Y5" s="1" t="b">
        <f t="shared" si="6"/>
        <v>0</v>
      </c>
      <c r="Z5" s="1" t="str">
        <f>IF(Y5, COUNTIF($Y$2:Y5, TRUE), "")</f>
        <v/>
      </c>
      <c r="AA5" s="1">
        <f t="shared" si="7"/>
        <v>10</v>
      </c>
      <c r="AB5" s="1">
        <f t="shared" si="8"/>
        <v>150</v>
      </c>
      <c r="AC5" s="1">
        <f t="shared" si="9"/>
        <v>6.6666666666666666E-2</v>
      </c>
      <c r="AD5" s="1">
        <f t="shared" si="10"/>
        <v>0.33333333333333331</v>
      </c>
      <c r="AE5" s="1" t="b">
        <f t="shared" si="11"/>
        <v>0</v>
      </c>
      <c r="AF5" s="1" t="b">
        <f t="shared" si="12"/>
        <v>1</v>
      </c>
      <c r="AG5" s="1">
        <f>IF(AF5, COUNTIF($AF$2:AF5, TRUE), "")</f>
        <v>2</v>
      </c>
    </row>
    <row r="6" spans="1:33" ht="72" outlineLevel="1" x14ac:dyDescent="0.3">
      <c r="A6" s="1" t="s">
        <v>33</v>
      </c>
      <c r="B6" s="1" t="s">
        <v>34</v>
      </c>
      <c r="C6" s="1" t="s">
        <v>35</v>
      </c>
      <c r="D6" s="1" t="s">
        <v>36</v>
      </c>
      <c r="E6" s="1" t="s">
        <v>44</v>
      </c>
      <c r="F6" s="4" t="s">
        <v>45</v>
      </c>
      <c r="G6" s="5">
        <v>1</v>
      </c>
      <c r="H6" s="6" t="s">
        <v>363</v>
      </c>
      <c r="I6" s="3"/>
      <c r="J6" s="6" t="str">
        <f t="shared" ref="J4:J18" si="13">IF(H6="","",H6)</f>
        <v>Highly - This recommendation / best practice is implemented but minor gaps exist in coverage and/or the consistency of its application across the program / organization</v>
      </c>
      <c r="K6" s="7" t="s">
        <v>2112</v>
      </c>
      <c r="L6" s="4" t="s">
        <v>46</v>
      </c>
      <c r="M6" s="1" t="str">
        <f>IFERROR(INDEX(__key!$D:$D,MATCH(O6&amp;"|"&amp;SUBSTITUTE(H6,",",";"), __key!$E:$E, 0)), "")</f>
        <v>4</v>
      </c>
      <c r="N6" s="1" t="str">
        <f>IFERROR(INDEX(__key!$D:$D,MATCH(O6&amp;"|"&amp;SUBSTITUTE(J6,",",";"), __key!$E:$E, 0)), "")</f>
        <v>4</v>
      </c>
      <c r="O6" s="1" t="s">
        <v>40</v>
      </c>
      <c r="P6" s="1"/>
      <c r="Q6" s="1" t="s">
        <v>41</v>
      </c>
      <c r="R6" s="1">
        <v>1113</v>
      </c>
      <c r="S6" s="1">
        <f t="shared" si="0"/>
        <v>4</v>
      </c>
      <c r="T6" s="1">
        <f t="shared" si="1"/>
        <v>4</v>
      </c>
      <c r="U6" s="1">
        <f t="shared" si="2"/>
        <v>1</v>
      </c>
      <c r="V6" s="1">
        <f t="shared" si="3"/>
        <v>150</v>
      </c>
      <c r="W6" s="1">
        <f t="shared" si="4"/>
        <v>6.6666666666666671E-3</v>
      </c>
      <c r="X6" s="1">
        <f t="shared" si="5"/>
        <v>2.6666666666666668E-2</v>
      </c>
      <c r="Y6" s="1" t="b">
        <f t="shared" si="6"/>
        <v>0</v>
      </c>
      <c r="Z6" s="1" t="str">
        <f>IF(Y6, COUNTIF($Y$2:Y6, TRUE), "")</f>
        <v/>
      </c>
      <c r="AA6" s="1">
        <f t="shared" si="7"/>
        <v>1</v>
      </c>
      <c r="AB6" s="1">
        <f t="shared" si="8"/>
        <v>150</v>
      </c>
      <c r="AC6" s="1">
        <f t="shared" si="9"/>
        <v>6.6666666666666671E-3</v>
      </c>
      <c r="AD6" s="1">
        <f t="shared" si="10"/>
        <v>2.6666666666666668E-2</v>
      </c>
      <c r="AE6" s="1" t="b">
        <f t="shared" si="11"/>
        <v>0</v>
      </c>
      <c r="AF6" s="1" t="b">
        <f t="shared" si="12"/>
        <v>0</v>
      </c>
      <c r="AG6" s="1" t="str">
        <f>IF(AF6, COUNTIF($AF$2:AF6, TRUE), "")</f>
        <v/>
      </c>
    </row>
    <row r="7" spans="1:33" ht="72" outlineLevel="1" x14ac:dyDescent="0.3">
      <c r="A7" s="1" t="s">
        <v>33</v>
      </c>
      <c r="B7" s="1" t="s">
        <v>34</v>
      </c>
      <c r="C7" s="1" t="s">
        <v>35</v>
      </c>
      <c r="D7" s="1" t="s">
        <v>36</v>
      </c>
      <c r="E7" s="1" t="s">
        <v>47</v>
      </c>
      <c r="F7" s="4" t="s">
        <v>48</v>
      </c>
      <c r="G7" s="5">
        <v>50</v>
      </c>
      <c r="H7" s="6" t="s">
        <v>363</v>
      </c>
      <c r="I7" s="3"/>
      <c r="J7" s="6" t="s">
        <v>358</v>
      </c>
      <c r="K7" s="7" t="s">
        <v>2113</v>
      </c>
      <c r="L7" s="4" t="s">
        <v>49</v>
      </c>
      <c r="M7" s="1" t="str">
        <f>IFERROR(INDEX(__key!$D:$D,MATCH(O7&amp;"|"&amp;SUBSTITUTE(H7,",",";"), __key!$E:$E, 0)), "")</f>
        <v>4</v>
      </c>
      <c r="N7" s="1" t="str">
        <f>IFERROR(INDEX(__key!$D:$D,MATCH(O7&amp;"|"&amp;SUBSTITUTE(J7,",",";"), __key!$E:$E, 0)), "")</f>
        <v>5</v>
      </c>
      <c r="O7" s="1" t="s">
        <v>40</v>
      </c>
      <c r="P7" s="1"/>
      <c r="Q7" s="1" t="s">
        <v>41</v>
      </c>
      <c r="R7" s="1">
        <v>1114</v>
      </c>
      <c r="S7" s="1">
        <f t="shared" si="0"/>
        <v>4</v>
      </c>
      <c r="T7" s="1">
        <f t="shared" si="1"/>
        <v>5</v>
      </c>
      <c r="U7" s="1">
        <f t="shared" si="2"/>
        <v>50</v>
      </c>
      <c r="V7" s="1">
        <f t="shared" si="3"/>
        <v>150</v>
      </c>
      <c r="W7" s="1">
        <f t="shared" si="4"/>
        <v>0.33333333333333331</v>
      </c>
      <c r="X7" s="1">
        <f t="shared" si="5"/>
        <v>1.3333333333333333</v>
      </c>
      <c r="Y7" s="1" t="b">
        <f t="shared" si="6"/>
        <v>0</v>
      </c>
      <c r="Z7" s="1" t="str">
        <f>IF(Y7, COUNTIF($Y$2:Y7, TRUE), "")</f>
        <v/>
      </c>
      <c r="AA7" s="1">
        <f t="shared" si="7"/>
        <v>50</v>
      </c>
      <c r="AB7" s="1">
        <f t="shared" si="8"/>
        <v>150</v>
      </c>
      <c r="AC7" s="1">
        <f t="shared" si="9"/>
        <v>0.33333333333333331</v>
      </c>
      <c r="AD7" s="1">
        <f t="shared" si="10"/>
        <v>1.6666666666666665</v>
      </c>
      <c r="AE7" s="1" t="b">
        <f t="shared" si="11"/>
        <v>0</v>
      </c>
      <c r="AF7" s="1" t="b">
        <f t="shared" si="12"/>
        <v>1</v>
      </c>
      <c r="AG7" s="1">
        <f>IF(AF7, COUNTIF($AF$2:AF7, TRUE), "")</f>
        <v>3</v>
      </c>
    </row>
    <row r="8" spans="1:33" ht="57.6" outlineLevel="1" x14ac:dyDescent="0.3">
      <c r="A8" s="1" t="s">
        <v>33</v>
      </c>
      <c r="B8" s="1" t="s">
        <v>34</v>
      </c>
      <c r="C8" s="1" t="s">
        <v>35</v>
      </c>
      <c r="D8" s="1" t="s">
        <v>36</v>
      </c>
      <c r="E8" s="1" t="s">
        <v>50</v>
      </c>
      <c r="F8" s="4" t="s">
        <v>51</v>
      </c>
      <c r="G8" s="5">
        <v>30</v>
      </c>
      <c r="H8" s="6"/>
      <c r="I8" s="3"/>
      <c r="J8" s="6" t="str">
        <f t="shared" si="13"/>
        <v/>
      </c>
      <c r="K8" s="18" t="s">
        <v>2116</v>
      </c>
      <c r="L8" s="4" t="s">
        <v>52</v>
      </c>
      <c r="M8" s="1" t="str">
        <f>IFERROR(INDEX(__key!$D:$D,MATCH(O8&amp;"|"&amp;SUBSTITUTE(H8,",",";"), __key!$E:$E, 0)), "")</f>
        <v/>
      </c>
      <c r="N8" s="1" t="str">
        <f>IFERROR(INDEX(__key!$D:$D,MATCH(O8&amp;"|"&amp;SUBSTITUTE(J8,",",";"), __key!$E:$E, 0)), "")</f>
        <v/>
      </c>
      <c r="O8" s="1" t="s">
        <v>40</v>
      </c>
      <c r="P8" s="1"/>
      <c r="Q8" s="1" t="s">
        <v>41</v>
      </c>
      <c r="R8" s="1">
        <v>1115</v>
      </c>
      <c r="S8" s="1">
        <f t="shared" si="0"/>
        <v>0</v>
      </c>
      <c r="T8" s="1">
        <f t="shared" si="1"/>
        <v>0</v>
      </c>
      <c r="U8" s="1">
        <f t="shared" si="2"/>
        <v>30</v>
      </c>
      <c r="V8" s="1">
        <f t="shared" si="3"/>
        <v>150</v>
      </c>
      <c r="W8" s="1">
        <f t="shared" si="4"/>
        <v>0.2</v>
      </c>
      <c r="X8" s="1" t="str">
        <f t="shared" si="5"/>
        <v/>
      </c>
      <c r="Y8" s="1" t="b">
        <f t="shared" si="6"/>
        <v>0</v>
      </c>
      <c r="Z8" s="1" t="str">
        <f>IF(Y8, COUNTIF($Y$2:Y8, TRUE), "")</f>
        <v/>
      </c>
      <c r="AA8" s="1">
        <f t="shared" si="7"/>
        <v>30</v>
      </c>
      <c r="AB8" s="1">
        <f t="shared" si="8"/>
        <v>150</v>
      </c>
      <c r="AC8" s="1">
        <f t="shared" si="9"/>
        <v>0.2</v>
      </c>
      <c r="AD8" s="1" t="str">
        <f t="shared" si="10"/>
        <v/>
      </c>
      <c r="AE8" s="1" t="b">
        <f t="shared" si="11"/>
        <v>0</v>
      </c>
      <c r="AF8" s="1" t="b">
        <f t="shared" si="12"/>
        <v>0</v>
      </c>
      <c r="AG8" s="1" t="str">
        <f>IF(AF8, COUNTIF($AF$2:AF8, TRUE), "")</f>
        <v/>
      </c>
    </row>
    <row r="9" spans="1:33" ht="57.6" outlineLevel="1" x14ac:dyDescent="0.3">
      <c r="A9" s="1" t="s">
        <v>33</v>
      </c>
      <c r="B9" s="1" t="s">
        <v>34</v>
      </c>
      <c r="C9" s="1" t="s">
        <v>35</v>
      </c>
      <c r="D9" s="1" t="s">
        <v>36</v>
      </c>
      <c r="E9" s="1" t="s">
        <v>53</v>
      </c>
      <c r="F9" s="4" t="s">
        <v>54</v>
      </c>
      <c r="G9" s="5"/>
      <c r="H9" s="6" t="s">
        <v>824</v>
      </c>
      <c r="I9" s="3"/>
      <c r="J9" s="6" t="s">
        <v>822</v>
      </c>
      <c r="K9" s="7" t="s">
        <v>2117</v>
      </c>
      <c r="L9" s="4" t="s">
        <v>55</v>
      </c>
      <c r="M9" s="1" t="str">
        <f>IFERROR(INDEX(__key!$D:$D,MATCH(O9&amp;"|"&amp;SUBSTITUTE(H9,",",";"), __key!$E:$E, 0)), "")</f>
        <v>4</v>
      </c>
      <c r="N9" s="1" t="str">
        <f>IFERROR(INDEX(__key!$D:$D,MATCH(O9&amp;"|"&amp;SUBSTITUTE(J9,",",";"), __key!$E:$E, 0)), "")</f>
        <v>5</v>
      </c>
      <c r="O9" s="1" t="s">
        <v>56</v>
      </c>
      <c r="P9" s="1"/>
      <c r="Q9" s="1" t="s">
        <v>41</v>
      </c>
      <c r="R9" s="1">
        <v>1116</v>
      </c>
      <c r="S9" s="1">
        <f t="shared" si="0"/>
        <v>4</v>
      </c>
      <c r="T9" s="1">
        <f t="shared" si="1"/>
        <v>5</v>
      </c>
      <c r="U9" s="1">
        <f t="shared" si="2"/>
        <v>0</v>
      </c>
      <c r="V9" s="1">
        <f t="shared" si="3"/>
        <v>150</v>
      </c>
      <c r="W9" s="1">
        <f t="shared" si="4"/>
        <v>0</v>
      </c>
      <c r="X9" s="1">
        <f t="shared" si="5"/>
        <v>0</v>
      </c>
      <c r="Y9" s="1" t="b">
        <f t="shared" si="6"/>
        <v>0</v>
      </c>
      <c r="Z9" s="1" t="str">
        <f>IF(Y9, COUNTIF($Y$2:Y9, TRUE), "")</f>
        <v/>
      </c>
      <c r="AA9" s="1">
        <f t="shared" si="7"/>
        <v>0</v>
      </c>
      <c r="AB9" s="1">
        <f t="shared" si="8"/>
        <v>150</v>
      </c>
      <c r="AC9" s="1">
        <f t="shared" si="9"/>
        <v>0</v>
      </c>
      <c r="AD9" s="1">
        <f t="shared" si="10"/>
        <v>0</v>
      </c>
      <c r="AE9" s="1" t="b">
        <f t="shared" si="11"/>
        <v>0</v>
      </c>
      <c r="AF9" s="1" t="b">
        <f t="shared" si="12"/>
        <v>1</v>
      </c>
      <c r="AG9" s="1">
        <f>IF(AF9, COUNTIF($AF$2:AF9, TRUE), "")</f>
        <v>4</v>
      </c>
    </row>
    <row r="10" spans="1:33" ht="72" outlineLevel="1" x14ac:dyDescent="0.3">
      <c r="A10" s="1" t="s">
        <v>33</v>
      </c>
      <c r="B10" s="1" t="s">
        <v>34</v>
      </c>
      <c r="C10" s="1" t="s">
        <v>35</v>
      </c>
      <c r="D10" s="1" t="s">
        <v>36</v>
      </c>
      <c r="E10" s="1" t="s">
        <v>57</v>
      </c>
      <c r="F10" s="4" t="s">
        <v>58</v>
      </c>
      <c r="G10" s="5">
        <v>1</v>
      </c>
      <c r="H10" s="6" t="s">
        <v>363</v>
      </c>
      <c r="I10" s="3"/>
      <c r="J10" s="6" t="s">
        <v>358</v>
      </c>
      <c r="K10" s="7" t="s">
        <v>2115</v>
      </c>
      <c r="L10" s="4" t="s">
        <v>55</v>
      </c>
      <c r="M10" s="1" t="str">
        <f>IFERROR(INDEX(__key!$D:$D,MATCH(O10&amp;"|"&amp;SUBSTITUTE(H10,",",";"), __key!$E:$E, 0)), "")</f>
        <v>4</v>
      </c>
      <c r="N10" s="1" t="str">
        <f>IFERROR(INDEX(__key!$D:$D,MATCH(O10&amp;"|"&amp;SUBSTITUTE(J10,",",";"), __key!$E:$E, 0)), "")</f>
        <v>5</v>
      </c>
      <c r="O10" s="1" t="s">
        <v>40</v>
      </c>
      <c r="P10" s="1"/>
      <c r="Q10" s="1" t="s">
        <v>41</v>
      </c>
      <c r="R10" s="1">
        <v>1117</v>
      </c>
      <c r="S10" s="1">
        <f t="shared" si="0"/>
        <v>4</v>
      </c>
      <c r="T10" s="1">
        <f t="shared" si="1"/>
        <v>5</v>
      </c>
      <c r="U10" s="1">
        <f t="shared" si="2"/>
        <v>1</v>
      </c>
      <c r="V10" s="1">
        <f t="shared" si="3"/>
        <v>150</v>
      </c>
      <c r="W10" s="1">
        <f t="shared" si="4"/>
        <v>6.6666666666666671E-3</v>
      </c>
      <c r="X10" s="1">
        <f t="shared" si="5"/>
        <v>2.6666666666666668E-2</v>
      </c>
      <c r="Y10" s="1" t="b">
        <f t="shared" si="6"/>
        <v>0</v>
      </c>
      <c r="Z10" s="1" t="str">
        <f>IF(Y10, COUNTIF($Y$2:Y10, TRUE), "")</f>
        <v/>
      </c>
      <c r="AA10" s="1">
        <f t="shared" si="7"/>
        <v>1</v>
      </c>
      <c r="AB10" s="1">
        <f t="shared" si="8"/>
        <v>150</v>
      </c>
      <c r="AC10" s="1">
        <f t="shared" si="9"/>
        <v>6.6666666666666671E-3</v>
      </c>
      <c r="AD10" s="1">
        <f t="shared" si="10"/>
        <v>3.3333333333333333E-2</v>
      </c>
      <c r="AE10" s="1" t="b">
        <f t="shared" si="11"/>
        <v>0</v>
      </c>
      <c r="AF10" s="1" t="b">
        <f t="shared" si="12"/>
        <v>1</v>
      </c>
      <c r="AG10" s="1">
        <f>IF(AF10, COUNTIF($AF$2:AF10, TRUE), "")</f>
        <v>5</v>
      </c>
    </row>
    <row r="11" spans="1:33" ht="43.2" outlineLevel="1" x14ac:dyDescent="0.3">
      <c r="A11" s="1" t="s">
        <v>33</v>
      </c>
      <c r="B11" s="1" t="s">
        <v>34</v>
      </c>
      <c r="C11" s="1" t="s">
        <v>35</v>
      </c>
      <c r="D11" s="1" t="s">
        <v>36</v>
      </c>
      <c r="E11" s="1" t="s">
        <v>59</v>
      </c>
      <c r="F11" s="4" t="s">
        <v>60</v>
      </c>
      <c r="G11" s="5">
        <v>1</v>
      </c>
      <c r="H11" s="6"/>
      <c r="I11" s="3"/>
      <c r="J11" s="6" t="str">
        <f t="shared" si="13"/>
        <v/>
      </c>
      <c r="K11" s="19"/>
      <c r="L11" s="4" t="s">
        <v>55</v>
      </c>
      <c r="M11" s="1" t="str">
        <f>IFERROR(INDEX(__key!$D:$D,MATCH(O11&amp;"|"&amp;SUBSTITUTE(H11,",",";"), __key!$E:$E, 0)), "")</f>
        <v/>
      </c>
      <c r="N11" s="1" t="str">
        <f>IFERROR(INDEX(__key!$D:$D,MATCH(O11&amp;"|"&amp;SUBSTITUTE(J11,",",";"), __key!$E:$E, 0)), "")</f>
        <v/>
      </c>
      <c r="O11" s="1" t="s">
        <v>40</v>
      </c>
      <c r="P11" s="1"/>
      <c r="Q11" s="1" t="s">
        <v>41</v>
      </c>
      <c r="R11" s="1">
        <v>1118</v>
      </c>
      <c r="S11" s="1">
        <f t="shared" si="0"/>
        <v>0</v>
      </c>
      <c r="T11" s="1">
        <f t="shared" si="1"/>
        <v>0</v>
      </c>
      <c r="U11" s="1">
        <f t="shared" si="2"/>
        <v>1</v>
      </c>
      <c r="V11" s="1">
        <f t="shared" si="3"/>
        <v>150</v>
      </c>
      <c r="W11" s="1">
        <f t="shared" si="4"/>
        <v>6.6666666666666671E-3</v>
      </c>
      <c r="X11" s="1" t="str">
        <f t="shared" si="5"/>
        <v/>
      </c>
      <c r="Y11" s="1" t="b">
        <f t="shared" si="6"/>
        <v>0</v>
      </c>
      <c r="Z11" s="1" t="str">
        <f>IF(Y11, COUNTIF($Y$2:Y11, TRUE), "")</f>
        <v/>
      </c>
      <c r="AA11" s="1">
        <f t="shared" si="7"/>
        <v>1</v>
      </c>
      <c r="AB11" s="1">
        <f t="shared" si="8"/>
        <v>150</v>
      </c>
      <c r="AC11" s="1">
        <f t="shared" si="9"/>
        <v>6.6666666666666671E-3</v>
      </c>
      <c r="AD11" s="1" t="str">
        <f t="shared" si="10"/>
        <v/>
      </c>
      <c r="AE11" s="1" t="b">
        <f t="shared" si="11"/>
        <v>0</v>
      </c>
      <c r="AF11" s="1" t="b">
        <f t="shared" si="12"/>
        <v>0</v>
      </c>
      <c r="AG11" s="1" t="str">
        <f>IF(AF11, COUNTIF($AF$2:AF11, TRUE), "")</f>
        <v/>
      </c>
    </row>
    <row r="12" spans="1:33" ht="72" outlineLevel="1" x14ac:dyDescent="0.3">
      <c r="A12" s="1" t="s">
        <v>33</v>
      </c>
      <c r="B12" s="1" t="s">
        <v>34</v>
      </c>
      <c r="C12" s="1" t="s">
        <v>35</v>
      </c>
      <c r="D12" s="1" t="s">
        <v>36</v>
      </c>
      <c r="E12" s="1" t="s">
        <v>61</v>
      </c>
      <c r="F12" s="4" t="s">
        <v>62</v>
      </c>
      <c r="G12" s="5">
        <v>1</v>
      </c>
      <c r="H12" s="6" t="s">
        <v>358</v>
      </c>
      <c r="I12" s="3"/>
      <c r="J12" s="6" t="str">
        <f t="shared" si="13"/>
        <v>Fully - This recommendation / best practice is fully implemented</v>
      </c>
      <c r="K12" s="7" t="s">
        <v>2119</v>
      </c>
      <c r="L12" s="4" t="s">
        <v>55</v>
      </c>
      <c r="M12" s="1" t="str">
        <f>IFERROR(INDEX(__key!$D:$D,MATCH(O12&amp;"|"&amp;SUBSTITUTE(H12,",",";"), __key!$E:$E, 0)), "")</f>
        <v>5</v>
      </c>
      <c r="N12" s="1" t="str">
        <f>IFERROR(INDEX(__key!$D:$D,MATCH(O12&amp;"|"&amp;SUBSTITUTE(J12,",",";"), __key!$E:$E, 0)), "")</f>
        <v>5</v>
      </c>
      <c r="O12" s="1" t="s">
        <v>40</v>
      </c>
      <c r="P12" s="1"/>
      <c r="Q12" s="1" t="s">
        <v>41</v>
      </c>
      <c r="R12" s="1">
        <v>1119</v>
      </c>
      <c r="S12" s="1">
        <f t="shared" si="0"/>
        <v>5</v>
      </c>
      <c r="T12" s="1">
        <f t="shared" si="1"/>
        <v>5</v>
      </c>
      <c r="U12" s="1">
        <f t="shared" si="2"/>
        <v>1</v>
      </c>
      <c r="V12" s="1">
        <f t="shared" si="3"/>
        <v>150</v>
      </c>
      <c r="W12" s="1">
        <f t="shared" si="4"/>
        <v>6.6666666666666671E-3</v>
      </c>
      <c r="X12" s="1">
        <f t="shared" si="5"/>
        <v>3.3333333333333333E-2</v>
      </c>
      <c r="Y12" s="1" t="b">
        <f t="shared" si="6"/>
        <v>0</v>
      </c>
      <c r="Z12" s="1" t="str">
        <f>IF(Y12, COUNTIF($Y$2:Y12, TRUE), "")</f>
        <v/>
      </c>
      <c r="AA12" s="1">
        <f t="shared" si="7"/>
        <v>1</v>
      </c>
      <c r="AB12" s="1">
        <f t="shared" si="8"/>
        <v>150</v>
      </c>
      <c r="AC12" s="1">
        <f t="shared" si="9"/>
        <v>6.6666666666666671E-3</v>
      </c>
      <c r="AD12" s="1">
        <f t="shared" si="10"/>
        <v>3.3333333333333333E-2</v>
      </c>
      <c r="AE12" s="1" t="b">
        <f t="shared" si="11"/>
        <v>0</v>
      </c>
      <c r="AF12" s="1" t="b">
        <f t="shared" si="12"/>
        <v>0</v>
      </c>
      <c r="AG12" s="1" t="str">
        <f>IF(AF12, COUNTIF($AF$2:AF12, TRUE), "")</f>
        <v/>
      </c>
    </row>
    <row r="13" spans="1:33" ht="72" outlineLevel="1" x14ac:dyDescent="0.3">
      <c r="A13" s="1" t="s">
        <v>33</v>
      </c>
      <c r="B13" s="1" t="s">
        <v>34</v>
      </c>
      <c r="C13" s="1" t="s">
        <v>35</v>
      </c>
      <c r="D13" s="1" t="s">
        <v>36</v>
      </c>
      <c r="E13" s="1" t="s">
        <v>63</v>
      </c>
      <c r="F13" s="4" t="s">
        <v>64</v>
      </c>
      <c r="G13" s="5">
        <v>1</v>
      </c>
      <c r="H13" s="6" t="s">
        <v>363</v>
      </c>
      <c r="I13" s="3"/>
      <c r="J13" s="6" t="str">
        <f t="shared" si="13"/>
        <v>Highly - This recommendation / best practice is implemented but minor gaps exist in coverage and/or the consistency of its application across the program / organization</v>
      </c>
      <c r="K13" s="7" t="s">
        <v>2121</v>
      </c>
      <c r="L13" s="4" t="s">
        <v>55</v>
      </c>
      <c r="M13" s="1" t="str">
        <f>IFERROR(INDEX(__key!$D:$D,MATCH(O13&amp;"|"&amp;SUBSTITUTE(H13,",",";"), __key!$E:$E, 0)), "")</f>
        <v>4</v>
      </c>
      <c r="N13" s="1" t="str">
        <f>IFERROR(INDEX(__key!$D:$D,MATCH(O13&amp;"|"&amp;SUBSTITUTE(J13,",",";"), __key!$E:$E, 0)), "")</f>
        <v>4</v>
      </c>
      <c r="O13" s="1" t="s">
        <v>40</v>
      </c>
      <c r="P13" s="1"/>
      <c r="Q13" s="1" t="s">
        <v>41</v>
      </c>
      <c r="R13" s="1">
        <v>11110</v>
      </c>
      <c r="S13" s="1">
        <f t="shared" si="0"/>
        <v>4</v>
      </c>
      <c r="T13" s="1">
        <f t="shared" si="1"/>
        <v>4</v>
      </c>
      <c r="U13" s="1">
        <f t="shared" si="2"/>
        <v>1</v>
      </c>
      <c r="V13" s="1">
        <f t="shared" si="3"/>
        <v>150</v>
      </c>
      <c r="W13" s="1">
        <f t="shared" si="4"/>
        <v>6.6666666666666671E-3</v>
      </c>
      <c r="X13" s="1">
        <f t="shared" si="5"/>
        <v>2.6666666666666668E-2</v>
      </c>
      <c r="Y13" s="1" t="b">
        <f t="shared" si="6"/>
        <v>0</v>
      </c>
      <c r="Z13" s="1" t="str">
        <f>IF(Y13, COUNTIF($Y$2:Y13, TRUE), "")</f>
        <v/>
      </c>
      <c r="AA13" s="1">
        <f t="shared" si="7"/>
        <v>1</v>
      </c>
      <c r="AB13" s="1">
        <f t="shared" si="8"/>
        <v>150</v>
      </c>
      <c r="AC13" s="1">
        <f t="shared" si="9"/>
        <v>6.6666666666666671E-3</v>
      </c>
      <c r="AD13" s="1">
        <f t="shared" si="10"/>
        <v>2.6666666666666668E-2</v>
      </c>
      <c r="AE13" s="1" t="b">
        <f t="shared" si="11"/>
        <v>0</v>
      </c>
      <c r="AF13" s="1" t="b">
        <f t="shared" si="12"/>
        <v>0</v>
      </c>
      <c r="AG13" s="1" t="str">
        <f>IF(AF13, COUNTIF($AF$2:AF13, TRUE), "")</f>
        <v/>
      </c>
    </row>
    <row r="14" spans="1:33" ht="57.6" outlineLevel="1" x14ac:dyDescent="0.3">
      <c r="A14" s="1" t="s">
        <v>33</v>
      </c>
      <c r="B14" s="1" t="s">
        <v>34</v>
      </c>
      <c r="C14" s="1" t="s">
        <v>35</v>
      </c>
      <c r="D14" s="1" t="s">
        <v>36</v>
      </c>
      <c r="E14" s="1" t="s">
        <v>65</v>
      </c>
      <c r="F14" s="4" t="s">
        <v>66</v>
      </c>
      <c r="G14" s="5">
        <v>1</v>
      </c>
      <c r="H14" s="6" t="s">
        <v>358</v>
      </c>
      <c r="I14" s="3"/>
      <c r="J14" s="6" t="s">
        <v>358</v>
      </c>
      <c r="K14" s="7" t="s">
        <v>2118</v>
      </c>
      <c r="L14" s="4" t="s">
        <v>55</v>
      </c>
      <c r="M14" s="1" t="str">
        <f>IFERROR(INDEX(__key!$D:$D,MATCH(O14&amp;"|"&amp;SUBSTITUTE(H14,",",";"), __key!$E:$E, 0)), "")</f>
        <v>5</v>
      </c>
      <c r="N14" s="1" t="str">
        <f>IFERROR(INDEX(__key!$D:$D,MATCH(O14&amp;"|"&amp;SUBSTITUTE(J14,",",";"), __key!$E:$E, 0)), "")</f>
        <v>5</v>
      </c>
      <c r="O14" s="1" t="s">
        <v>40</v>
      </c>
      <c r="P14" s="1"/>
      <c r="Q14" s="1" t="s">
        <v>41</v>
      </c>
      <c r="R14" s="1">
        <v>11111</v>
      </c>
      <c r="S14" s="1">
        <f t="shared" si="0"/>
        <v>5</v>
      </c>
      <c r="T14" s="1">
        <f t="shared" si="1"/>
        <v>5</v>
      </c>
      <c r="U14" s="1">
        <f t="shared" si="2"/>
        <v>1</v>
      </c>
      <c r="V14" s="1">
        <f t="shared" si="3"/>
        <v>150</v>
      </c>
      <c r="W14" s="1">
        <f t="shared" si="4"/>
        <v>6.6666666666666671E-3</v>
      </c>
      <c r="X14" s="1">
        <f t="shared" si="5"/>
        <v>3.3333333333333333E-2</v>
      </c>
      <c r="Y14" s="1" t="b">
        <f t="shared" si="6"/>
        <v>0</v>
      </c>
      <c r="Z14" s="1" t="str">
        <f>IF(Y14, COUNTIF($Y$2:Y14, TRUE), "")</f>
        <v/>
      </c>
      <c r="AA14" s="1">
        <f t="shared" si="7"/>
        <v>1</v>
      </c>
      <c r="AB14" s="1">
        <f t="shared" si="8"/>
        <v>150</v>
      </c>
      <c r="AC14" s="1">
        <f t="shared" si="9"/>
        <v>6.6666666666666671E-3</v>
      </c>
      <c r="AD14" s="1">
        <f t="shared" si="10"/>
        <v>3.3333333333333333E-2</v>
      </c>
      <c r="AE14" s="1" t="b">
        <f t="shared" si="11"/>
        <v>0</v>
      </c>
      <c r="AF14" s="1" t="b">
        <f t="shared" si="12"/>
        <v>0</v>
      </c>
      <c r="AG14" s="1" t="str">
        <f>IF(AF14, COUNTIF($AF$2:AF14, TRUE), "")</f>
        <v/>
      </c>
    </row>
    <row r="15" spans="1:33" ht="43.2" outlineLevel="1" x14ac:dyDescent="0.3">
      <c r="A15" s="1" t="s">
        <v>33</v>
      </c>
      <c r="B15" s="1" t="s">
        <v>34</v>
      </c>
      <c r="C15" s="1" t="s">
        <v>35</v>
      </c>
      <c r="D15" s="1" t="s">
        <v>36</v>
      </c>
      <c r="E15" s="1" t="s">
        <v>67</v>
      </c>
      <c r="F15" s="4" t="s">
        <v>68</v>
      </c>
      <c r="G15" s="5">
        <v>1</v>
      </c>
      <c r="H15" s="6"/>
      <c r="I15" s="3"/>
      <c r="J15" s="6" t="str">
        <f t="shared" si="13"/>
        <v/>
      </c>
      <c r="K15" s="7"/>
      <c r="L15" s="4" t="s">
        <v>55</v>
      </c>
      <c r="M15" s="1" t="str">
        <f>IFERROR(INDEX(__key!$D:$D,MATCH(O15&amp;"|"&amp;SUBSTITUTE(H15,",",";"), __key!$E:$E, 0)), "")</f>
        <v/>
      </c>
      <c r="N15" s="1" t="str">
        <f>IFERROR(INDEX(__key!$D:$D,MATCH(O15&amp;"|"&amp;SUBSTITUTE(J15,",",";"), __key!$E:$E, 0)), "")</f>
        <v/>
      </c>
      <c r="O15" s="1" t="s">
        <v>40</v>
      </c>
      <c r="P15" s="1"/>
      <c r="Q15" s="1" t="s">
        <v>41</v>
      </c>
      <c r="R15" s="1">
        <v>11112</v>
      </c>
      <c r="S15" s="1">
        <f t="shared" si="0"/>
        <v>0</v>
      </c>
      <c r="T15" s="1">
        <f t="shared" si="1"/>
        <v>0</v>
      </c>
      <c r="U15" s="1">
        <f t="shared" si="2"/>
        <v>1</v>
      </c>
      <c r="V15" s="1">
        <f t="shared" si="3"/>
        <v>150</v>
      </c>
      <c r="W15" s="1">
        <f t="shared" si="4"/>
        <v>6.6666666666666671E-3</v>
      </c>
      <c r="X15" s="1" t="str">
        <f t="shared" si="5"/>
        <v/>
      </c>
      <c r="Y15" s="1" t="b">
        <f t="shared" si="6"/>
        <v>0</v>
      </c>
      <c r="Z15" s="1" t="str">
        <f>IF(Y15, COUNTIF($Y$2:Y15, TRUE), "")</f>
        <v/>
      </c>
      <c r="AA15" s="1">
        <f t="shared" si="7"/>
        <v>1</v>
      </c>
      <c r="AB15" s="1">
        <f t="shared" si="8"/>
        <v>150</v>
      </c>
      <c r="AC15" s="1">
        <f t="shared" si="9"/>
        <v>6.6666666666666671E-3</v>
      </c>
      <c r="AD15" s="1" t="str">
        <f t="shared" si="10"/>
        <v/>
      </c>
      <c r="AE15" s="1" t="b">
        <f t="shared" si="11"/>
        <v>0</v>
      </c>
      <c r="AF15" s="1" t="b">
        <f t="shared" si="12"/>
        <v>0</v>
      </c>
      <c r="AG15" s="1" t="str">
        <f>IF(AF15, COUNTIF($AF$2:AF15, TRUE), "")</f>
        <v/>
      </c>
    </row>
    <row r="16" spans="1:33" ht="43.2" outlineLevel="1" x14ac:dyDescent="0.3">
      <c r="A16" s="1" t="s">
        <v>33</v>
      </c>
      <c r="B16" s="1" t="s">
        <v>34</v>
      </c>
      <c r="C16" s="1" t="s">
        <v>35</v>
      </c>
      <c r="D16" s="1" t="s">
        <v>36</v>
      </c>
      <c r="E16" s="1" t="s">
        <v>69</v>
      </c>
      <c r="F16" s="4" t="s">
        <v>70</v>
      </c>
      <c r="G16" s="5">
        <v>1</v>
      </c>
      <c r="H16" s="6"/>
      <c r="I16" s="3"/>
      <c r="J16" s="6" t="str">
        <f t="shared" si="13"/>
        <v/>
      </c>
      <c r="K16" s="7"/>
      <c r="L16" s="4" t="s">
        <v>55</v>
      </c>
      <c r="M16" s="1" t="str">
        <f>IFERROR(INDEX(__key!$D:$D,MATCH(O16&amp;"|"&amp;SUBSTITUTE(H16,",",";"), __key!$E:$E, 0)), "")</f>
        <v/>
      </c>
      <c r="N16" s="1" t="str">
        <f>IFERROR(INDEX(__key!$D:$D,MATCH(O16&amp;"|"&amp;SUBSTITUTE(J16,",",";"), __key!$E:$E, 0)), "")</f>
        <v/>
      </c>
      <c r="O16" s="1" t="s">
        <v>40</v>
      </c>
      <c r="P16" s="1"/>
      <c r="Q16" s="1" t="s">
        <v>41</v>
      </c>
      <c r="R16" s="1">
        <v>11113</v>
      </c>
      <c r="S16" s="1">
        <f t="shared" si="0"/>
        <v>0</v>
      </c>
      <c r="T16" s="1">
        <f t="shared" si="1"/>
        <v>0</v>
      </c>
      <c r="U16" s="1">
        <f t="shared" si="2"/>
        <v>1</v>
      </c>
      <c r="V16" s="1">
        <f t="shared" si="3"/>
        <v>150</v>
      </c>
      <c r="W16" s="1">
        <f t="shared" si="4"/>
        <v>6.6666666666666671E-3</v>
      </c>
      <c r="X16" s="1" t="str">
        <f t="shared" si="5"/>
        <v/>
      </c>
      <c r="Y16" s="1" t="b">
        <f t="shared" si="6"/>
        <v>0</v>
      </c>
      <c r="Z16" s="1" t="str">
        <f>IF(Y16, COUNTIF($Y$2:Y16, TRUE), "")</f>
        <v/>
      </c>
      <c r="AA16" s="1">
        <f t="shared" si="7"/>
        <v>1</v>
      </c>
      <c r="AB16" s="1">
        <f t="shared" si="8"/>
        <v>150</v>
      </c>
      <c r="AC16" s="1">
        <f t="shared" si="9"/>
        <v>6.6666666666666671E-3</v>
      </c>
      <c r="AD16" s="1" t="str">
        <f t="shared" si="10"/>
        <v/>
      </c>
      <c r="AE16" s="1" t="b">
        <f t="shared" si="11"/>
        <v>0</v>
      </c>
      <c r="AF16" s="1" t="b">
        <f t="shared" si="12"/>
        <v>0</v>
      </c>
      <c r="AG16" s="1" t="str">
        <f>IF(AF16, COUNTIF($AF$2:AF16, TRUE), "")</f>
        <v/>
      </c>
    </row>
    <row r="17" spans="1:33" ht="72" outlineLevel="1" x14ac:dyDescent="0.3">
      <c r="A17" s="1" t="s">
        <v>33</v>
      </c>
      <c r="B17" s="1" t="s">
        <v>34</v>
      </c>
      <c r="C17" s="1" t="s">
        <v>35</v>
      </c>
      <c r="D17" s="1" t="s">
        <v>36</v>
      </c>
      <c r="E17" s="1" t="s">
        <v>71</v>
      </c>
      <c r="F17" s="4" t="s">
        <v>72</v>
      </c>
      <c r="G17" s="5">
        <v>1</v>
      </c>
      <c r="H17" s="6" t="s">
        <v>363</v>
      </c>
      <c r="I17" s="3"/>
      <c r="J17" s="6" t="s">
        <v>358</v>
      </c>
      <c r="K17" s="7"/>
      <c r="L17" s="4" t="s">
        <v>55</v>
      </c>
      <c r="M17" s="1" t="str">
        <f>IFERROR(INDEX(__key!$D:$D,MATCH(O17&amp;"|"&amp;SUBSTITUTE(H17,",",";"), __key!$E:$E, 0)), "")</f>
        <v>4</v>
      </c>
      <c r="N17" s="1" t="str">
        <f>IFERROR(INDEX(__key!$D:$D,MATCH(O17&amp;"|"&amp;SUBSTITUTE(J17,",",";"), __key!$E:$E, 0)), "")</f>
        <v>5</v>
      </c>
      <c r="O17" s="1" t="s">
        <v>40</v>
      </c>
      <c r="P17" s="1"/>
      <c r="Q17" s="1" t="s">
        <v>41</v>
      </c>
      <c r="R17" s="1">
        <v>11114</v>
      </c>
      <c r="S17" s="1">
        <f t="shared" si="0"/>
        <v>4</v>
      </c>
      <c r="T17" s="1">
        <f t="shared" si="1"/>
        <v>5</v>
      </c>
      <c r="U17" s="1">
        <f t="shared" si="2"/>
        <v>1</v>
      </c>
      <c r="V17" s="1">
        <f t="shared" si="3"/>
        <v>150</v>
      </c>
      <c r="W17" s="1">
        <f t="shared" si="4"/>
        <v>6.6666666666666671E-3</v>
      </c>
      <c r="X17" s="1">
        <f t="shared" si="5"/>
        <v>2.6666666666666668E-2</v>
      </c>
      <c r="Y17" s="1" t="b">
        <f t="shared" si="6"/>
        <v>0</v>
      </c>
      <c r="Z17" s="1" t="str">
        <f>IF(Y17, COUNTIF($Y$2:Y17, TRUE), "")</f>
        <v/>
      </c>
      <c r="AA17" s="1">
        <f t="shared" si="7"/>
        <v>1</v>
      </c>
      <c r="AB17" s="1">
        <f t="shared" si="8"/>
        <v>150</v>
      </c>
      <c r="AC17" s="1">
        <f t="shared" si="9"/>
        <v>6.6666666666666671E-3</v>
      </c>
      <c r="AD17" s="1">
        <f t="shared" si="10"/>
        <v>3.3333333333333333E-2</v>
      </c>
      <c r="AE17" s="1" t="b">
        <f t="shared" si="11"/>
        <v>0</v>
      </c>
      <c r="AF17" s="1" t="b">
        <f t="shared" si="12"/>
        <v>1</v>
      </c>
      <c r="AG17" s="1">
        <f>IF(AF17, COUNTIF($AF$2:AF17, TRUE), "")</f>
        <v>6</v>
      </c>
    </row>
    <row r="18" spans="1:33" ht="72" outlineLevel="1" x14ac:dyDescent="0.3">
      <c r="A18" s="1" t="s">
        <v>33</v>
      </c>
      <c r="B18" s="1" t="s">
        <v>34</v>
      </c>
      <c r="C18" s="1" t="s">
        <v>35</v>
      </c>
      <c r="D18" s="1" t="s">
        <v>36</v>
      </c>
      <c r="E18" s="1" t="s">
        <v>73</v>
      </c>
      <c r="F18" s="4" t="s">
        <v>74</v>
      </c>
      <c r="G18" s="5">
        <v>1</v>
      </c>
      <c r="H18" s="6" t="s">
        <v>363</v>
      </c>
      <c r="I18" s="3"/>
      <c r="J18" s="6" t="s">
        <v>358</v>
      </c>
      <c r="K18" s="7" t="s">
        <v>2120</v>
      </c>
      <c r="L18" s="4" t="s">
        <v>55</v>
      </c>
      <c r="M18" s="1" t="str">
        <f>IFERROR(INDEX(__key!$D:$D,MATCH(O18&amp;"|"&amp;SUBSTITUTE(H18,",",";"), __key!$E:$E, 0)), "")</f>
        <v>4</v>
      </c>
      <c r="N18" s="1" t="str">
        <f>IFERROR(INDEX(__key!$D:$D,MATCH(O18&amp;"|"&amp;SUBSTITUTE(J18,",",";"), __key!$E:$E, 0)), "")</f>
        <v>5</v>
      </c>
      <c r="O18" s="1" t="s">
        <v>40</v>
      </c>
      <c r="P18" s="1"/>
      <c r="Q18" s="1" t="s">
        <v>41</v>
      </c>
      <c r="R18" s="1">
        <v>11115</v>
      </c>
      <c r="S18" s="1">
        <f t="shared" si="0"/>
        <v>4</v>
      </c>
      <c r="T18" s="1">
        <f t="shared" si="1"/>
        <v>5</v>
      </c>
      <c r="U18" s="1">
        <f t="shared" si="2"/>
        <v>1</v>
      </c>
      <c r="V18" s="1">
        <f t="shared" si="3"/>
        <v>150</v>
      </c>
      <c r="W18" s="1">
        <f t="shared" si="4"/>
        <v>6.6666666666666671E-3</v>
      </c>
      <c r="X18" s="1">
        <f t="shared" si="5"/>
        <v>2.6666666666666668E-2</v>
      </c>
      <c r="Y18" s="1" t="b">
        <f t="shared" si="6"/>
        <v>0</v>
      </c>
      <c r="Z18" s="1" t="str">
        <f>IF(Y18, COUNTIF($Y$2:Y18, TRUE), "")</f>
        <v/>
      </c>
      <c r="AA18" s="1">
        <f t="shared" si="7"/>
        <v>1</v>
      </c>
      <c r="AB18" s="1">
        <f t="shared" si="8"/>
        <v>150</v>
      </c>
      <c r="AC18" s="1">
        <f t="shared" si="9"/>
        <v>6.6666666666666671E-3</v>
      </c>
      <c r="AD18" s="1">
        <f t="shared" si="10"/>
        <v>3.3333333333333333E-2</v>
      </c>
      <c r="AE18" s="1" t="b">
        <f t="shared" si="11"/>
        <v>0</v>
      </c>
      <c r="AF18" s="1" t="b">
        <f t="shared" si="12"/>
        <v>1</v>
      </c>
      <c r="AG18" s="1">
        <f>IF(AF18, COUNTIF($AF$2:AF18, TRUE), "")</f>
        <v>7</v>
      </c>
    </row>
    <row r="19" spans="1:33" ht="30" customHeight="1" x14ac:dyDescent="0.3">
      <c r="A19" s="1"/>
      <c r="B19" s="1"/>
      <c r="C19" s="1"/>
      <c r="D19" s="1"/>
      <c r="E19" s="1"/>
      <c r="F19" s="14" t="s">
        <v>75</v>
      </c>
      <c r="G19" s="15"/>
      <c r="H19" s="14"/>
      <c r="I19" s="14"/>
      <c r="J19" s="14"/>
      <c r="K19" s="14"/>
      <c r="L19" s="14"/>
      <c r="M19" s="1"/>
      <c r="N19" s="1"/>
      <c r="O19" s="1"/>
      <c r="P19" s="1"/>
      <c r="Q19" s="1"/>
      <c r="R19" s="1"/>
      <c r="S19" s="1"/>
      <c r="T19" s="1"/>
      <c r="U19" s="1"/>
      <c r="V19" s="1"/>
      <c r="W19" s="1"/>
      <c r="X19" s="1"/>
      <c r="Y19" s="1"/>
      <c r="Z19" s="1"/>
      <c r="AA19" s="1"/>
      <c r="AB19" s="1"/>
      <c r="AC19" s="1"/>
      <c r="AD19" s="1"/>
      <c r="AE19" s="1"/>
      <c r="AF19" s="1"/>
      <c r="AG19" s="1"/>
    </row>
    <row r="20" spans="1:33" ht="57.6" outlineLevel="1" x14ac:dyDescent="0.3">
      <c r="A20" s="1" t="s">
        <v>75</v>
      </c>
      <c r="B20" s="1" t="s">
        <v>34</v>
      </c>
      <c r="C20" s="1" t="s">
        <v>76</v>
      </c>
      <c r="D20" s="1" t="s">
        <v>77</v>
      </c>
      <c r="E20" s="1" t="s">
        <v>78</v>
      </c>
      <c r="F20" s="4" t="s">
        <v>79</v>
      </c>
      <c r="G20" s="5">
        <v>20</v>
      </c>
      <c r="H20" s="6" t="s">
        <v>358</v>
      </c>
      <c r="I20" s="3"/>
      <c r="J20" s="6" t="str">
        <f>IF(H20="","",H20)</f>
        <v>Fully - This recommendation / best practice is fully implemented</v>
      </c>
      <c r="K20" s="7" t="s">
        <v>2122</v>
      </c>
      <c r="L20" s="4" t="s">
        <v>80</v>
      </c>
      <c r="M20" s="1" t="str">
        <f>IFERROR(INDEX(__key!$D:$D,MATCH(O20&amp;"|"&amp;SUBSTITUTE(H20,",",";"), __key!$E:$E, 0)), "")</f>
        <v>5</v>
      </c>
      <c r="N20" s="1" t="str">
        <f>IFERROR(INDEX(__key!$D:$D,MATCH(O20&amp;"|"&amp;SUBSTITUTE(J20,",",";"), __key!$E:$E, 0)), "")</f>
        <v>5</v>
      </c>
      <c r="O20" s="1" t="s">
        <v>40</v>
      </c>
      <c r="P20" s="1"/>
      <c r="Q20" s="1" t="s">
        <v>81</v>
      </c>
      <c r="R20" s="1">
        <v>1211</v>
      </c>
      <c r="S20" s="1">
        <f t="shared" ref="S20:T23" si="14">IFERROR(1*M20,0)</f>
        <v>5</v>
      </c>
      <c r="T20" s="1">
        <f t="shared" si="14"/>
        <v>5</v>
      </c>
      <c r="U20" s="1">
        <f>IFERROR(IF(ISNUMBER(SEARCH("Not Relevant",H20)),0,VALUE(G20)),"")</f>
        <v>20</v>
      </c>
      <c r="V20" s="1">
        <f>IFERROR(SUMIF($D:$D,D20,$U:$U),"")</f>
        <v>200</v>
      </c>
      <c r="W20" s="1">
        <f>IF(OR(V20=0,V20=""),"",U20/V20)</f>
        <v>0.1</v>
      </c>
      <c r="X20" s="1">
        <f>IF(OR(M20="",W20=""),"",VALUE(M20)*W20)</f>
        <v>0.5</v>
      </c>
      <c r="Y20" s="1" t="b">
        <f>IFERROR(ISNUMBER(SEARCH("Not Relevant",H20)),FALSE)</f>
        <v>0</v>
      </c>
      <c r="Z20" s="1" t="str">
        <f>IF(Y20, COUNTIF($Y$2:Y20, TRUE), "")</f>
        <v/>
      </c>
      <c r="AA20" s="1">
        <f>IFERROR(IF(ISNUMBER(SEARCH("Not Relevant",J20)),0,VALUE(G20)),"")</f>
        <v>20</v>
      </c>
      <c r="AB20" s="1">
        <f>IFERROR(SUMIF($D:$D,D20,$AA:$AA),"")</f>
        <v>200</v>
      </c>
      <c r="AC20" s="1">
        <f>IF(OR(AB20=0,AB20=""),"",AA20/AB20)</f>
        <v>0.1</v>
      </c>
      <c r="AD20" s="1">
        <f>IF(OR(N20="",AC20=""),"",VALUE(N20)*AC20)</f>
        <v>0.5</v>
      </c>
      <c r="AE20" s="1" t="b">
        <f>IFERROR(ISNUMBER(SEARCH("Not Relevant",J20)),FALSE)</f>
        <v>0</v>
      </c>
      <c r="AF20" s="1" t="b">
        <f>IF(OR(H20="",J20=""),FALSE,IF(H20&lt;&gt;J20,TRUE,FALSE))</f>
        <v>0</v>
      </c>
      <c r="AG20" s="1" t="str">
        <f>IF(AF20, COUNTIF($AF$2:AF20, TRUE), "")</f>
        <v/>
      </c>
    </row>
    <row r="21" spans="1:33" ht="57.6" outlineLevel="1" x14ac:dyDescent="0.3">
      <c r="A21" s="1" t="s">
        <v>75</v>
      </c>
      <c r="B21" s="1" t="s">
        <v>34</v>
      </c>
      <c r="C21" s="1" t="s">
        <v>76</v>
      </c>
      <c r="D21" s="1" t="s">
        <v>77</v>
      </c>
      <c r="E21" s="1" t="s">
        <v>82</v>
      </c>
      <c r="F21" s="4" t="s">
        <v>83</v>
      </c>
      <c r="G21" s="5">
        <v>80</v>
      </c>
      <c r="H21" s="6" t="s">
        <v>358</v>
      </c>
      <c r="I21" s="3"/>
      <c r="J21" s="6" t="str">
        <f>IF(H21="","",H21)</f>
        <v>Fully - This recommendation / best practice is fully implemented</v>
      </c>
      <c r="K21" s="7" t="s">
        <v>2124</v>
      </c>
      <c r="L21" s="4" t="s">
        <v>84</v>
      </c>
      <c r="M21" s="1" t="str">
        <f>IFERROR(INDEX(__key!$D:$D,MATCH(O21&amp;"|"&amp;SUBSTITUTE(H21,",",";"), __key!$E:$E, 0)), "")</f>
        <v>5</v>
      </c>
      <c r="N21" s="1" t="str">
        <f>IFERROR(INDEX(__key!$D:$D,MATCH(O21&amp;"|"&amp;SUBSTITUTE(J21,",",";"), __key!$E:$E, 0)), "")</f>
        <v>5</v>
      </c>
      <c r="O21" s="1" t="s">
        <v>40</v>
      </c>
      <c r="P21" s="1"/>
      <c r="Q21" s="1" t="s">
        <v>81</v>
      </c>
      <c r="R21" s="1">
        <v>1212</v>
      </c>
      <c r="S21" s="1">
        <f t="shared" si="14"/>
        <v>5</v>
      </c>
      <c r="T21" s="1">
        <f t="shared" si="14"/>
        <v>5</v>
      </c>
      <c r="U21" s="1">
        <f>IFERROR(IF(ISNUMBER(SEARCH("Not Relevant",H21)),0,VALUE(G21)),"")</f>
        <v>80</v>
      </c>
      <c r="V21" s="1">
        <f>IFERROR(SUMIF($D:$D,D21,$U:$U),"")</f>
        <v>200</v>
      </c>
      <c r="W21" s="1">
        <f>IF(OR(V21=0,V21=""),"",U21/V21)</f>
        <v>0.4</v>
      </c>
      <c r="X21" s="1">
        <f>IF(OR(M21="",W21=""),"",VALUE(M21)*W21)</f>
        <v>2</v>
      </c>
      <c r="Y21" s="1" t="b">
        <f>IFERROR(ISNUMBER(SEARCH("Not Relevant",H21)),FALSE)</f>
        <v>0</v>
      </c>
      <c r="Z21" s="1" t="str">
        <f>IF(Y21, COUNTIF($Y$2:Y21, TRUE), "")</f>
        <v/>
      </c>
      <c r="AA21" s="1">
        <f>IFERROR(IF(ISNUMBER(SEARCH("Not Relevant",J21)),0,VALUE(G21)),"")</f>
        <v>80</v>
      </c>
      <c r="AB21" s="1">
        <f>IFERROR(SUMIF($D:$D,D21,$AA:$AA),"")</f>
        <v>200</v>
      </c>
      <c r="AC21" s="1">
        <f>IF(OR(AB21=0,AB21=""),"",AA21/AB21)</f>
        <v>0.4</v>
      </c>
      <c r="AD21" s="1">
        <f>IF(OR(N21="",AC21=""),"",VALUE(N21)*AC21)</f>
        <v>2</v>
      </c>
      <c r="AE21" s="1" t="b">
        <f>IFERROR(ISNUMBER(SEARCH("Not Relevant",J21)),FALSE)</f>
        <v>0</v>
      </c>
      <c r="AF21" s="1" t="b">
        <f>IF(OR(H21="",J21=""),FALSE,IF(H21&lt;&gt;J21,TRUE,FALSE))</f>
        <v>0</v>
      </c>
      <c r="AG21" s="1" t="str">
        <f>IF(AF21, COUNTIF($AF$2:AF21, TRUE), "")</f>
        <v/>
      </c>
    </row>
    <row r="22" spans="1:33" ht="72" outlineLevel="1" x14ac:dyDescent="0.3">
      <c r="A22" s="1" t="s">
        <v>75</v>
      </c>
      <c r="B22" s="1" t="s">
        <v>34</v>
      </c>
      <c r="C22" s="1" t="s">
        <v>76</v>
      </c>
      <c r="D22" s="1" t="s">
        <v>77</v>
      </c>
      <c r="E22" s="1" t="s">
        <v>85</v>
      </c>
      <c r="F22" s="4" t="s">
        <v>86</v>
      </c>
      <c r="G22" s="5">
        <v>50</v>
      </c>
      <c r="H22" s="6" t="s">
        <v>363</v>
      </c>
      <c r="I22" s="3"/>
      <c r="J22" s="6" t="s">
        <v>358</v>
      </c>
      <c r="K22" s="7" t="s">
        <v>2125</v>
      </c>
      <c r="L22" s="4" t="s">
        <v>87</v>
      </c>
      <c r="M22" s="1" t="str">
        <f>IFERROR(INDEX(__key!$D:$D,MATCH(O22&amp;"|"&amp;SUBSTITUTE(H22,",",";"), __key!$E:$E, 0)), "")</f>
        <v>4</v>
      </c>
      <c r="N22" s="1" t="str">
        <f>IFERROR(INDEX(__key!$D:$D,MATCH(O22&amp;"|"&amp;SUBSTITUTE(J22,",",";"), __key!$E:$E, 0)), "")</f>
        <v>5</v>
      </c>
      <c r="O22" s="1" t="s">
        <v>40</v>
      </c>
      <c r="P22" s="1"/>
      <c r="Q22" s="1" t="s">
        <v>81</v>
      </c>
      <c r="R22" s="1">
        <v>1213</v>
      </c>
      <c r="S22" s="1">
        <f t="shared" si="14"/>
        <v>4</v>
      </c>
      <c r="T22" s="1">
        <f t="shared" si="14"/>
        <v>5</v>
      </c>
      <c r="U22" s="1">
        <f>IFERROR(IF(ISNUMBER(SEARCH("Not Relevant",H22)),0,VALUE(G22)),"")</f>
        <v>50</v>
      </c>
      <c r="V22" s="1">
        <f>IFERROR(SUMIF($D:$D,D22,$U:$U),"")</f>
        <v>200</v>
      </c>
      <c r="W22" s="1">
        <f>IF(OR(V22=0,V22=""),"",U22/V22)</f>
        <v>0.25</v>
      </c>
      <c r="X22" s="1">
        <f>IF(OR(M22="",W22=""),"",VALUE(M22)*W22)</f>
        <v>1</v>
      </c>
      <c r="Y22" s="1" t="b">
        <f>IFERROR(ISNUMBER(SEARCH("Not Relevant",H22)),FALSE)</f>
        <v>0</v>
      </c>
      <c r="Z22" s="1" t="str">
        <f>IF(Y22, COUNTIF($Y$2:Y22, TRUE), "")</f>
        <v/>
      </c>
      <c r="AA22" s="1">
        <f>IFERROR(IF(ISNUMBER(SEARCH("Not Relevant",J22)),0,VALUE(G22)),"")</f>
        <v>50</v>
      </c>
      <c r="AB22" s="1">
        <f>IFERROR(SUMIF($D:$D,D22,$AA:$AA),"")</f>
        <v>200</v>
      </c>
      <c r="AC22" s="1">
        <f>IF(OR(AB22=0,AB22=""),"",AA22/AB22)</f>
        <v>0.25</v>
      </c>
      <c r="AD22" s="1">
        <f>IF(OR(N22="",AC22=""),"",VALUE(N22)*AC22)</f>
        <v>1.25</v>
      </c>
      <c r="AE22" s="1" t="b">
        <f>IFERROR(ISNUMBER(SEARCH("Not Relevant",J22)),FALSE)</f>
        <v>0</v>
      </c>
      <c r="AF22" s="1" t="b">
        <f>IF(OR(H22="",J22=""),FALSE,IF(H22&lt;&gt;J22,TRUE,FALSE))</f>
        <v>1</v>
      </c>
      <c r="AG22" s="1">
        <f>IF(AF22, COUNTIF($AF$2:AF22, TRUE), "")</f>
        <v>8</v>
      </c>
    </row>
    <row r="23" spans="1:33" ht="57.6" outlineLevel="1" x14ac:dyDescent="0.3">
      <c r="A23" s="1" t="s">
        <v>75</v>
      </c>
      <c r="B23" s="1" t="s">
        <v>34</v>
      </c>
      <c r="C23" s="1" t="s">
        <v>76</v>
      </c>
      <c r="D23" s="1" t="s">
        <v>77</v>
      </c>
      <c r="E23" s="1" t="s">
        <v>88</v>
      </c>
      <c r="F23" s="4" t="s">
        <v>89</v>
      </c>
      <c r="G23" s="5">
        <v>50</v>
      </c>
      <c r="H23" s="6"/>
      <c r="I23" s="3"/>
      <c r="J23" s="6" t="str">
        <f>IF(H23="","",H23)</f>
        <v/>
      </c>
      <c r="K23" s="7"/>
      <c r="L23" s="4" t="s">
        <v>90</v>
      </c>
      <c r="M23" s="1" t="str">
        <f>IFERROR(INDEX(__key!$D:$D,MATCH(O23&amp;"|"&amp;SUBSTITUTE(H23,",",";"), __key!$E:$E, 0)), "")</f>
        <v/>
      </c>
      <c r="N23" s="1" t="str">
        <f>IFERROR(INDEX(__key!$D:$D,MATCH(O23&amp;"|"&amp;SUBSTITUTE(J23,",",";"), __key!$E:$E, 0)), "")</f>
        <v/>
      </c>
      <c r="O23" s="1" t="s">
        <v>40</v>
      </c>
      <c r="P23" s="1"/>
      <c r="Q23" s="1" t="s">
        <v>81</v>
      </c>
      <c r="R23" s="1">
        <v>1214</v>
      </c>
      <c r="S23" s="1">
        <f t="shared" si="14"/>
        <v>0</v>
      </c>
      <c r="T23" s="1">
        <f t="shared" si="14"/>
        <v>0</v>
      </c>
      <c r="U23" s="1">
        <f>IFERROR(IF(ISNUMBER(SEARCH("Not Relevant",H23)),0,VALUE(G23)),"")</f>
        <v>50</v>
      </c>
      <c r="V23" s="1">
        <f>IFERROR(SUMIF($D:$D,D23,$U:$U),"")</f>
        <v>200</v>
      </c>
      <c r="W23" s="1">
        <f>IF(OR(V23=0,V23=""),"",U23/V23)</f>
        <v>0.25</v>
      </c>
      <c r="X23" s="1" t="str">
        <f>IF(OR(M23="",W23=""),"",VALUE(M23)*W23)</f>
        <v/>
      </c>
      <c r="Y23" s="1" t="b">
        <f>IFERROR(ISNUMBER(SEARCH("Not Relevant",H23)),FALSE)</f>
        <v>0</v>
      </c>
      <c r="Z23" s="1" t="str">
        <f>IF(Y23, COUNTIF($Y$2:Y23, TRUE), "")</f>
        <v/>
      </c>
      <c r="AA23" s="1">
        <f>IFERROR(IF(ISNUMBER(SEARCH("Not Relevant",J23)),0,VALUE(G23)),"")</f>
        <v>50</v>
      </c>
      <c r="AB23" s="1">
        <f>IFERROR(SUMIF($D:$D,D23,$AA:$AA),"")</f>
        <v>200</v>
      </c>
      <c r="AC23" s="1">
        <f>IF(OR(AB23=0,AB23=""),"",AA23/AB23)</f>
        <v>0.25</v>
      </c>
      <c r="AD23" s="1" t="str">
        <f>IF(OR(N23="",AC23=""),"",VALUE(N23)*AC23)</f>
        <v/>
      </c>
      <c r="AE23" s="1" t="b">
        <f>IFERROR(ISNUMBER(SEARCH("Not Relevant",J23)),FALSE)</f>
        <v>0</v>
      </c>
      <c r="AF23" s="1" t="b">
        <f>IF(OR(H23="",J23=""),FALSE,IF(H23&lt;&gt;J23,TRUE,FALSE))</f>
        <v>0</v>
      </c>
      <c r="AG23" s="1" t="str">
        <f>IF(AF23, COUNTIF($AF$2:AF23, TRUE), "")</f>
        <v/>
      </c>
    </row>
    <row r="24" spans="1:33" ht="30" customHeight="1" collapsed="1" x14ac:dyDescent="0.3">
      <c r="A24" s="1"/>
      <c r="B24" s="1"/>
      <c r="C24" s="1"/>
      <c r="D24" s="1"/>
      <c r="E24" s="1"/>
      <c r="F24" s="14" t="s">
        <v>91</v>
      </c>
      <c r="G24" s="15"/>
      <c r="H24" s="14"/>
      <c r="I24" s="14"/>
      <c r="J24" s="14"/>
      <c r="K24" s="14"/>
      <c r="L24" s="14"/>
      <c r="M24" s="1"/>
      <c r="N24" s="1"/>
      <c r="O24" s="1"/>
      <c r="P24" s="1"/>
      <c r="Q24" s="1"/>
      <c r="R24" s="1"/>
      <c r="S24" s="1"/>
      <c r="T24" s="1"/>
      <c r="U24" s="1"/>
      <c r="V24" s="1"/>
      <c r="W24" s="1"/>
      <c r="X24" s="1"/>
      <c r="Y24" s="1"/>
      <c r="Z24" s="1"/>
      <c r="AA24" s="1"/>
      <c r="AB24" s="1"/>
      <c r="AC24" s="1"/>
      <c r="AD24" s="1"/>
      <c r="AE24" s="1"/>
      <c r="AF24" s="1"/>
      <c r="AG24" s="1"/>
    </row>
    <row r="25" spans="1:33" ht="57.6" hidden="1" outlineLevel="1" x14ac:dyDescent="0.3">
      <c r="A25" s="1" t="s">
        <v>91</v>
      </c>
      <c r="B25" s="1" t="s">
        <v>34</v>
      </c>
      <c r="C25" s="1" t="s">
        <v>92</v>
      </c>
      <c r="D25" s="1" t="s">
        <v>93</v>
      </c>
      <c r="E25" s="1" t="s">
        <v>94</v>
      </c>
      <c r="F25" s="4" t="s">
        <v>95</v>
      </c>
      <c r="G25" s="5">
        <v>20</v>
      </c>
      <c r="H25" s="6"/>
      <c r="I25" s="3"/>
      <c r="J25" s="6" t="str">
        <f t="shared" ref="J25:J41" si="15">IF(H25="","",H25)</f>
        <v/>
      </c>
      <c r="K25" s="7"/>
      <c r="L25" s="4" t="s">
        <v>96</v>
      </c>
      <c r="M25" s="1" t="str">
        <f>IFERROR(INDEX(__key!$D:$D,MATCH(O25&amp;"|"&amp;SUBSTITUTE(H25,",",";"), __key!$E:$E, 0)), "")</f>
        <v/>
      </c>
      <c r="N25" s="1" t="str">
        <f>IFERROR(INDEX(__key!$D:$D,MATCH(O25&amp;"|"&amp;SUBSTITUTE(J25,",",";"), __key!$E:$E, 0)), "")</f>
        <v/>
      </c>
      <c r="O25" s="1" t="s">
        <v>40</v>
      </c>
      <c r="P25" s="1"/>
      <c r="Q25" s="1" t="s">
        <v>97</v>
      </c>
      <c r="R25" s="1">
        <v>1311</v>
      </c>
      <c r="S25" s="1">
        <f t="shared" ref="S25:S41" si="16">IFERROR(1*M25,0)</f>
        <v>0</v>
      </c>
      <c r="T25" s="1">
        <f t="shared" ref="T25:T41" si="17">IFERROR(1*N25,0)</f>
        <v>0</v>
      </c>
      <c r="U25" s="1">
        <f t="shared" ref="U25:U41" si="18">IFERROR(IF(ISNUMBER(SEARCH("Not Relevant",H25)),0,VALUE(G25)),"")</f>
        <v>20</v>
      </c>
      <c r="V25" s="1">
        <f t="shared" ref="V25:V41" si="19">IFERROR(SUMIF($D:$D,D25,$U:$U),"")</f>
        <v>135</v>
      </c>
      <c r="W25" s="1">
        <f t="shared" ref="W25:W41" si="20">IF(OR(V25=0,V25=""),"",U25/V25)</f>
        <v>0.14814814814814814</v>
      </c>
      <c r="X25" s="1" t="str">
        <f t="shared" ref="X25:X41" si="21">IF(OR(M25="",W25=""),"",VALUE(M25)*W25)</f>
        <v/>
      </c>
      <c r="Y25" s="1" t="b">
        <f t="shared" ref="Y25:Y41" si="22">IFERROR(ISNUMBER(SEARCH("Not Relevant",H25)),FALSE)</f>
        <v>0</v>
      </c>
      <c r="Z25" s="1" t="str">
        <f>IF(Y25, COUNTIF($Y$2:Y25, TRUE), "")</f>
        <v/>
      </c>
      <c r="AA25" s="1">
        <f t="shared" ref="AA25:AA41" si="23">IFERROR(IF(ISNUMBER(SEARCH("Not Relevant",J25)),0,VALUE(G25)),"")</f>
        <v>20</v>
      </c>
      <c r="AB25" s="1">
        <f t="shared" ref="AB25:AB41" si="24">IFERROR(SUMIF($D:$D,D25,$AA:$AA),"")</f>
        <v>135</v>
      </c>
      <c r="AC25" s="1">
        <f t="shared" ref="AC25:AC41" si="25">IF(OR(AB25=0,AB25=""),"",AA25/AB25)</f>
        <v>0.14814814814814814</v>
      </c>
      <c r="AD25" s="1" t="str">
        <f t="shared" ref="AD25:AD41" si="26">IF(OR(N25="",AC25=""),"",VALUE(N25)*AC25)</f>
        <v/>
      </c>
      <c r="AE25" s="1" t="b">
        <f t="shared" ref="AE25:AE41" si="27">IFERROR(ISNUMBER(SEARCH("Not Relevant",J25)),FALSE)</f>
        <v>0</v>
      </c>
      <c r="AF25" s="1" t="b">
        <f t="shared" ref="AF25:AF41" si="28">IF(OR(H25="",J25=""),FALSE,IF(H25&lt;&gt;J25,TRUE,FALSE))</f>
        <v>0</v>
      </c>
      <c r="AG25" s="1" t="str">
        <f>IF(AF25, COUNTIF($AF$2:AF25, TRUE), "")</f>
        <v/>
      </c>
    </row>
    <row r="26" spans="1:33" ht="57.6" hidden="1" outlineLevel="1" x14ac:dyDescent="0.3">
      <c r="A26" s="1" t="s">
        <v>91</v>
      </c>
      <c r="B26" s="1" t="s">
        <v>34</v>
      </c>
      <c r="C26" s="1" t="s">
        <v>92</v>
      </c>
      <c r="D26" s="1" t="s">
        <v>93</v>
      </c>
      <c r="E26" s="1" t="s">
        <v>98</v>
      </c>
      <c r="F26" s="4" t="s">
        <v>99</v>
      </c>
      <c r="G26" s="5">
        <v>15</v>
      </c>
      <c r="H26" s="6"/>
      <c r="I26" s="3"/>
      <c r="J26" s="6" t="str">
        <f t="shared" si="15"/>
        <v/>
      </c>
      <c r="K26" s="7"/>
      <c r="L26" s="4" t="s">
        <v>100</v>
      </c>
      <c r="M26" s="1" t="str">
        <f>IFERROR(INDEX(__key!$D:$D,MATCH(O26&amp;"|"&amp;SUBSTITUTE(H26,",",";"), __key!$E:$E, 0)), "")</f>
        <v/>
      </c>
      <c r="N26" s="1" t="str">
        <f>IFERROR(INDEX(__key!$D:$D,MATCH(O26&amp;"|"&amp;SUBSTITUTE(J26,",",";"), __key!$E:$E, 0)), "")</f>
        <v/>
      </c>
      <c r="O26" s="1" t="s">
        <v>40</v>
      </c>
      <c r="P26" s="1"/>
      <c r="Q26" s="1" t="s">
        <v>97</v>
      </c>
      <c r="R26" s="1">
        <v>1312</v>
      </c>
      <c r="S26" s="1">
        <f t="shared" si="16"/>
        <v>0</v>
      </c>
      <c r="T26" s="1">
        <f t="shared" si="17"/>
        <v>0</v>
      </c>
      <c r="U26" s="1">
        <f t="shared" si="18"/>
        <v>15</v>
      </c>
      <c r="V26" s="1">
        <f t="shared" si="19"/>
        <v>135</v>
      </c>
      <c r="W26" s="1">
        <f t="shared" si="20"/>
        <v>0.1111111111111111</v>
      </c>
      <c r="X26" s="1" t="str">
        <f t="shared" si="21"/>
        <v/>
      </c>
      <c r="Y26" s="1" t="b">
        <f t="shared" si="22"/>
        <v>0</v>
      </c>
      <c r="Z26" s="1" t="str">
        <f>IF(Y26, COUNTIF($Y$2:Y26, TRUE), "")</f>
        <v/>
      </c>
      <c r="AA26" s="1">
        <f t="shared" si="23"/>
        <v>15</v>
      </c>
      <c r="AB26" s="1">
        <f t="shared" si="24"/>
        <v>135</v>
      </c>
      <c r="AC26" s="1">
        <f t="shared" si="25"/>
        <v>0.1111111111111111</v>
      </c>
      <c r="AD26" s="1" t="str">
        <f t="shared" si="26"/>
        <v/>
      </c>
      <c r="AE26" s="1" t="b">
        <f t="shared" si="27"/>
        <v>0</v>
      </c>
      <c r="AF26" s="1" t="b">
        <f t="shared" si="28"/>
        <v>0</v>
      </c>
      <c r="AG26" s="1" t="str">
        <f>IF(AF26, COUNTIF($AF$2:AF26, TRUE), "")</f>
        <v/>
      </c>
    </row>
    <row r="27" spans="1:33" ht="57.6" hidden="1" outlineLevel="1" x14ac:dyDescent="0.3">
      <c r="A27" s="1" t="s">
        <v>91</v>
      </c>
      <c r="B27" s="1" t="s">
        <v>34</v>
      </c>
      <c r="C27" s="1" t="s">
        <v>92</v>
      </c>
      <c r="D27" s="1" t="s">
        <v>93</v>
      </c>
      <c r="E27" s="1" t="s">
        <v>101</v>
      </c>
      <c r="F27" s="4" t="s">
        <v>102</v>
      </c>
      <c r="G27" s="5">
        <v>30</v>
      </c>
      <c r="H27" s="6"/>
      <c r="I27" s="3"/>
      <c r="J27" s="6" t="str">
        <f t="shared" si="15"/>
        <v/>
      </c>
      <c r="K27" s="7"/>
      <c r="L27" s="4" t="s">
        <v>103</v>
      </c>
      <c r="M27" s="1" t="str">
        <f>IFERROR(INDEX(__key!$D:$D,MATCH(O27&amp;"|"&amp;SUBSTITUTE(H27,",",";"), __key!$E:$E, 0)), "")</f>
        <v/>
      </c>
      <c r="N27" s="1" t="str">
        <f>IFERROR(INDEX(__key!$D:$D,MATCH(O27&amp;"|"&amp;SUBSTITUTE(J27,",",";"), __key!$E:$E, 0)), "")</f>
        <v/>
      </c>
      <c r="O27" s="1" t="s">
        <v>104</v>
      </c>
      <c r="P27" s="1"/>
      <c r="Q27" s="1" t="s">
        <v>97</v>
      </c>
      <c r="R27" s="1">
        <v>1313</v>
      </c>
      <c r="S27" s="1">
        <f t="shared" si="16"/>
        <v>0</v>
      </c>
      <c r="T27" s="1">
        <f t="shared" si="17"/>
        <v>0</v>
      </c>
      <c r="U27" s="1">
        <f t="shared" si="18"/>
        <v>30</v>
      </c>
      <c r="V27" s="1">
        <f t="shared" si="19"/>
        <v>135</v>
      </c>
      <c r="W27" s="1">
        <f t="shared" si="20"/>
        <v>0.22222222222222221</v>
      </c>
      <c r="X27" s="1" t="str">
        <f t="shared" si="21"/>
        <v/>
      </c>
      <c r="Y27" s="1" t="b">
        <f t="shared" si="22"/>
        <v>0</v>
      </c>
      <c r="Z27" s="1" t="str">
        <f>IF(Y27, COUNTIF($Y$2:Y27, TRUE), "")</f>
        <v/>
      </c>
      <c r="AA27" s="1">
        <f t="shared" si="23"/>
        <v>30</v>
      </c>
      <c r="AB27" s="1">
        <f t="shared" si="24"/>
        <v>135</v>
      </c>
      <c r="AC27" s="1">
        <f t="shared" si="25"/>
        <v>0.22222222222222221</v>
      </c>
      <c r="AD27" s="1" t="str">
        <f t="shared" si="26"/>
        <v/>
      </c>
      <c r="AE27" s="1" t="b">
        <f t="shared" si="27"/>
        <v>0</v>
      </c>
      <c r="AF27" s="1" t="b">
        <f t="shared" si="28"/>
        <v>0</v>
      </c>
      <c r="AG27" s="1" t="str">
        <f>IF(AF27, COUNTIF($AF$2:AF27, TRUE), "")</f>
        <v/>
      </c>
    </row>
    <row r="28" spans="1:33" ht="28.8" hidden="1" outlineLevel="1" x14ac:dyDescent="0.3">
      <c r="A28" s="1" t="s">
        <v>91</v>
      </c>
      <c r="B28" s="1" t="s">
        <v>34</v>
      </c>
      <c r="C28" s="1" t="s">
        <v>92</v>
      </c>
      <c r="D28" s="1" t="s">
        <v>93</v>
      </c>
      <c r="E28" s="1" t="s">
        <v>105</v>
      </c>
      <c r="F28" s="4" t="s">
        <v>106</v>
      </c>
      <c r="G28" s="5">
        <v>5</v>
      </c>
      <c r="H28" s="6"/>
      <c r="I28" s="3"/>
      <c r="J28" s="6" t="str">
        <f t="shared" si="15"/>
        <v/>
      </c>
      <c r="K28" s="7"/>
      <c r="L28" s="4" t="s">
        <v>107</v>
      </c>
      <c r="M28" s="1" t="str">
        <f>IFERROR(INDEX(__key!$D:$D,MATCH(O28&amp;"|"&amp;SUBSTITUTE(H28,",",";"), __key!$E:$E, 0)), "")</f>
        <v/>
      </c>
      <c r="N28" s="1" t="str">
        <f>IFERROR(INDEX(__key!$D:$D,MATCH(O28&amp;"|"&amp;SUBSTITUTE(J28,",",";"), __key!$E:$E, 0)), "")</f>
        <v/>
      </c>
      <c r="O28" s="1" t="s">
        <v>40</v>
      </c>
      <c r="P28" s="1"/>
      <c r="Q28" s="1" t="s">
        <v>97</v>
      </c>
      <c r="R28" s="1">
        <v>1314</v>
      </c>
      <c r="S28" s="1">
        <f t="shared" si="16"/>
        <v>0</v>
      </c>
      <c r="T28" s="1">
        <f t="shared" si="17"/>
        <v>0</v>
      </c>
      <c r="U28" s="1">
        <f t="shared" si="18"/>
        <v>5</v>
      </c>
      <c r="V28" s="1">
        <f t="shared" si="19"/>
        <v>135</v>
      </c>
      <c r="W28" s="1">
        <f t="shared" si="20"/>
        <v>3.7037037037037035E-2</v>
      </c>
      <c r="X28" s="1" t="str">
        <f t="shared" si="21"/>
        <v/>
      </c>
      <c r="Y28" s="1" t="b">
        <f t="shared" si="22"/>
        <v>0</v>
      </c>
      <c r="Z28" s="1" t="str">
        <f>IF(Y28, COUNTIF($Y$2:Y28, TRUE), "")</f>
        <v/>
      </c>
      <c r="AA28" s="1">
        <f t="shared" si="23"/>
        <v>5</v>
      </c>
      <c r="AB28" s="1">
        <f t="shared" si="24"/>
        <v>135</v>
      </c>
      <c r="AC28" s="1">
        <f t="shared" si="25"/>
        <v>3.7037037037037035E-2</v>
      </c>
      <c r="AD28" s="1" t="str">
        <f t="shared" si="26"/>
        <v/>
      </c>
      <c r="AE28" s="1" t="b">
        <f t="shared" si="27"/>
        <v>0</v>
      </c>
      <c r="AF28" s="1" t="b">
        <f t="shared" si="28"/>
        <v>0</v>
      </c>
      <c r="AG28" s="1" t="str">
        <f>IF(AF28, COUNTIF($AF$2:AF28, TRUE), "")</f>
        <v/>
      </c>
    </row>
    <row r="29" spans="1:33" ht="28.8" hidden="1" outlineLevel="1" x14ac:dyDescent="0.3">
      <c r="A29" s="1" t="s">
        <v>91</v>
      </c>
      <c r="B29" s="1" t="s">
        <v>34</v>
      </c>
      <c r="C29" s="1" t="s">
        <v>92</v>
      </c>
      <c r="D29" s="1" t="s">
        <v>93</v>
      </c>
      <c r="E29" s="1" t="s">
        <v>108</v>
      </c>
      <c r="F29" s="4" t="s">
        <v>109</v>
      </c>
      <c r="G29" s="5">
        <v>5</v>
      </c>
      <c r="H29" s="6"/>
      <c r="I29" s="3"/>
      <c r="J29" s="6" t="str">
        <f t="shared" si="15"/>
        <v/>
      </c>
      <c r="K29" s="7"/>
      <c r="L29" s="4" t="s">
        <v>107</v>
      </c>
      <c r="M29" s="1" t="str">
        <f>IFERROR(INDEX(__key!$D:$D,MATCH(O29&amp;"|"&amp;SUBSTITUTE(H29,",",";"), __key!$E:$E, 0)), "")</f>
        <v/>
      </c>
      <c r="N29" s="1" t="str">
        <f>IFERROR(INDEX(__key!$D:$D,MATCH(O29&amp;"|"&amp;SUBSTITUTE(J29,",",";"), __key!$E:$E, 0)), "")</f>
        <v/>
      </c>
      <c r="O29" s="1" t="s">
        <v>56</v>
      </c>
      <c r="P29" s="1"/>
      <c r="Q29" s="1" t="s">
        <v>97</v>
      </c>
      <c r="R29" s="1">
        <v>1315</v>
      </c>
      <c r="S29" s="1">
        <f t="shared" si="16"/>
        <v>0</v>
      </c>
      <c r="T29" s="1">
        <f t="shared" si="17"/>
        <v>0</v>
      </c>
      <c r="U29" s="1">
        <f t="shared" si="18"/>
        <v>5</v>
      </c>
      <c r="V29" s="1">
        <f t="shared" si="19"/>
        <v>135</v>
      </c>
      <c r="W29" s="1">
        <f t="shared" si="20"/>
        <v>3.7037037037037035E-2</v>
      </c>
      <c r="X29" s="1" t="str">
        <f t="shared" si="21"/>
        <v/>
      </c>
      <c r="Y29" s="1" t="b">
        <f t="shared" si="22"/>
        <v>0</v>
      </c>
      <c r="Z29" s="1" t="str">
        <f>IF(Y29, COUNTIF($Y$2:Y29, TRUE), "")</f>
        <v/>
      </c>
      <c r="AA29" s="1">
        <f t="shared" si="23"/>
        <v>5</v>
      </c>
      <c r="AB29" s="1">
        <f t="shared" si="24"/>
        <v>135</v>
      </c>
      <c r="AC29" s="1">
        <f t="shared" si="25"/>
        <v>3.7037037037037035E-2</v>
      </c>
      <c r="AD29" s="1" t="str">
        <f t="shared" si="26"/>
        <v/>
      </c>
      <c r="AE29" s="1" t="b">
        <f t="shared" si="27"/>
        <v>0</v>
      </c>
      <c r="AF29" s="1" t="b">
        <f t="shared" si="28"/>
        <v>0</v>
      </c>
      <c r="AG29" s="1" t="str">
        <f>IF(AF29, COUNTIF($AF$2:AF29, TRUE), "")</f>
        <v/>
      </c>
    </row>
    <row r="30" spans="1:33" ht="28.8" hidden="1" outlineLevel="1" x14ac:dyDescent="0.3">
      <c r="A30" s="1" t="s">
        <v>91</v>
      </c>
      <c r="B30" s="1" t="s">
        <v>34</v>
      </c>
      <c r="C30" s="1" t="s">
        <v>92</v>
      </c>
      <c r="D30" s="1" t="s">
        <v>93</v>
      </c>
      <c r="E30" s="1" t="s">
        <v>110</v>
      </c>
      <c r="F30" s="4" t="s">
        <v>111</v>
      </c>
      <c r="G30" s="5">
        <v>5</v>
      </c>
      <c r="H30" s="6"/>
      <c r="I30" s="3"/>
      <c r="J30" s="6" t="str">
        <f t="shared" si="15"/>
        <v/>
      </c>
      <c r="K30" s="7"/>
      <c r="L30" s="4" t="s">
        <v>107</v>
      </c>
      <c r="M30" s="1" t="str">
        <f>IFERROR(INDEX(__key!$D:$D,MATCH(O30&amp;"|"&amp;SUBSTITUTE(H30,",",";"), __key!$E:$E, 0)), "")</f>
        <v/>
      </c>
      <c r="N30" s="1" t="str">
        <f>IFERROR(INDEX(__key!$D:$D,MATCH(O30&amp;"|"&amp;SUBSTITUTE(J30,",",";"), __key!$E:$E, 0)), "")</f>
        <v/>
      </c>
      <c r="O30" s="1" t="s">
        <v>40</v>
      </c>
      <c r="P30" s="1"/>
      <c r="Q30" s="1" t="s">
        <v>97</v>
      </c>
      <c r="R30" s="1">
        <v>1316</v>
      </c>
      <c r="S30" s="1">
        <f t="shared" si="16"/>
        <v>0</v>
      </c>
      <c r="T30" s="1">
        <f t="shared" si="17"/>
        <v>0</v>
      </c>
      <c r="U30" s="1">
        <f t="shared" si="18"/>
        <v>5</v>
      </c>
      <c r="V30" s="1">
        <f t="shared" si="19"/>
        <v>135</v>
      </c>
      <c r="W30" s="1">
        <f t="shared" si="20"/>
        <v>3.7037037037037035E-2</v>
      </c>
      <c r="X30" s="1" t="str">
        <f t="shared" si="21"/>
        <v/>
      </c>
      <c r="Y30" s="1" t="b">
        <f t="shared" si="22"/>
        <v>0</v>
      </c>
      <c r="Z30" s="1" t="str">
        <f>IF(Y30, COUNTIF($Y$2:Y30, TRUE), "")</f>
        <v/>
      </c>
      <c r="AA30" s="1">
        <f t="shared" si="23"/>
        <v>5</v>
      </c>
      <c r="AB30" s="1">
        <f t="shared" si="24"/>
        <v>135</v>
      </c>
      <c r="AC30" s="1">
        <f t="shared" si="25"/>
        <v>3.7037037037037035E-2</v>
      </c>
      <c r="AD30" s="1" t="str">
        <f t="shared" si="26"/>
        <v/>
      </c>
      <c r="AE30" s="1" t="b">
        <f t="shared" si="27"/>
        <v>0</v>
      </c>
      <c r="AF30" s="1" t="b">
        <f t="shared" si="28"/>
        <v>0</v>
      </c>
      <c r="AG30" s="1" t="str">
        <f>IF(AF30, COUNTIF($AF$2:AF30, TRUE), "")</f>
        <v/>
      </c>
    </row>
    <row r="31" spans="1:33" ht="28.8" hidden="1" outlineLevel="1" x14ac:dyDescent="0.3">
      <c r="A31" s="1" t="s">
        <v>91</v>
      </c>
      <c r="B31" s="1" t="s">
        <v>34</v>
      </c>
      <c r="C31" s="1" t="s">
        <v>92</v>
      </c>
      <c r="D31" s="1" t="s">
        <v>93</v>
      </c>
      <c r="E31" s="1" t="s">
        <v>112</v>
      </c>
      <c r="F31" s="4" t="s">
        <v>113</v>
      </c>
      <c r="G31" s="5">
        <v>5</v>
      </c>
      <c r="H31" s="6"/>
      <c r="I31" s="3"/>
      <c r="J31" s="6" t="str">
        <f t="shared" si="15"/>
        <v/>
      </c>
      <c r="K31" s="7"/>
      <c r="L31" s="4" t="s">
        <v>107</v>
      </c>
      <c r="M31" s="1" t="str">
        <f>IFERROR(INDEX(__key!$D:$D,MATCH(O31&amp;"|"&amp;SUBSTITUTE(H31,",",";"), __key!$E:$E, 0)), "")</f>
        <v/>
      </c>
      <c r="N31" s="1" t="str">
        <f>IFERROR(INDEX(__key!$D:$D,MATCH(O31&amp;"|"&amp;SUBSTITUTE(J31,",",";"), __key!$E:$E, 0)), "")</f>
        <v/>
      </c>
      <c r="O31" s="1" t="s">
        <v>56</v>
      </c>
      <c r="P31" s="1"/>
      <c r="Q31" s="1" t="s">
        <v>97</v>
      </c>
      <c r="R31" s="1">
        <v>1317</v>
      </c>
      <c r="S31" s="1">
        <f t="shared" si="16"/>
        <v>0</v>
      </c>
      <c r="T31" s="1">
        <f t="shared" si="17"/>
        <v>0</v>
      </c>
      <c r="U31" s="1">
        <f t="shared" si="18"/>
        <v>5</v>
      </c>
      <c r="V31" s="1">
        <f t="shared" si="19"/>
        <v>135</v>
      </c>
      <c r="W31" s="1">
        <f t="shared" si="20"/>
        <v>3.7037037037037035E-2</v>
      </c>
      <c r="X31" s="1" t="str">
        <f t="shared" si="21"/>
        <v/>
      </c>
      <c r="Y31" s="1" t="b">
        <f t="shared" si="22"/>
        <v>0</v>
      </c>
      <c r="Z31" s="1" t="str">
        <f>IF(Y31, COUNTIF($Y$2:Y31, TRUE), "")</f>
        <v/>
      </c>
      <c r="AA31" s="1">
        <f t="shared" si="23"/>
        <v>5</v>
      </c>
      <c r="AB31" s="1">
        <f t="shared" si="24"/>
        <v>135</v>
      </c>
      <c r="AC31" s="1">
        <f t="shared" si="25"/>
        <v>3.7037037037037035E-2</v>
      </c>
      <c r="AD31" s="1" t="str">
        <f t="shared" si="26"/>
        <v/>
      </c>
      <c r="AE31" s="1" t="b">
        <f t="shared" si="27"/>
        <v>0</v>
      </c>
      <c r="AF31" s="1" t="b">
        <f t="shared" si="28"/>
        <v>0</v>
      </c>
      <c r="AG31" s="1" t="str">
        <f>IF(AF31, COUNTIF($AF$2:AF31, TRUE), "")</f>
        <v/>
      </c>
    </row>
    <row r="32" spans="1:33" ht="28.8" hidden="1" outlineLevel="1" x14ac:dyDescent="0.3">
      <c r="A32" s="1" t="s">
        <v>91</v>
      </c>
      <c r="B32" s="1" t="s">
        <v>34</v>
      </c>
      <c r="C32" s="1" t="s">
        <v>92</v>
      </c>
      <c r="D32" s="1" t="s">
        <v>93</v>
      </c>
      <c r="E32" s="1" t="s">
        <v>114</v>
      </c>
      <c r="F32" s="4" t="s">
        <v>115</v>
      </c>
      <c r="G32" s="5">
        <v>5</v>
      </c>
      <c r="H32" s="6"/>
      <c r="I32" s="3"/>
      <c r="J32" s="6" t="str">
        <f t="shared" si="15"/>
        <v/>
      </c>
      <c r="K32" s="7"/>
      <c r="L32" s="4" t="s">
        <v>107</v>
      </c>
      <c r="M32" s="1" t="str">
        <f>IFERROR(INDEX(__key!$D:$D,MATCH(O32&amp;"|"&amp;SUBSTITUTE(H32,",",";"), __key!$E:$E, 0)), "")</f>
        <v/>
      </c>
      <c r="N32" s="1" t="str">
        <f>IFERROR(INDEX(__key!$D:$D,MATCH(O32&amp;"|"&amp;SUBSTITUTE(J32,",",";"), __key!$E:$E, 0)), "")</f>
        <v/>
      </c>
      <c r="O32" s="1" t="s">
        <v>40</v>
      </c>
      <c r="P32" s="1"/>
      <c r="Q32" s="1" t="s">
        <v>97</v>
      </c>
      <c r="R32" s="1">
        <v>1318</v>
      </c>
      <c r="S32" s="1">
        <f t="shared" si="16"/>
        <v>0</v>
      </c>
      <c r="T32" s="1">
        <f t="shared" si="17"/>
        <v>0</v>
      </c>
      <c r="U32" s="1">
        <f t="shared" si="18"/>
        <v>5</v>
      </c>
      <c r="V32" s="1">
        <f t="shared" si="19"/>
        <v>135</v>
      </c>
      <c r="W32" s="1">
        <f t="shared" si="20"/>
        <v>3.7037037037037035E-2</v>
      </c>
      <c r="X32" s="1" t="str">
        <f t="shared" si="21"/>
        <v/>
      </c>
      <c r="Y32" s="1" t="b">
        <f t="shared" si="22"/>
        <v>0</v>
      </c>
      <c r="Z32" s="1" t="str">
        <f>IF(Y32, COUNTIF($Y$2:Y32, TRUE), "")</f>
        <v/>
      </c>
      <c r="AA32" s="1">
        <f t="shared" si="23"/>
        <v>5</v>
      </c>
      <c r="AB32" s="1">
        <f t="shared" si="24"/>
        <v>135</v>
      </c>
      <c r="AC32" s="1">
        <f t="shared" si="25"/>
        <v>3.7037037037037035E-2</v>
      </c>
      <c r="AD32" s="1" t="str">
        <f t="shared" si="26"/>
        <v/>
      </c>
      <c r="AE32" s="1" t="b">
        <f t="shared" si="27"/>
        <v>0</v>
      </c>
      <c r="AF32" s="1" t="b">
        <f t="shared" si="28"/>
        <v>0</v>
      </c>
      <c r="AG32" s="1" t="str">
        <f>IF(AF32, COUNTIF($AF$2:AF32, TRUE), "")</f>
        <v/>
      </c>
    </row>
    <row r="33" spans="1:33" ht="28.8" hidden="1" outlineLevel="1" x14ac:dyDescent="0.3">
      <c r="A33" s="1" t="s">
        <v>91</v>
      </c>
      <c r="B33" s="1" t="s">
        <v>34</v>
      </c>
      <c r="C33" s="1" t="s">
        <v>92</v>
      </c>
      <c r="D33" s="1" t="s">
        <v>93</v>
      </c>
      <c r="E33" s="1" t="s">
        <v>116</v>
      </c>
      <c r="F33" s="4" t="s">
        <v>117</v>
      </c>
      <c r="G33" s="5">
        <v>5</v>
      </c>
      <c r="H33" s="6"/>
      <c r="I33" s="3"/>
      <c r="J33" s="6" t="str">
        <f t="shared" si="15"/>
        <v/>
      </c>
      <c r="K33" s="7"/>
      <c r="L33" s="4" t="s">
        <v>107</v>
      </c>
      <c r="M33" s="1" t="str">
        <f>IFERROR(INDEX(__key!$D:$D,MATCH(O33&amp;"|"&amp;SUBSTITUTE(H33,",",";"), __key!$E:$E, 0)), "")</f>
        <v/>
      </c>
      <c r="N33" s="1" t="str">
        <f>IFERROR(INDEX(__key!$D:$D,MATCH(O33&amp;"|"&amp;SUBSTITUTE(J33,",",";"), __key!$E:$E, 0)), "")</f>
        <v/>
      </c>
      <c r="O33" s="1" t="s">
        <v>56</v>
      </c>
      <c r="P33" s="1"/>
      <c r="Q33" s="1" t="s">
        <v>97</v>
      </c>
      <c r="R33" s="1">
        <v>1319</v>
      </c>
      <c r="S33" s="1">
        <f t="shared" si="16"/>
        <v>0</v>
      </c>
      <c r="T33" s="1">
        <f t="shared" si="17"/>
        <v>0</v>
      </c>
      <c r="U33" s="1">
        <f t="shared" si="18"/>
        <v>5</v>
      </c>
      <c r="V33" s="1">
        <f t="shared" si="19"/>
        <v>135</v>
      </c>
      <c r="W33" s="1">
        <f t="shared" si="20"/>
        <v>3.7037037037037035E-2</v>
      </c>
      <c r="X33" s="1" t="str">
        <f t="shared" si="21"/>
        <v/>
      </c>
      <c r="Y33" s="1" t="b">
        <f t="shared" si="22"/>
        <v>0</v>
      </c>
      <c r="Z33" s="1" t="str">
        <f>IF(Y33, COUNTIF($Y$2:Y33, TRUE), "")</f>
        <v/>
      </c>
      <c r="AA33" s="1">
        <f t="shared" si="23"/>
        <v>5</v>
      </c>
      <c r="AB33" s="1">
        <f t="shared" si="24"/>
        <v>135</v>
      </c>
      <c r="AC33" s="1">
        <f t="shared" si="25"/>
        <v>3.7037037037037035E-2</v>
      </c>
      <c r="AD33" s="1" t="str">
        <f t="shared" si="26"/>
        <v/>
      </c>
      <c r="AE33" s="1" t="b">
        <f t="shared" si="27"/>
        <v>0</v>
      </c>
      <c r="AF33" s="1" t="b">
        <f t="shared" si="28"/>
        <v>0</v>
      </c>
      <c r="AG33" s="1" t="str">
        <f>IF(AF33, COUNTIF($AF$2:AF33, TRUE), "")</f>
        <v/>
      </c>
    </row>
    <row r="34" spans="1:33" ht="28.8" hidden="1" outlineLevel="1" x14ac:dyDescent="0.3">
      <c r="A34" s="1" t="s">
        <v>91</v>
      </c>
      <c r="B34" s="1" t="s">
        <v>34</v>
      </c>
      <c r="C34" s="1" t="s">
        <v>92</v>
      </c>
      <c r="D34" s="1" t="s">
        <v>93</v>
      </c>
      <c r="E34" s="1" t="s">
        <v>118</v>
      </c>
      <c r="F34" s="4" t="s">
        <v>119</v>
      </c>
      <c r="G34" s="5">
        <v>5</v>
      </c>
      <c r="H34" s="6"/>
      <c r="I34" s="3"/>
      <c r="J34" s="6" t="str">
        <f t="shared" si="15"/>
        <v/>
      </c>
      <c r="K34" s="7"/>
      <c r="L34" s="4" t="s">
        <v>107</v>
      </c>
      <c r="M34" s="1" t="str">
        <f>IFERROR(INDEX(__key!$D:$D,MATCH(O34&amp;"|"&amp;SUBSTITUTE(H34,",",";"), __key!$E:$E, 0)), "")</f>
        <v/>
      </c>
      <c r="N34" s="1" t="str">
        <f>IFERROR(INDEX(__key!$D:$D,MATCH(O34&amp;"|"&amp;SUBSTITUTE(J34,",",";"), __key!$E:$E, 0)), "")</f>
        <v/>
      </c>
      <c r="O34" s="1" t="s">
        <v>40</v>
      </c>
      <c r="P34" s="1"/>
      <c r="Q34" s="1" t="s">
        <v>97</v>
      </c>
      <c r="R34" s="1">
        <v>13110</v>
      </c>
      <c r="S34" s="1">
        <f t="shared" si="16"/>
        <v>0</v>
      </c>
      <c r="T34" s="1">
        <f t="shared" si="17"/>
        <v>0</v>
      </c>
      <c r="U34" s="1">
        <f t="shared" si="18"/>
        <v>5</v>
      </c>
      <c r="V34" s="1">
        <f t="shared" si="19"/>
        <v>135</v>
      </c>
      <c r="W34" s="1">
        <f t="shared" si="20"/>
        <v>3.7037037037037035E-2</v>
      </c>
      <c r="X34" s="1" t="str">
        <f t="shared" si="21"/>
        <v/>
      </c>
      <c r="Y34" s="1" t="b">
        <f t="shared" si="22"/>
        <v>0</v>
      </c>
      <c r="Z34" s="1" t="str">
        <f>IF(Y34, COUNTIF($Y$2:Y34, TRUE), "")</f>
        <v/>
      </c>
      <c r="AA34" s="1">
        <f t="shared" si="23"/>
        <v>5</v>
      </c>
      <c r="AB34" s="1">
        <f t="shared" si="24"/>
        <v>135</v>
      </c>
      <c r="AC34" s="1">
        <f t="shared" si="25"/>
        <v>3.7037037037037035E-2</v>
      </c>
      <c r="AD34" s="1" t="str">
        <f t="shared" si="26"/>
        <v/>
      </c>
      <c r="AE34" s="1" t="b">
        <f t="shared" si="27"/>
        <v>0</v>
      </c>
      <c r="AF34" s="1" t="b">
        <f t="shared" si="28"/>
        <v>0</v>
      </c>
      <c r="AG34" s="1" t="str">
        <f>IF(AF34, COUNTIF($AF$2:AF34, TRUE), "")</f>
        <v/>
      </c>
    </row>
    <row r="35" spans="1:33" ht="28.8" hidden="1" outlineLevel="1" x14ac:dyDescent="0.3">
      <c r="A35" s="1" t="s">
        <v>91</v>
      </c>
      <c r="B35" s="1" t="s">
        <v>34</v>
      </c>
      <c r="C35" s="1" t="s">
        <v>92</v>
      </c>
      <c r="D35" s="1" t="s">
        <v>93</v>
      </c>
      <c r="E35" s="1" t="s">
        <v>120</v>
      </c>
      <c r="F35" s="4" t="s">
        <v>121</v>
      </c>
      <c r="G35" s="5">
        <v>5</v>
      </c>
      <c r="H35" s="6"/>
      <c r="I35" s="3"/>
      <c r="J35" s="6" t="str">
        <f t="shared" si="15"/>
        <v/>
      </c>
      <c r="K35" s="7"/>
      <c r="L35" s="4" t="s">
        <v>107</v>
      </c>
      <c r="M35" s="1" t="str">
        <f>IFERROR(INDEX(__key!$D:$D,MATCH(O35&amp;"|"&amp;SUBSTITUTE(H35,",",";"), __key!$E:$E, 0)), "")</f>
        <v/>
      </c>
      <c r="N35" s="1" t="str">
        <f>IFERROR(INDEX(__key!$D:$D,MATCH(O35&amp;"|"&amp;SUBSTITUTE(J35,",",";"), __key!$E:$E, 0)), "")</f>
        <v/>
      </c>
      <c r="O35" s="1" t="s">
        <v>56</v>
      </c>
      <c r="P35" s="1"/>
      <c r="Q35" s="1" t="s">
        <v>97</v>
      </c>
      <c r="R35" s="1">
        <v>13111</v>
      </c>
      <c r="S35" s="1">
        <f t="shared" si="16"/>
        <v>0</v>
      </c>
      <c r="T35" s="1">
        <f t="shared" si="17"/>
        <v>0</v>
      </c>
      <c r="U35" s="1">
        <f t="shared" si="18"/>
        <v>5</v>
      </c>
      <c r="V35" s="1">
        <f t="shared" si="19"/>
        <v>135</v>
      </c>
      <c r="W35" s="1">
        <f t="shared" si="20"/>
        <v>3.7037037037037035E-2</v>
      </c>
      <c r="X35" s="1" t="str">
        <f t="shared" si="21"/>
        <v/>
      </c>
      <c r="Y35" s="1" t="b">
        <f t="shared" si="22"/>
        <v>0</v>
      </c>
      <c r="Z35" s="1" t="str">
        <f>IF(Y35, COUNTIF($Y$2:Y35, TRUE), "")</f>
        <v/>
      </c>
      <c r="AA35" s="1">
        <f t="shared" si="23"/>
        <v>5</v>
      </c>
      <c r="AB35" s="1">
        <f t="shared" si="24"/>
        <v>135</v>
      </c>
      <c r="AC35" s="1">
        <f t="shared" si="25"/>
        <v>3.7037037037037035E-2</v>
      </c>
      <c r="AD35" s="1" t="str">
        <f t="shared" si="26"/>
        <v/>
      </c>
      <c r="AE35" s="1" t="b">
        <f t="shared" si="27"/>
        <v>0</v>
      </c>
      <c r="AF35" s="1" t="b">
        <f t="shared" si="28"/>
        <v>0</v>
      </c>
      <c r="AG35" s="1" t="str">
        <f>IF(AF35, COUNTIF($AF$2:AF35, TRUE), "")</f>
        <v/>
      </c>
    </row>
    <row r="36" spans="1:33" ht="28.8" hidden="1" outlineLevel="1" x14ac:dyDescent="0.3">
      <c r="A36" s="1" t="s">
        <v>91</v>
      </c>
      <c r="B36" s="1" t="s">
        <v>34</v>
      </c>
      <c r="C36" s="1" t="s">
        <v>92</v>
      </c>
      <c r="D36" s="1" t="s">
        <v>93</v>
      </c>
      <c r="E36" s="1" t="s">
        <v>122</v>
      </c>
      <c r="F36" s="4" t="s">
        <v>123</v>
      </c>
      <c r="G36" s="5">
        <v>5</v>
      </c>
      <c r="H36" s="6"/>
      <c r="I36" s="3"/>
      <c r="J36" s="6" t="str">
        <f t="shared" si="15"/>
        <v/>
      </c>
      <c r="K36" s="7"/>
      <c r="L36" s="4" t="s">
        <v>107</v>
      </c>
      <c r="M36" s="1" t="str">
        <f>IFERROR(INDEX(__key!$D:$D,MATCH(O36&amp;"|"&amp;SUBSTITUTE(H36,",",";"), __key!$E:$E, 0)), "")</f>
        <v/>
      </c>
      <c r="N36" s="1" t="str">
        <f>IFERROR(INDEX(__key!$D:$D,MATCH(O36&amp;"|"&amp;SUBSTITUTE(J36,",",";"), __key!$E:$E, 0)), "")</f>
        <v/>
      </c>
      <c r="O36" s="1" t="s">
        <v>40</v>
      </c>
      <c r="P36" s="1"/>
      <c r="Q36" s="1" t="s">
        <v>97</v>
      </c>
      <c r="R36" s="1">
        <v>13112</v>
      </c>
      <c r="S36" s="1">
        <f t="shared" si="16"/>
        <v>0</v>
      </c>
      <c r="T36" s="1">
        <f t="shared" si="17"/>
        <v>0</v>
      </c>
      <c r="U36" s="1">
        <f t="shared" si="18"/>
        <v>5</v>
      </c>
      <c r="V36" s="1">
        <f t="shared" si="19"/>
        <v>135</v>
      </c>
      <c r="W36" s="1">
        <f t="shared" si="20"/>
        <v>3.7037037037037035E-2</v>
      </c>
      <c r="X36" s="1" t="str">
        <f t="shared" si="21"/>
        <v/>
      </c>
      <c r="Y36" s="1" t="b">
        <f t="shared" si="22"/>
        <v>0</v>
      </c>
      <c r="Z36" s="1" t="str">
        <f>IF(Y36, COUNTIF($Y$2:Y36, TRUE), "")</f>
        <v/>
      </c>
      <c r="AA36" s="1">
        <f t="shared" si="23"/>
        <v>5</v>
      </c>
      <c r="AB36" s="1">
        <f t="shared" si="24"/>
        <v>135</v>
      </c>
      <c r="AC36" s="1">
        <f t="shared" si="25"/>
        <v>3.7037037037037035E-2</v>
      </c>
      <c r="AD36" s="1" t="str">
        <f t="shared" si="26"/>
        <v/>
      </c>
      <c r="AE36" s="1" t="b">
        <f t="shared" si="27"/>
        <v>0</v>
      </c>
      <c r="AF36" s="1" t="b">
        <f t="shared" si="28"/>
        <v>0</v>
      </c>
      <c r="AG36" s="1" t="str">
        <f>IF(AF36, COUNTIF($AF$2:AF36, TRUE), "")</f>
        <v/>
      </c>
    </row>
    <row r="37" spans="1:33" ht="28.8" hidden="1" outlineLevel="1" x14ac:dyDescent="0.3">
      <c r="A37" s="1" t="s">
        <v>91</v>
      </c>
      <c r="B37" s="1" t="s">
        <v>34</v>
      </c>
      <c r="C37" s="1" t="s">
        <v>92</v>
      </c>
      <c r="D37" s="1" t="s">
        <v>93</v>
      </c>
      <c r="E37" s="1" t="s">
        <v>124</v>
      </c>
      <c r="F37" s="4" t="s">
        <v>125</v>
      </c>
      <c r="G37" s="5">
        <v>5</v>
      </c>
      <c r="H37" s="6"/>
      <c r="I37" s="3"/>
      <c r="J37" s="6" t="str">
        <f t="shared" si="15"/>
        <v/>
      </c>
      <c r="K37" s="7"/>
      <c r="L37" s="4" t="s">
        <v>107</v>
      </c>
      <c r="M37" s="1" t="str">
        <f>IFERROR(INDEX(__key!$D:$D,MATCH(O37&amp;"|"&amp;SUBSTITUTE(H37,",",";"), __key!$E:$E, 0)), "")</f>
        <v/>
      </c>
      <c r="N37" s="1" t="str">
        <f>IFERROR(INDEX(__key!$D:$D,MATCH(O37&amp;"|"&amp;SUBSTITUTE(J37,",",";"), __key!$E:$E, 0)), "")</f>
        <v/>
      </c>
      <c r="O37" s="1" t="s">
        <v>56</v>
      </c>
      <c r="P37" s="1"/>
      <c r="Q37" s="1" t="s">
        <v>97</v>
      </c>
      <c r="R37" s="1">
        <v>13113</v>
      </c>
      <c r="S37" s="1">
        <f t="shared" si="16"/>
        <v>0</v>
      </c>
      <c r="T37" s="1">
        <f t="shared" si="17"/>
        <v>0</v>
      </c>
      <c r="U37" s="1">
        <f t="shared" si="18"/>
        <v>5</v>
      </c>
      <c r="V37" s="1">
        <f t="shared" si="19"/>
        <v>135</v>
      </c>
      <c r="W37" s="1">
        <f t="shared" si="20"/>
        <v>3.7037037037037035E-2</v>
      </c>
      <c r="X37" s="1" t="str">
        <f t="shared" si="21"/>
        <v/>
      </c>
      <c r="Y37" s="1" t="b">
        <f t="shared" si="22"/>
        <v>0</v>
      </c>
      <c r="Z37" s="1" t="str">
        <f>IF(Y37, COUNTIF($Y$2:Y37, TRUE), "")</f>
        <v/>
      </c>
      <c r="AA37" s="1">
        <f t="shared" si="23"/>
        <v>5</v>
      </c>
      <c r="AB37" s="1">
        <f t="shared" si="24"/>
        <v>135</v>
      </c>
      <c r="AC37" s="1">
        <f t="shared" si="25"/>
        <v>3.7037037037037035E-2</v>
      </c>
      <c r="AD37" s="1" t="str">
        <f t="shared" si="26"/>
        <v/>
      </c>
      <c r="AE37" s="1" t="b">
        <f t="shared" si="27"/>
        <v>0</v>
      </c>
      <c r="AF37" s="1" t="b">
        <f t="shared" si="28"/>
        <v>0</v>
      </c>
      <c r="AG37" s="1" t="str">
        <f>IF(AF37, COUNTIF($AF$2:AF37, TRUE), "")</f>
        <v/>
      </c>
    </row>
    <row r="38" spans="1:33" ht="28.8" hidden="1" outlineLevel="1" x14ac:dyDescent="0.3">
      <c r="A38" s="1" t="s">
        <v>91</v>
      </c>
      <c r="B38" s="1" t="s">
        <v>34</v>
      </c>
      <c r="C38" s="1" t="s">
        <v>92</v>
      </c>
      <c r="D38" s="1" t="s">
        <v>93</v>
      </c>
      <c r="E38" s="1" t="s">
        <v>126</v>
      </c>
      <c r="F38" s="4" t="s">
        <v>127</v>
      </c>
      <c r="G38" s="5">
        <v>5</v>
      </c>
      <c r="H38" s="6"/>
      <c r="I38" s="3"/>
      <c r="J38" s="6" t="str">
        <f t="shared" si="15"/>
        <v/>
      </c>
      <c r="K38" s="7"/>
      <c r="L38" s="4" t="s">
        <v>107</v>
      </c>
      <c r="M38" s="1" t="str">
        <f>IFERROR(INDEX(__key!$D:$D,MATCH(O38&amp;"|"&amp;SUBSTITUTE(H38,",",";"), __key!$E:$E, 0)), "")</f>
        <v/>
      </c>
      <c r="N38" s="1" t="str">
        <f>IFERROR(INDEX(__key!$D:$D,MATCH(O38&amp;"|"&amp;SUBSTITUTE(J38,",",";"), __key!$E:$E, 0)), "")</f>
        <v/>
      </c>
      <c r="O38" s="1" t="s">
        <v>40</v>
      </c>
      <c r="P38" s="1"/>
      <c r="Q38" s="1" t="s">
        <v>97</v>
      </c>
      <c r="R38" s="1">
        <v>13114</v>
      </c>
      <c r="S38" s="1">
        <f t="shared" si="16"/>
        <v>0</v>
      </c>
      <c r="T38" s="1">
        <f t="shared" si="17"/>
        <v>0</v>
      </c>
      <c r="U38" s="1">
        <f t="shared" si="18"/>
        <v>5</v>
      </c>
      <c r="V38" s="1">
        <f t="shared" si="19"/>
        <v>135</v>
      </c>
      <c r="W38" s="1">
        <f t="shared" si="20"/>
        <v>3.7037037037037035E-2</v>
      </c>
      <c r="X38" s="1" t="str">
        <f t="shared" si="21"/>
        <v/>
      </c>
      <c r="Y38" s="1" t="b">
        <f t="shared" si="22"/>
        <v>0</v>
      </c>
      <c r="Z38" s="1" t="str">
        <f>IF(Y38, COUNTIF($Y$2:Y38, TRUE), "")</f>
        <v/>
      </c>
      <c r="AA38" s="1">
        <f t="shared" si="23"/>
        <v>5</v>
      </c>
      <c r="AB38" s="1">
        <f t="shared" si="24"/>
        <v>135</v>
      </c>
      <c r="AC38" s="1">
        <f t="shared" si="25"/>
        <v>3.7037037037037035E-2</v>
      </c>
      <c r="AD38" s="1" t="str">
        <f t="shared" si="26"/>
        <v/>
      </c>
      <c r="AE38" s="1" t="b">
        <f t="shared" si="27"/>
        <v>0</v>
      </c>
      <c r="AF38" s="1" t="b">
        <f t="shared" si="28"/>
        <v>0</v>
      </c>
      <c r="AG38" s="1" t="str">
        <f>IF(AF38, COUNTIF($AF$2:AF38, TRUE), "")</f>
        <v/>
      </c>
    </row>
    <row r="39" spans="1:33" ht="28.8" hidden="1" outlineLevel="1" x14ac:dyDescent="0.3">
      <c r="A39" s="1" t="s">
        <v>91</v>
      </c>
      <c r="B39" s="1" t="s">
        <v>34</v>
      </c>
      <c r="C39" s="1" t="s">
        <v>92</v>
      </c>
      <c r="D39" s="1" t="s">
        <v>93</v>
      </c>
      <c r="E39" s="1" t="s">
        <v>128</v>
      </c>
      <c r="F39" s="4" t="s">
        <v>129</v>
      </c>
      <c r="G39" s="5">
        <v>5</v>
      </c>
      <c r="H39" s="6"/>
      <c r="I39" s="3"/>
      <c r="J39" s="6" t="str">
        <f t="shared" si="15"/>
        <v/>
      </c>
      <c r="K39" s="7"/>
      <c r="L39" s="4" t="s">
        <v>107</v>
      </c>
      <c r="M39" s="1" t="str">
        <f>IFERROR(INDEX(__key!$D:$D,MATCH(O39&amp;"|"&amp;SUBSTITUTE(H39,",",";"), __key!$E:$E, 0)), "")</f>
        <v/>
      </c>
      <c r="N39" s="1" t="str">
        <f>IFERROR(INDEX(__key!$D:$D,MATCH(O39&amp;"|"&amp;SUBSTITUTE(J39,",",";"), __key!$E:$E, 0)), "")</f>
        <v/>
      </c>
      <c r="O39" s="1" t="s">
        <v>56</v>
      </c>
      <c r="P39" s="1"/>
      <c r="Q39" s="1" t="s">
        <v>97</v>
      </c>
      <c r="R39" s="1">
        <v>13115</v>
      </c>
      <c r="S39" s="1">
        <f t="shared" si="16"/>
        <v>0</v>
      </c>
      <c r="T39" s="1">
        <f t="shared" si="17"/>
        <v>0</v>
      </c>
      <c r="U39" s="1">
        <f t="shared" si="18"/>
        <v>5</v>
      </c>
      <c r="V39" s="1">
        <f t="shared" si="19"/>
        <v>135</v>
      </c>
      <c r="W39" s="1">
        <f t="shared" si="20"/>
        <v>3.7037037037037035E-2</v>
      </c>
      <c r="X39" s="1" t="str">
        <f t="shared" si="21"/>
        <v/>
      </c>
      <c r="Y39" s="1" t="b">
        <f t="shared" si="22"/>
        <v>0</v>
      </c>
      <c r="Z39" s="1" t="str">
        <f>IF(Y39, COUNTIF($Y$2:Y39, TRUE), "")</f>
        <v/>
      </c>
      <c r="AA39" s="1">
        <f t="shared" si="23"/>
        <v>5</v>
      </c>
      <c r="AB39" s="1">
        <f t="shared" si="24"/>
        <v>135</v>
      </c>
      <c r="AC39" s="1">
        <f t="shared" si="25"/>
        <v>3.7037037037037035E-2</v>
      </c>
      <c r="AD39" s="1" t="str">
        <f t="shared" si="26"/>
        <v/>
      </c>
      <c r="AE39" s="1" t="b">
        <f t="shared" si="27"/>
        <v>0</v>
      </c>
      <c r="AF39" s="1" t="b">
        <f t="shared" si="28"/>
        <v>0</v>
      </c>
      <c r="AG39" s="1" t="str">
        <f>IF(AF39, COUNTIF($AF$2:AF39, TRUE), "")</f>
        <v/>
      </c>
    </row>
    <row r="40" spans="1:33" ht="57.6" hidden="1" outlineLevel="1" x14ac:dyDescent="0.3">
      <c r="A40" s="1" t="s">
        <v>91</v>
      </c>
      <c r="B40" s="1" t="s">
        <v>34</v>
      </c>
      <c r="C40" s="1" t="s">
        <v>92</v>
      </c>
      <c r="D40" s="1" t="s">
        <v>93</v>
      </c>
      <c r="E40" s="1" t="s">
        <v>130</v>
      </c>
      <c r="F40" s="4" t="s">
        <v>131</v>
      </c>
      <c r="G40" s="5">
        <v>5</v>
      </c>
      <c r="H40" s="6"/>
      <c r="I40" s="3"/>
      <c r="J40" s="6" t="str">
        <f t="shared" si="15"/>
        <v/>
      </c>
      <c r="K40" s="7"/>
      <c r="L40" s="4" t="s">
        <v>132</v>
      </c>
      <c r="M40" s="1" t="str">
        <f>IFERROR(INDEX(__key!$D:$D,MATCH(O40&amp;"|"&amp;SUBSTITUTE(H40,",",";"), __key!$E:$E, 0)), "")</f>
        <v/>
      </c>
      <c r="N40" s="1" t="str">
        <f>IFERROR(INDEX(__key!$D:$D,MATCH(O40&amp;"|"&amp;SUBSTITUTE(J40,",",";"), __key!$E:$E, 0)), "")</f>
        <v/>
      </c>
      <c r="O40" s="1" t="s">
        <v>40</v>
      </c>
      <c r="P40" s="1"/>
      <c r="Q40" s="1" t="s">
        <v>97</v>
      </c>
      <c r="R40" s="1">
        <v>13116</v>
      </c>
      <c r="S40" s="1">
        <f t="shared" si="16"/>
        <v>0</v>
      </c>
      <c r="T40" s="1">
        <f t="shared" si="17"/>
        <v>0</v>
      </c>
      <c r="U40" s="1">
        <f t="shared" si="18"/>
        <v>5</v>
      </c>
      <c r="V40" s="1">
        <f t="shared" si="19"/>
        <v>135</v>
      </c>
      <c r="W40" s="1">
        <f t="shared" si="20"/>
        <v>3.7037037037037035E-2</v>
      </c>
      <c r="X40" s="1" t="str">
        <f t="shared" si="21"/>
        <v/>
      </c>
      <c r="Y40" s="1" t="b">
        <f t="shared" si="22"/>
        <v>0</v>
      </c>
      <c r="Z40" s="1" t="str">
        <f>IF(Y40, COUNTIF($Y$2:Y40, TRUE), "")</f>
        <v/>
      </c>
      <c r="AA40" s="1">
        <f t="shared" si="23"/>
        <v>5</v>
      </c>
      <c r="AB40" s="1">
        <f t="shared" si="24"/>
        <v>135</v>
      </c>
      <c r="AC40" s="1">
        <f t="shared" si="25"/>
        <v>3.7037037037037035E-2</v>
      </c>
      <c r="AD40" s="1" t="str">
        <f t="shared" si="26"/>
        <v/>
      </c>
      <c r="AE40" s="1" t="b">
        <f t="shared" si="27"/>
        <v>0</v>
      </c>
      <c r="AF40" s="1" t="b">
        <f t="shared" si="28"/>
        <v>0</v>
      </c>
      <c r="AG40" s="1" t="str">
        <f>IF(AF40, COUNTIF($AF$2:AF40, TRUE), "")</f>
        <v/>
      </c>
    </row>
    <row r="41" spans="1:33" ht="72" hidden="1" outlineLevel="1" x14ac:dyDescent="0.3">
      <c r="A41" s="1" t="s">
        <v>91</v>
      </c>
      <c r="B41" s="1" t="s">
        <v>34</v>
      </c>
      <c r="C41" s="1" t="s">
        <v>92</v>
      </c>
      <c r="D41" s="1" t="s">
        <v>93</v>
      </c>
      <c r="E41" s="1" t="s">
        <v>133</v>
      </c>
      <c r="F41" s="4" t="s">
        <v>134</v>
      </c>
      <c r="G41" s="5">
        <v>5</v>
      </c>
      <c r="H41" s="6"/>
      <c r="I41" s="3"/>
      <c r="J41" s="6" t="str">
        <f t="shared" si="15"/>
        <v/>
      </c>
      <c r="K41" s="7"/>
      <c r="L41" s="4" t="s">
        <v>135</v>
      </c>
      <c r="M41" s="1" t="str">
        <f>IFERROR(INDEX(__key!$D:$D,MATCH(O41&amp;"|"&amp;SUBSTITUTE(H41,",",";"), __key!$E:$E, 0)), "")</f>
        <v/>
      </c>
      <c r="N41" s="1" t="str">
        <f>IFERROR(INDEX(__key!$D:$D,MATCH(O41&amp;"|"&amp;SUBSTITUTE(J41,",",";"), __key!$E:$E, 0)), "")</f>
        <v/>
      </c>
      <c r="O41" s="1" t="s">
        <v>40</v>
      </c>
      <c r="P41" s="1"/>
      <c r="Q41" s="1" t="s">
        <v>97</v>
      </c>
      <c r="R41" s="1">
        <v>13117</v>
      </c>
      <c r="S41" s="1">
        <f t="shared" si="16"/>
        <v>0</v>
      </c>
      <c r="T41" s="1">
        <f t="shared" si="17"/>
        <v>0</v>
      </c>
      <c r="U41" s="1">
        <f t="shared" si="18"/>
        <v>5</v>
      </c>
      <c r="V41" s="1">
        <f t="shared" si="19"/>
        <v>135</v>
      </c>
      <c r="W41" s="1">
        <f t="shared" si="20"/>
        <v>3.7037037037037035E-2</v>
      </c>
      <c r="X41" s="1" t="str">
        <f t="shared" si="21"/>
        <v/>
      </c>
      <c r="Y41" s="1" t="b">
        <f t="shared" si="22"/>
        <v>0</v>
      </c>
      <c r="Z41" s="1" t="str">
        <f>IF(Y41, COUNTIF($Y$2:Y41, TRUE), "")</f>
        <v/>
      </c>
      <c r="AA41" s="1">
        <f t="shared" si="23"/>
        <v>5</v>
      </c>
      <c r="AB41" s="1">
        <f t="shared" si="24"/>
        <v>135</v>
      </c>
      <c r="AC41" s="1">
        <f t="shared" si="25"/>
        <v>3.7037037037037035E-2</v>
      </c>
      <c r="AD41" s="1" t="str">
        <f t="shared" si="26"/>
        <v/>
      </c>
      <c r="AE41" s="1" t="b">
        <f t="shared" si="27"/>
        <v>0</v>
      </c>
      <c r="AF41" s="1" t="b">
        <f t="shared" si="28"/>
        <v>0</v>
      </c>
      <c r="AG41" s="1" t="str">
        <f>IF(AF41, COUNTIF($AF$2:AF41, TRUE), "")</f>
        <v/>
      </c>
    </row>
    <row r="42" spans="1:33" ht="30" customHeight="1" collapsed="1" x14ac:dyDescent="0.3">
      <c r="A42" s="1"/>
      <c r="B42" s="1"/>
      <c r="C42" s="1"/>
      <c r="D42" s="1"/>
      <c r="E42" s="1"/>
      <c r="F42" s="14" t="s">
        <v>136</v>
      </c>
      <c r="G42" s="15"/>
      <c r="H42" s="14"/>
      <c r="I42" s="14"/>
      <c r="J42" s="14"/>
      <c r="K42" s="14"/>
      <c r="L42" s="14"/>
      <c r="M42" s="1"/>
      <c r="N42" s="1"/>
      <c r="O42" s="1"/>
      <c r="P42" s="1"/>
      <c r="Q42" s="1"/>
      <c r="R42" s="1"/>
      <c r="S42" s="1"/>
      <c r="T42" s="1"/>
      <c r="U42" s="1"/>
      <c r="V42" s="1"/>
      <c r="W42" s="1"/>
      <c r="X42" s="1"/>
      <c r="Y42" s="1"/>
      <c r="Z42" s="1"/>
      <c r="AA42" s="1"/>
      <c r="AB42" s="1"/>
      <c r="AC42" s="1"/>
      <c r="AD42" s="1"/>
      <c r="AE42" s="1"/>
      <c r="AF42" s="1"/>
      <c r="AG42" s="1"/>
    </row>
    <row r="43" spans="1:33" ht="28.8" hidden="1" outlineLevel="1" x14ac:dyDescent="0.3">
      <c r="A43" s="1" t="s">
        <v>136</v>
      </c>
      <c r="B43" s="1" t="s">
        <v>34</v>
      </c>
      <c r="C43" s="1" t="s">
        <v>137</v>
      </c>
      <c r="D43" s="1" t="s">
        <v>138</v>
      </c>
      <c r="E43" s="1" t="s">
        <v>139</v>
      </c>
      <c r="F43" s="4" t="s">
        <v>140</v>
      </c>
      <c r="G43" s="5">
        <v>20</v>
      </c>
      <c r="H43" s="6"/>
      <c r="I43" s="3"/>
      <c r="J43" s="6" t="str">
        <f>IF(H43="","",H43)</f>
        <v/>
      </c>
      <c r="K43" s="7"/>
      <c r="L43" s="4" t="s">
        <v>141</v>
      </c>
      <c r="M43" s="1" t="str">
        <f>IFERROR(INDEX(__key!$D:$D,MATCH(O43&amp;"|"&amp;SUBSTITUTE(H43,",",";"), __key!$E:$E, 0)), "")</f>
        <v/>
      </c>
      <c r="N43" s="1" t="str">
        <f>IFERROR(INDEX(__key!$D:$D,MATCH(O43&amp;"|"&amp;SUBSTITUTE(J43,",",";"), __key!$E:$E, 0)), "")</f>
        <v/>
      </c>
      <c r="O43" s="1" t="s">
        <v>40</v>
      </c>
      <c r="P43" s="1"/>
      <c r="Q43" s="1" t="s">
        <v>142</v>
      </c>
      <c r="R43" s="1">
        <v>1411</v>
      </c>
      <c r="S43" s="1">
        <f t="shared" ref="S43:T47" si="29">IFERROR(1*M43,0)</f>
        <v>0</v>
      </c>
      <c r="T43" s="1">
        <f t="shared" si="29"/>
        <v>0</v>
      </c>
      <c r="U43" s="1">
        <f>IFERROR(IF(ISNUMBER(SEARCH("Not Relevant",H43)),0,VALUE(G43)),"")</f>
        <v>20</v>
      </c>
      <c r="V43" s="1">
        <f>IFERROR(SUMIF($D:$D,D43,$U:$U),"")</f>
        <v>100</v>
      </c>
      <c r="W43" s="1">
        <f>IF(OR(V43=0,V43=""),"",U43/V43)</f>
        <v>0.2</v>
      </c>
      <c r="X43" s="1" t="str">
        <f>IF(OR(M43="",W43=""),"",VALUE(M43)*W43)</f>
        <v/>
      </c>
      <c r="Y43" s="1" t="b">
        <f>IFERROR(ISNUMBER(SEARCH("Not Relevant",H43)),FALSE)</f>
        <v>0</v>
      </c>
      <c r="Z43" s="1" t="str">
        <f>IF(Y43, COUNTIF($Y$2:Y43, TRUE), "")</f>
        <v/>
      </c>
      <c r="AA43" s="1">
        <f>IFERROR(IF(ISNUMBER(SEARCH("Not Relevant",J43)),0,VALUE(G43)),"")</f>
        <v>20</v>
      </c>
      <c r="AB43" s="1">
        <f>IFERROR(SUMIF($D:$D,D43,$AA:$AA),"")</f>
        <v>100</v>
      </c>
      <c r="AC43" s="1">
        <f>IF(OR(AB43=0,AB43=""),"",AA43/AB43)</f>
        <v>0.2</v>
      </c>
      <c r="AD43" s="1" t="str">
        <f>IF(OR(N43="",AC43=""),"",VALUE(N43)*AC43)</f>
        <v/>
      </c>
      <c r="AE43" s="1" t="b">
        <f>IFERROR(ISNUMBER(SEARCH("Not Relevant",J43)),FALSE)</f>
        <v>0</v>
      </c>
      <c r="AF43" s="1" t="b">
        <f>IF(OR(H43="",J43=""),FALSE,IF(H43&lt;&gt;J43,TRUE,FALSE))</f>
        <v>0</v>
      </c>
      <c r="AG43" s="1" t="str">
        <f>IF(AF43, COUNTIF($AF$2:AF43, TRUE), "")</f>
        <v/>
      </c>
    </row>
    <row r="44" spans="1:33" ht="43.2" hidden="1" outlineLevel="1" x14ac:dyDescent="0.3">
      <c r="A44" s="1" t="s">
        <v>136</v>
      </c>
      <c r="B44" s="1" t="s">
        <v>34</v>
      </c>
      <c r="C44" s="1" t="s">
        <v>137</v>
      </c>
      <c r="D44" s="1" t="s">
        <v>138</v>
      </c>
      <c r="E44" s="1" t="s">
        <v>143</v>
      </c>
      <c r="F44" s="4" t="s">
        <v>144</v>
      </c>
      <c r="G44" s="5">
        <v>20</v>
      </c>
      <c r="H44" s="6"/>
      <c r="I44" s="3"/>
      <c r="J44" s="6" t="str">
        <f>IF(H44="","",H44)</f>
        <v/>
      </c>
      <c r="K44" s="7"/>
      <c r="L44" s="4" t="s">
        <v>145</v>
      </c>
      <c r="M44" s="1" t="str">
        <f>IFERROR(INDEX(__key!$D:$D,MATCH(O44&amp;"|"&amp;SUBSTITUTE(H44,",",";"), __key!$E:$E, 0)), "")</f>
        <v/>
      </c>
      <c r="N44" s="1" t="str">
        <f>IFERROR(INDEX(__key!$D:$D,MATCH(O44&amp;"|"&amp;SUBSTITUTE(J44,",",";"), __key!$E:$E, 0)), "")</f>
        <v/>
      </c>
      <c r="O44" s="1" t="s">
        <v>40</v>
      </c>
      <c r="P44" s="1"/>
      <c r="Q44" s="1" t="s">
        <v>142</v>
      </c>
      <c r="R44" s="1">
        <v>1412</v>
      </c>
      <c r="S44" s="1">
        <f t="shared" si="29"/>
        <v>0</v>
      </c>
      <c r="T44" s="1">
        <f t="shared" si="29"/>
        <v>0</v>
      </c>
      <c r="U44" s="1">
        <f>IFERROR(IF(ISNUMBER(SEARCH("Not Relevant",H44)),0,VALUE(G44)),"")</f>
        <v>20</v>
      </c>
      <c r="V44" s="1">
        <f>IFERROR(SUMIF($D:$D,D44,$U:$U),"")</f>
        <v>100</v>
      </c>
      <c r="W44" s="1">
        <f>IF(OR(V44=0,V44=""),"",U44/V44)</f>
        <v>0.2</v>
      </c>
      <c r="X44" s="1" t="str">
        <f>IF(OR(M44="",W44=""),"",VALUE(M44)*W44)</f>
        <v/>
      </c>
      <c r="Y44" s="1" t="b">
        <f>IFERROR(ISNUMBER(SEARCH("Not Relevant",H44)),FALSE)</f>
        <v>0</v>
      </c>
      <c r="Z44" s="1" t="str">
        <f>IF(Y44, COUNTIF($Y$2:Y44, TRUE), "")</f>
        <v/>
      </c>
      <c r="AA44" s="1">
        <f>IFERROR(IF(ISNUMBER(SEARCH("Not Relevant",J44)),0,VALUE(G44)),"")</f>
        <v>20</v>
      </c>
      <c r="AB44" s="1">
        <f>IFERROR(SUMIF($D:$D,D44,$AA:$AA),"")</f>
        <v>100</v>
      </c>
      <c r="AC44" s="1">
        <f>IF(OR(AB44=0,AB44=""),"",AA44/AB44)</f>
        <v>0.2</v>
      </c>
      <c r="AD44" s="1" t="str">
        <f>IF(OR(N44="",AC44=""),"",VALUE(N44)*AC44)</f>
        <v/>
      </c>
      <c r="AE44" s="1" t="b">
        <f>IFERROR(ISNUMBER(SEARCH("Not Relevant",J44)),FALSE)</f>
        <v>0</v>
      </c>
      <c r="AF44" s="1" t="b">
        <f>IF(OR(H44="",J44=""),FALSE,IF(H44&lt;&gt;J44,TRUE,FALSE))</f>
        <v>0</v>
      </c>
      <c r="AG44" s="1" t="str">
        <f>IF(AF44, COUNTIF($AF$2:AF44, TRUE), "")</f>
        <v/>
      </c>
    </row>
    <row r="45" spans="1:33" ht="57.6" hidden="1" outlineLevel="1" x14ac:dyDescent="0.3">
      <c r="A45" s="1" t="s">
        <v>136</v>
      </c>
      <c r="B45" s="1" t="s">
        <v>34</v>
      </c>
      <c r="C45" s="1" t="s">
        <v>137</v>
      </c>
      <c r="D45" s="1" t="s">
        <v>138</v>
      </c>
      <c r="E45" s="1" t="s">
        <v>146</v>
      </c>
      <c r="F45" s="4" t="s">
        <v>147</v>
      </c>
      <c r="G45" s="5">
        <v>20</v>
      </c>
      <c r="H45" s="6"/>
      <c r="I45" s="3"/>
      <c r="J45" s="6" t="str">
        <f>IF(H45="","",H45)</f>
        <v/>
      </c>
      <c r="K45" s="7"/>
      <c r="L45" s="4" t="s">
        <v>148</v>
      </c>
      <c r="M45" s="1" t="str">
        <f>IFERROR(INDEX(__key!$D:$D,MATCH(O45&amp;"|"&amp;SUBSTITUTE(H45,",",";"), __key!$E:$E, 0)), "")</f>
        <v/>
      </c>
      <c r="N45" s="1" t="str">
        <f>IFERROR(INDEX(__key!$D:$D,MATCH(O45&amp;"|"&amp;SUBSTITUTE(J45,",",";"), __key!$E:$E, 0)), "")</f>
        <v/>
      </c>
      <c r="O45" s="1" t="s">
        <v>40</v>
      </c>
      <c r="P45" s="1"/>
      <c r="Q45" s="1" t="s">
        <v>142</v>
      </c>
      <c r="R45" s="1">
        <v>1413</v>
      </c>
      <c r="S45" s="1">
        <f t="shared" si="29"/>
        <v>0</v>
      </c>
      <c r="T45" s="1">
        <f t="shared" si="29"/>
        <v>0</v>
      </c>
      <c r="U45" s="1">
        <f>IFERROR(IF(ISNUMBER(SEARCH("Not Relevant",H45)),0,VALUE(G45)),"")</f>
        <v>20</v>
      </c>
      <c r="V45" s="1">
        <f>IFERROR(SUMIF($D:$D,D45,$U:$U),"")</f>
        <v>100</v>
      </c>
      <c r="W45" s="1">
        <f>IF(OR(V45=0,V45=""),"",U45/V45)</f>
        <v>0.2</v>
      </c>
      <c r="X45" s="1" t="str">
        <f>IF(OR(M45="",W45=""),"",VALUE(M45)*W45)</f>
        <v/>
      </c>
      <c r="Y45" s="1" t="b">
        <f>IFERROR(ISNUMBER(SEARCH("Not Relevant",H45)),FALSE)</f>
        <v>0</v>
      </c>
      <c r="Z45" s="1" t="str">
        <f>IF(Y45, COUNTIF($Y$2:Y45, TRUE), "")</f>
        <v/>
      </c>
      <c r="AA45" s="1">
        <f>IFERROR(IF(ISNUMBER(SEARCH("Not Relevant",J45)),0,VALUE(G45)),"")</f>
        <v>20</v>
      </c>
      <c r="AB45" s="1">
        <f>IFERROR(SUMIF($D:$D,D45,$AA:$AA),"")</f>
        <v>100</v>
      </c>
      <c r="AC45" s="1">
        <f>IF(OR(AB45=0,AB45=""),"",AA45/AB45)</f>
        <v>0.2</v>
      </c>
      <c r="AD45" s="1" t="str">
        <f>IF(OR(N45="",AC45=""),"",VALUE(N45)*AC45)</f>
        <v/>
      </c>
      <c r="AE45" s="1" t="b">
        <f>IFERROR(ISNUMBER(SEARCH("Not Relevant",J45)),FALSE)</f>
        <v>0</v>
      </c>
      <c r="AF45" s="1" t="b">
        <f>IF(OR(H45="",J45=""),FALSE,IF(H45&lt;&gt;J45,TRUE,FALSE))</f>
        <v>0</v>
      </c>
      <c r="AG45" s="1" t="str">
        <f>IF(AF45, COUNTIF($AF$2:AF45, TRUE), "")</f>
        <v/>
      </c>
    </row>
    <row r="46" spans="1:33" ht="57.6" hidden="1" outlineLevel="1" x14ac:dyDescent="0.3">
      <c r="A46" s="1" t="s">
        <v>136</v>
      </c>
      <c r="B46" s="1" t="s">
        <v>34</v>
      </c>
      <c r="C46" s="1" t="s">
        <v>137</v>
      </c>
      <c r="D46" s="1" t="s">
        <v>138</v>
      </c>
      <c r="E46" s="1" t="s">
        <v>149</v>
      </c>
      <c r="F46" s="4" t="s">
        <v>150</v>
      </c>
      <c r="G46" s="5">
        <v>20</v>
      </c>
      <c r="H46" s="6"/>
      <c r="I46" s="3"/>
      <c r="J46" s="6" t="str">
        <f>IF(H46="","",H46)</f>
        <v/>
      </c>
      <c r="K46" s="7"/>
      <c r="L46" s="4" t="s">
        <v>151</v>
      </c>
      <c r="M46" s="1" t="str">
        <f>IFERROR(INDEX(__key!$D:$D,MATCH(O46&amp;"|"&amp;SUBSTITUTE(H46,",",";"), __key!$E:$E, 0)), "")</f>
        <v/>
      </c>
      <c r="N46" s="1" t="str">
        <f>IFERROR(INDEX(__key!$D:$D,MATCH(O46&amp;"|"&amp;SUBSTITUTE(J46,",",";"), __key!$E:$E, 0)), "")</f>
        <v/>
      </c>
      <c r="O46" s="1" t="s">
        <v>40</v>
      </c>
      <c r="P46" s="1"/>
      <c r="Q46" s="1" t="s">
        <v>142</v>
      </c>
      <c r="R46" s="1">
        <v>1414</v>
      </c>
      <c r="S46" s="1">
        <f t="shared" si="29"/>
        <v>0</v>
      </c>
      <c r="T46" s="1">
        <f t="shared" si="29"/>
        <v>0</v>
      </c>
      <c r="U46" s="1">
        <f>IFERROR(IF(ISNUMBER(SEARCH("Not Relevant",H46)),0,VALUE(G46)),"")</f>
        <v>20</v>
      </c>
      <c r="V46" s="1">
        <f>IFERROR(SUMIF($D:$D,D46,$U:$U),"")</f>
        <v>100</v>
      </c>
      <c r="W46" s="1">
        <f>IF(OR(V46=0,V46=""),"",U46/V46)</f>
        <v>0.2</v>
      </c>
      <c r="X46" s="1" t="str">
        <f>IF(OR(M46="",W46=""),"",VALUE(M46)*W46)</f>
        <v/>
      </c>
      <c r="Y46" s="1" t="b">
        <f>IFERROR(ISNUMBER(SEARCH("Not Relevant",H46)),FALSE)</f>
        <v>0</v>
      </c>
      <c r="Z46" s="1" t="str">
        <f>IF(Y46, COUNTIF($Y$2:Y46, TRUE), "")</f>
        <v/>
      </c>
      <c r="AA46" s="1">
        <f>IFERROR(IF(ISNUMBER(SEARCH("Not Relevant",J46)),0,VALUE(G46)),"")</f>
        <v>20</v>
      </c>
      <c r="AB46" s="1">
        <f>IFERROR(SUMIF($D:$D,D46,$AA:$AA),"")</f>
        <v>100</v>
      </c>
      <c r="AC46" s="1">
        <f>IF(OR(AB46=0,AB46=""),"",AA46/AB46)</f>
        <v>0.2</v>
      </c>
      <c r="AD46" s="1" t="str">
        <f>IF(OR(N46="",AC46=""),"",VALUE(N46)*AC46)</f>
        <v/>
      </c>
      <c r="AE46" s="1" t="b">
        <f>IFERROR(ISNUMBER(SEARCH("Not Relevant",J46)),FALSE)</f>
        <v>0</v>
      </c>
      <c r="AF46" s="1" t="b">
        <f>IF(OR(H46="",J46=""),FALSE,IF(H46&lt;&gt;J46,TRUE,FALSE))</f>
        <v>0</v>
      </c>
      <c r="AG46" s="1" t="str">
        <f>IF(AF46, COUNTIF($AF$2:AF46, TRUE), "")</f>
        <v/>
      </c>
    </row>
    <row r="47" spans="1:33" ht="57.6" hidden="1" outlineLevel="1" x14ac:dyDescent="0.3">
      <c r="A47" s="1" t="s">
        <v>136</v>
      </c>
      <c r="B47" s="1" t="s">
        <v>34</v>
      </c>
      <c r="C47" s="1" t="s">
        <v>137</v>
      </c>
      <c r="D47" s="1" t="s">
        <v>138</v>
      </c>
      <c r="E47" s="1" t="s">
        <v>152</v>
      </c>
      <c r="F47" s="4" t="s">
        <v>153</v>
      </c>
      <c r="G47" s="5">
        <v>20</v>
      </c>
      <c r="H47" s="6"/>
      <c r="I47" s="3"/>
      <c r="J47" s="6" t="str">
        <f>IF(H47="","",H47)</f>
        <v/>
      </c>
      <c r="K47" s="7"/>
      <c r="L47" s="4" t="s">
        <v>154</v>
      </c>
      <c r="M47" s="1" t="str">
        <f>IFERROR(INDEX(__key!$D:$D,MATCH(O47&amp;"|"&amp;SUBSTITUTE(H47,",",";"), __key!$E:$E, 0)), "")</f>
        <v/>
      </c>
      <c r="N47" s="1" t="str">
        <f>IFERROR(INDEX(__key!$D:$D,MATCH(O47&amp;"|"&amp;SUBSTITUTE(J47,",",";"), __key!$E:$E, 0)), "")</f>
        <v/>
      </c>
      <c r="O47" s="1" t="s">
        <v>155</v>
      </c>
      <c r="P47" s="1"/>
      <c r="Q47" s="1" t="s">
        <v>142</v>
      </c>
      <c r="R47" s="1">
        <v>1415</v>
      </c>
      <c r="S47" s="1">
        <f t="shared" si="29"/>
        <v>0</v>
      </c>
      <c r="T47" s="1">
        <f t="shared" si="29"/>
        <v>0</v>
      </c>
      <c r="U47" s="1">
        <f>IFERROR(IF(ISNUMBER(SEARCH("Not Relevant",H47)),0,VALUE(G47)),"")</f>
        <v>20</v>
      </c>
      <c r="V47" s="1">
        <f>IFERROR(SUMIF($D:$D,D47,$U:$U),"")</f>
        <v>100</v>
      </c>
      <c r="W47" s="1">
        <f>IF(OR(V47=0,V47=""),"",U47/V47)</f>
        <v>0.2</v>
      </c>
      <c r="X47" s="1" t="str">
        <f>IF(OR(M47="",W47=""),"",VALUE(M47)*W47)</f>
        <v/>
      </c>
      <c r="Y47" s="1" t="b">
        <f>IFERROR(ISNUMBER(SEARCH("Not Relevant",H47)),FALSE)</f>
        <v>0</v>
      </c>
      <c r="Z47" s="1" t="str">
        <f>IF(Y47, COUNTIF($Y$2:Y47, TRUE), "")</f>
        <v/>
      </c>
      <c r="AA47" s="1">
        <f>IFERROR(IF(ISNUMBER(SEARCH("Not Relevant",J47)),0,VALUE(G47)),"")</f>
        <v>20</v>
      </c>
      <c r="AB47" s="1">
        <f>IFERROR(SUMIF($D:$D,D47,$AA:$AA),"")</f>
        <v>100</v>
      </c>
      <c r="AC47" s="1">
        <f>IF(OR(AB47=0,AB47=""),"",AA47/AB47)</f>
        <v>0.2</v>
      </c>
      <c r="AD47" s="1" t="str">
        <f>IF(OR(N47="",AC47=""),"",VALUE(N47)*AC47)</f>
        <v/>
      </c>
      <c r="AE47" s="1" t="b">
        <f>IFERROR(ISNUMBER(SEARCH("Not Relevant",J47)),FALSE)</f>
        <v>0</v>
      </c>
      <c r="AF47" s="1" t="b">
        <f>IF(OR(H47="",J47=""),FALSE,IF(H47&lt;&gt;J47,TRUE,FALSE))</f>
        <v>0</v>
      </c>
      <c r="AG47" s="1" t="str">
        <f>IF(AF47, COUNTIF($AF$2:AF47, TRUE), "")</f>
        <v/>
      </c>
    </row>
    <row r="48" spans="1:33" ht="30" customHeight="1" collapsed="1" x14ac:dyDescent="0.3">
      <c r="A48" s="1"/>
      <c r="B48" s="1"/>
      <c r="C48" s="1"/>
      <c r="D48" s="1"/>
      <c r="E48" s="1"/>
      <c r="F48" s="14" t="s">
        <v>156</v>
      </c>
      <c r="G48" s="15"/>
      <c r="H48" s="14"/>
      <c r="I48" s="14"/>
      <c r="J48" s="14"/>
      <c r="K48" s="14"/>
      <c r="L48" s="14"/>
      <c r="M48" s="1"/>
      <c r="N48" s="1"/>
      <c r="O48" s="1"/>
      <c r="P48" s="1"/>
      <c r="Q48" s="1"/>
      <c r="R48" s="1"/>
      <c r="S48" s="1"/>
      <c r="T48" s="1"/>
      <c r="U48" s="1"/>
      <c r="V48" s="1"/>
      <c r="W48" s="1"/>
      <c r="X48" s="1"/>
      <c r="Y48" s="1"/>
      <c r="Z48" s="1"/>
      <c r="AA48" s="1"/>
      <c r="AB48" s="1"/>
      <c r="AC48" s="1"/>
      <c r="AD48" s="1"/>
      <c r="AE48" s="1"/>
      <c r="AF48" s="1"/>
      <c r="AG48" s="1"/>
    </row>
    <row r="49" spans="1:33" ht="28.8" hidden="1" outlineLevel="1" x14ac:dyDescent="0.3">
      <c r="A49" s="1" t="s">
        <v>156</v>
      </c>
      <c r="B49" s="1" t="s">
        <v>34</v>
      </c>
      <c r="C49" s="1" t="s">
        <v>137</v>
      </c>
      <c r="D49" s="1" t="s">
        <v>157</v>
      </c>
      <c r="E49" s="1" t="s">
        <v>158</v>
      </c>
      <c r="F49" s="4" t="s">
        <v>159</v>
      </c>
      <c r="G49" s="5">
        <v>15</v>
      </c>
      <c r="H49" s="6"/>
      <c r="I49" s="3"/>
      <c r="J49" s="6" t="str">
        <f t="shared" ref="J49:J54" si="30">IF(H49="","",H49)</f>
        <v/>
      </c>
      <c r="K49" s="7"/>
      <c r="L49" s="4" t="s">
        <v>160</v>
      </c>
      <c r="M49" s="1" t="str">
        <f>IFERROR(INDEX(__key!$D:$D,MATCH(O49&amp;"|"&amp;SUBSTITUTE(H49,",",";"), __key!$E:$E, 0)), "")</f>
        <v/>
      </c>
      <c r="N49" s="1" t="str">
        <f>IFERROR(INDEX(__key!$D:$D,MATCH(O49&amp;"|"&amp;SUBSTITUTE(J49,",",";"), __key!$E:$E, 0)), "")</f>
        <v/>
      </c>
      <c r="O49" s="1" t="s">
        <v>40</v>
      </c>
      <c r="P49" s="1"/>
      <c r="Q49" s="1" t="s">
        <v>142</v>
      </c>
      <c r="R49" s="1">
        <v>1421</v>
      </c>
      <c r="S49" s="1">
        <f t="shared" ref="S49:T54" si="31">IFERROR(1*M49,0)</f>
        <v>0</v>
      </c>
      <c r="T49" s="1">
        <f t="shared" si="31"/>
        <v>0</v>
      </c>
      <c r="U49" s="1">
        <f t="shared" ref="U49:U54" si="32">IFERROR(IF(ISNUMBER(SEARCH("Not Relevant",H49)),0,VALUE(G49)),"")</f>
        <v>15</v>
      </c>
      <c r="V49" s="1">
        <f t="shared" ref="V49:V54" si="33">IFERROR(SUMIF($D:$D,D49,$U:$U),"")</f>
        <v>70</v>
      </c>
      <c r="W49" s="1">
        <f t="shared" ref="W49:W54" si="34">IF(OR(V49=0,V49=""),"",U49/V49)</f>
        <v>0.21428571428571427</v>
      </c>
      <c r="X49" s="1" t="str">
        <f t="shared" ref="X49:X54" si="35">IF(OR(M49="",W49=""),"",VALUE(M49)*W49)</f>
        <v/>
      </c>
      <c r="Y49" s="1" t="b">
        <f t="shared" ref="Y49:Y54" si="36">IFERROR(ISNUMBER(SEARCH("Not Relevant",H49)),FALSE)</f>
        <v>0</v>
      </c>
      <c r="Z49" s="1" t="str">
        <f>IF(Y49, COUNTIF($Y$2:Y49, TRUE), "")</f>
        <v/>
      </c>
      <c r="AA49" s="1">
        <f t="shared" ref="AA49:AA54" si="37">IFERROR(IF(ISNUMBER(SEARCH("Not Relevant",J49)),0,VALUE(G49)),"")</f>
        <v>15</v>
      </c>
      <c r="AB49" s="1">
        <f t="shared" ref="AB49:AB54" si="38">IFERROR(SUMIF($D:$D,D49,$AA:$AA),"")</f>
        <v>70</v>
      </c>
      <c r="AC49" s="1">
        <f t="shared" ref="AC49:AC54" si="39">IF(OR(AB49=0,AB49=""),"",AA49/AB49)</f>
        <v>0.21428571428571427</v>
      </c>
      <c r="AD49" s="1" t="str">
        <f t="shared" ref="AD49:AD54" si="40">IF(OR(N49="",AC49=""),"",VALUE(N49)*AC49)</f>
        <v/>
      </c>
      <c r="AE49" s="1" t="b">
        <f t="shared" ref="AE49:AE54" si="41">IFERROR(ISNUMBER(SEARCH("Not Relevant",J49)),FALSE)</f>
        <v>0</v>
      </c>
      <c r="AF49" s="1" t="b">
        <f t="shared" ref="AF49:AF54" si="42">IF(OR(H49="",J49=""),FALSE,IF(H49&lt;&gt;J49,TRUE,FALSE))</f>
        <v>0</v>
      </c>
      <c r="AG49" s="1" t="str">
        <f>IF(AF49, COUNTIF($AF$2:AF49, TRUE), "")</f>
        <v/>
      </c>
    </row>
    <row r="50" spans="1:33" ht="43.2" hidden="1" outlineLevel="1" x14ac:dyDescent="0.3">
      <c r="A50" s="1" t="s">
        <v>156</v>
      </c>
      <c r="B50" s="1" t="s">
        <v>34</v>
      </c>
      <c r="C50" s="1" t="s">
        <v>137</v>
      </c>
      <c r="D50" s="1" t="s">
        <v>157</v>
      </c>
      <c r="E50" s="1" t="s">
        <v>161</v>
      </c>
      <c r="F50" s="4" t="s">
        <v>162</v>
      </c>
      <c r="G50" s="5">
        <v>15</v>
      </c>
      <c r="H50" s="6"/>
      <c r="I50" s="3"/>
      <c r="J50" s="6" t="str">
        <f t="shared" si="30"/>
        <v/>
      </c>
      <c r="K50" s="7"/>
      <c r="L50" s="4" t="s">
        <v>160</v>
      </c>
      <c r="M50" s="1" t="str">
        <f>IFERROR(INDEX(__key!$D:$D,MATCH(O50&amp;"|"&amp;SUBSTITUTE(H50,",",";"), __key!$E:$E, 0)), "")</f>
        <v/>
      </c>
      <c r="N50" s="1" t="str">
        <f>IFERROR(INDEX(__key!$D:$D,MATCH(O50&amp;"|"&amp;SUBSTITUTE(J50,",",";"), __key!$E:$E, 0)), "")</f>
        <v/>
      </c>
      <c r="O50" s="1" t="s">
        <v>40</v>
      </c>
      <c r="P50" s="1"/>
      <c r="Q50" s="1" t="s">
        <v>142</v>
      </c>
      <c r="R50" s="1">
        <v>1422</v>
      </c>
      <c r="S50" s="1">
        <f t="shared" si="31"/>
        <v>0</v>
      </c>
      <c r="T50" s="1">
        <f t="shared" si="31"/>
        <v>0</v>
      </c>
      <c r="U50" s="1">
        <f t="shared" si="32"/>
        <v>15</v>
      </c>
      <c r="V50" s="1">
        <f t="shared" si="33"/>
        <v>70</v>
      </c>
      <c r="W50" s="1">
        <f t="shared" si="34"/>
        <v>0.21428571428571427</v>
      </c>
      <c r="X50" s="1" t="str">
        <f t="shared" si="35"/>
        <v/>
      </c>
      <c r="Y50" s="1" t="b">
        <f t="shared" si="36"/>
        <v>0</v>
      </c>
      <c r="Z50" s="1" t="str">
        <f>IF(Y50, COUNTIF($Y$2:Y50, TRUE), "")</f>
        <v/>
      </c>
      <c r="AA50" s="1">
        <f t="shared" si="37"/>
        <v>15</v>
      </c>
      <c r="AB50" s="1">
        <f t="shared" si="38"/>
        <v>70</v>
      </c>
      <c r="AC50" s="1">
        <f t="shared" si="39"/>
        <v>0.21428571428571427</v>
      </c>
      <c r="AD50" s="1" t="str">
        <f t="shared" si="40"/>
        <v/>
      </c>
      <c r="AE50" s="1" t="b">
        <f t="shared" si="41"/>
        <v>0</v>
      </c>
      <c r="AF50" s="1" t="b">
        <f t="shared" si="42"/>
        <v>0</v>
      </c>
      <c r="AG50" s="1" t="str">
        <f>IF(AF50, COUNTIF($AF$2:AF50, TRUE), "")</f>
        <v/>
      </c>
    </row>
    <row r="51" spans="1:33" ht="43.2" hidden="1" outlineLevel="1" x14ac:dyDescent="0.3">
      <c r="A51" s="1" t="s">
        <v>156</v>
      </c>
      <c r="B51" s="1" t="s">
        <v>34</v>
      </c>
      <c r="C51" s="1" t="s">
        <v>137</v>
      </c>
      <c r="D51" s="1" t="s">
        <v>157</v>
      </c>
      <c r="E51" s="1" t="s">
        <v>163</v>
      </c>
      <c r="F51" s="4" t="s">
        <v>164</v>
      </c>
      <c r="G51" s="5">
        <v>15</v>
      </c>
      <c r="H51" s="6"/>
      <c r="I51" s="3"/>
      <c r="J51" s="6" t="str">
        <f t="shared" si="30"/>
        <v/>
      </c>
      <c r="K51" s="7"/>
      <c r="L51" s="4" t="s">
        <v>160</v>
      </c>
      <c r="M51" s="1" t="str">
        <f>IFERROR(INDEX(__key!$D:$D,MATCH(O51&amp;"|"&amp;SUBSTITUTE(H51,",",";"), __key!$E:$E, 0)), "")</f>
        <v/>
      </c>
      <c r="N51" s="1" t="str">
        <f>IFERROR(INDEX(__key!$D:$D,MATCH(O51&amp;"|"&amp;SUBSTITUTE(J51,",",";"), __key!$E:$E, 0)), "")</f>
        <v/>
      </c>
      <c r="O51" s="1" t="s">
        <v>40</v>
      </c>
      <c r="P51" s="1"/>
      <c r="Q51" s="1" t="s">
        <v>142</v>
      </c>
      <c r="R51" s="1">
        <v>1423</v>
      </c>
      <c r="S51" s="1">
        <f t="shared" si="31"/>
        <v>0</v>
      </c>
      <c r="T51" s="1">
        <f t="shared" si="31"/>
        <v>0</v>
      </c>
      <c r="U51" s="1">
        <f t="shared" si="32"/>
        <v>15</v>
      </c>
      <c r="V51" s="1">
        <f t="shared" si="33"/>
        <v>70</v>
      </c>
      <c r="W51" s="1">
        <f t="shared" si="34"/>
        <v>0.21428571428571427</v>
      </c>
      <c r="X51" s="1" t="str">
        <f t="shared" si="35"/>
        <v/>
      </c>
      <c r="Y51" s="1" t="b">
        <f t="shared" si="36"/>
        <v>0</v>
      </c>
      <c r="Z51" s="1" t="str">
        <f>IF(Y51, COUNTIF($Y$2:Y51, TRUE), "")</f>
        <v/>
      </c>
      <c r="AA51" s="1">
        <f t="shared" si="37"/>
        <v>15</v>
      </c>
      <c r="AB51" s="1">
        <f t="shared" si="38"/>
        <v>70</v>
      </c>
      <c r="AC51" s="1">
        <f t="shared" si="39"/>
        <v>0.21428571428571427</v>
      </c>
      <c r="AD51" s="1" t="str">
        <f t="shared" si="40"/>
        <v/>
      </c>
      <c r="AE51" s="1" t="b">
        <f t="shared" si="41"/>
        <v>0</v>
      </c>
      <c r="AF51" s="1" t="b">
        <f t="shared" si="42"/>
        <v>0</v>
      </c>
      <c r="AG51" s="1" t="str">
        <f>IF(AF51, COUNTIF($AF$2:AF51, TRUE), "")</f>
        <v/>
      </c>
    </row>
    <row r="52" spans="1:33" ht="28.8" hidden="1" outlineLevel="1" x14ac:dyDescent="0.3">
      <c r="A52" s="1" t="s">
        <v>156</v>
      </c>
      <c r="B52" s="1" t="s">
        <v>34</v>
      </c>
      <c r="C52" s="1" t="s">
        <v>137</v>
      </c>
      <c r="D52" s="1" t="s">
        <v>157</v>
      </c>
      <c r="E52" s="1" t="s">
        <v>165</v>
      </c>
      <c r="F52" s="4" t="s">
        <v>166</v>
      </c>
      <c r="G52" s="5">
        <v>5</v>
      </c>
      <c r="H52" s="6"/>
      <c r="I52" s="3"/>
      <c r="J52" s="6" t="str">
        <f t="shared" si="30"/>
        <v/>
      </c>
      <c r="K52" s="7"/>
      <c r="L52" s="4" t="s">
        <v>160</v>
      </c>
      <c r="M52" s="1" t="str">
        <f>IFERROR(INDEX(__key!$D:$D,MATCH(O52&amp;"|"&amp;SUBSTITUTE(H52,",",";"), __key!$E:$E, 0)), "")</f>
        <v/>
      </c>
      <c r="N52" s="1" t="str">
        <f>IFERROR(INDEX(__key!$D:$D,MATCH(O52&amp;"|"&amp;SUBSTITUTE(J52,",",";"), __key!$E:$E, 0)), "")</f>
        <v/>
      </c>
      <c r="O52" s="1" t="s">
        <v>155</v>
      </c>
      <c r="P52" s="1"/>
      <c r="Q52" s="1" t="s">
        <v>142</v>
      </c>
      <c r="R52" s="1">
        <v>1424</v>
      </c>
      <c r="S52" s="1">
        <f t="shared" si="31"/>
        <v>0</v>
      </c>
      <c r="T52" s="1">
        <f t="shared" si="31"/>
        <v>0</v>
      </c>
      <c r="U52" s="1">
        <f t="shared" si="32"/>
        <v>5</v>
      </c>
      <c r="V52" s="1">
        <f t="shared" si="33"/>
        <v>70</v>
      </c>
      <c r="W52" s="1">
        <f t="shared" si="34"/>
        <v>7.1428571428571425E-2</v>
      </c>
      <c r="X52" s="1" t="str">
        <f t="shared" si="35"/>
        <v/>
      </c>
      <c r="Y52" s="1" t="b">
        <f t="shared" si="36"/>
        <v>0</v>
      </c>
      <c r="Z52" s="1" t="str">
        <f>IF(Y52, COUNTIF($Y$2:Y52, TRUE), "")</f>
        <v/>
      </c>
      <c r="AA52" s="1">
        <f t="shared" si="37"/>
        <v>5</v>
      </c>
      <c r="AB52" s="1">
        <f t="shared" si="38"/>
        <v>70</v>
      </c>
      <c r="AC52" s="1">
        <f t="shared" si="39"/>
        <v>7.1428571428571425E-2</v>
      </c>
      <c r="AD52" s="1" t="str">
        <f t="shared" si="40"/>
        <v/>
      </c>
      <c r="AE52" s="1" t="b">
        <f t="shared" si="41"/>
        <v>0</v>
      </c>
      <c r="AF52" s="1" t="b">
        <f t="shared" si="42"/>
        <v>0</v>
      </c>
      <c r="AG52" s="1" t="str">
        <f>IF(AF52, COUNTIF($AF$2:AF52, TRUE), "")</f>
        <v/>
      </c>
    </row>
    <row r="53" spans="1:33" ht="28.8" hidden="1" outlineLevel="1" x14ac:dyDescent="0.3">
      <c r="A53" s="1" t="s">
        <v>156</v>
      </c>
      <c r="B53" s="1" t="s">
        <v>34</v>
      </c>
      <c r="C53" s="1" t="s">
        <v>137</v>
      </c>
      <c r="D53" s="1" t="s">
        <v>157</v>
      </c>
      <c r="E53" s="1" t="s">
        <v>167</v>
      </c>
      <c r="F53" s="4" t="s">
        <v>168</v>
      </c>
      <c r="G53" s="5">
        <v>10</v>
      </c>
      <c r="H53" s="6"/>
      <c r="I53" s="3"/>
      <c r="J53" s="6" t="str">
        <f t="shared" si="30"/>
        <v/>
      </c>
      <c r="K53" s="7"/>
      <c r="L53" s="4" t="s">
        <v>160</v>
      </c>
      <c r="M53" s="1" t="str">
        <f>IFERROR(INDEX(__key!$D:$D,MATCH(O53&amp;"|"&amp;SUBSTITUTE(H53,",",";"), __key!$E:$E, 0)), "")</f>
        <v/>
      </c>
      <c r="N53" s="1" t="str">
        <f>IFERROR(INDEX(__key!$D:$D,MATCH(O53&amp;"|"&amp;SUBSTITUTE(J53,",",";"), __key!$E:$E, 0)), "")</f>
        <v/>
      </c>
      <c r="O53" s="1" t="s">
        <v>40</v>
      </c>
      <c r="P53" s="1"/>
      <c r="Q53" s="1" t="s">
        <v>142</v>
      </c>
      <c r="R53" s="1">
        <v>1425</v>
      </c>
      <c r="S53" s="1">
        <f t="shared" si="31"/>
        <v>0</v>
      </c>
      <c r="T53" s="1">
        <f t="shared" si="31"/>
        <v>0</v>
      </c>
      <c r="U53" s="1">
        <f t="shared" si="32"/>
        <v>10</v>
      </c>
      <c r="V53" s="1">
        <f t="shared" si="33"/>
        <v>70</v>
      </c>
      <c r="W53" s="1">
        <f t="shared" si="34"/>
        <v>0.14285714285714285</v>
      </c>
      <c r="X53" s="1" t="str">
        <f t="shared" si="35"/>
        <v/>
      </c>
      <c r="Y53" s="1" t="b">
        <f t="shared" si="36"/>
        <v>0</v>
      </c>
      <c r="Z53" s="1" t="str">
        <f>IF(Y53, COUNTIF($Y$2:Y53, TRUE), "")</f>
        <v/>
      </c>
      <c r="AA53" s="1">
        <f t="shared" si="37"/>
        <v>10</v>
      </c>
      <c r="AB53" s="1">
        <f t="shared" si="38"/>
        <v>70</v>
      </c>
      <c r="AC53" s="1">
        <f t="shared" si="39"/>
        <v>0.14285714285714285</v>
      </c>
      <c r="AD53" s="1" t="str">
        <f t="shared" si="40"/>
        <v/>
      </c>
      <c r="AE53" s="1" t="b">
        <f t="shared" si="41"/>
        <v>0</v>
      </c>
      <c r="AF53" s="1" t="b">
        <f t="shared" si="42"/>
        <v>0</v>
      </c>
      <c r="AG53" s="1" t="str">
        <f>IF(AF53, COUNTIF($AF$2:AF53, TRUE), "")</f>
        <v/>
      </c>
    </row>
    <row r="54" spans="1:33" ht="57.6" hidden="1" outlineLevel="1" x14ac:dyDescent="0.3">
      <c r="A54" s="1" t="s">
        <v>156</v>
      </c>
      <c r="B54" s="1" t="s">
        <v>34</v>
      </c>
      <c r="C54" s="1" t="s">
        <v>137</v>
      </c>
      <c r="D54" s="1" t="s">
        <v>157</v>
      </c>
      <c r="E54" s="1" t="s">
        <v>169</v>
      </c>
      <c r="F54" s="4" t="s">
        <v>170</v>
      </c>
      <c r="G54" s="5">
        <v>10</v>
      </c>
      <c r="H54" s="6"/>
      <c r="I54" s="3"/>
      <c r="J54" s="6" t="str">
        <f t="shared" si="30"/>
        <v/>
      </c>
      <c r="K54" s="7"/>
      <c r="L54" s="4" t="s">
        <v>171</v>
      </c>
      <c r="M54" s="1" t="str">
        <f>IFERROR(INDEX(__key!$D:$D,MATCH(O54&amp;"|"&amp;SUBSTITUTE(H54,",",";"), __key!$E:$E, 0)), "")</f>
        <v/>
      </c>
      <c r="N54" s="1" t="str">
        <f>IFERROR(INDEX(__key!$D:$D,MATCH(O54&amp;"|"&amp;SUBSTITUTE(J54,",",";"), __key!$E:$E, 0)), "")</f>
        <v/>
      </c>
      <c r="O54" s="1" t="s">
        <v>172</v>
      </c>
      <c r="P54" s="1"/>
      <c r="Q54" s="1" t="s">
        <v>142</v>
      </c>
      <c r="R54" s="1">
        <v>1426</v>
      </c>
      <c r="S54" s="1">
        <f t="shared" si="31"/>
        <v>0</v>
      </c>
      <c r="T54" s="1">
        <f t="shared" si="31"/>
        <v>0</v>
      </c>
      <c r="U54" s="1">
        <f t="shared" si="32"/>
        <v>10</v>
      </c>
      <c r="V54" s="1">
        <f t="shared" si="33"/>
        <v>70</v>
      </c>
      <c r="W54" s="1">
        <f t="shared" si="34"/>
        <v>0.14285714285714285</v>
      </c>
      <c r="X54" s="1" t="str">
        <f t="shared" si="35"/>
        <v/>
      </c>
      <c r="Y54" s="1" t="b">
        <f t="shared" si="36"/>
        <v>0</v>
      </c>
      <c r="Z54" s="1" t="str">
        <f>IF(Y54, COUNTIF($Y$2:Y54, TRUE), "")</f>
        <v/>
      </c>
      <c r="AA54" s="1">
        <f t="shared" si="37"/>
        <v>10</v>
      </c>
      <c r="AB54" s="1">
        <f t="shared" si="38"/>
        <v>70</v>
      </c>
      <c r="AC54" s="1">
        <f t="shared" si="39"/>
        <v>0.14285714285714285</v>
      </c>
      <c r="AD54" s="1" t="str">
        <f t="shared" si="40"/>
        <v/>
      </c>
      <c r="AE54" s="1" t="b">
        <f t="shared" si="41"/>
        <v>0</v>
      </c>
      <c r="AF54" s="1" t="b">
        <f t="shared" si="42"/>
        <v>0</v>
      </c>
      <c r="AG54" s="1" t="str">
        <f>IF(AF54, COUNTIF($AF$2:AF54, TRUE), "")</f>
        <v/>
      </c>
    </row>
    <row r="55" spans="1:33" ht="30" customHeight="1" collapsed="1" x14ac:dyDescent="0.3">
      <c r="A55" s="1"/>
      <c r="B55" s="1"/>
      <c r="C55" s="1"/>
      <c r="D55" s="1"/>
      <c r="E55" s="1"/>
      <c r="F55" s="14" t="s">
        <v>173</v>
      </c>
      <c r="G55" s="15"/>
      <c r="H55" s="14"/>
      <c r="I55" s="14"/>
      <c r="J55" s="14"/>
      <c r="K55" s="14"/>
      <c r="L55" s="14"/>
      <c r="M55" s="1"/>
      <c r="N55" s="1"/>
      <c r="O55" s="1"/>
      <c r="P55" s="1"/>
      <c r="Q55" s="1"/>
      <c r="R55" s="1"/>
      <c r="S55" s="1"/>
      <c r="T55" s="1"/>
      <c r="U55" s="1"/>
      <c r="V55" s="1"/>
      <c r="W55" s="1"/>
      <c r="X55" s="1"/>
      <c r="Y55" s="1"/>
      <c r="Z55" s="1"/>
      <c r="AA55" s="1"/>
      <c r="AB55" s="1"/>
      <c r="AC55" s="1"/>
      <c r="AD55" s="1"/>
      <c r="AE55" s="1"/>
      <c r="AF55" s="1"/>
      <c r="AG55" s="1"/>
    </row>
    <row r="56" spans="1:33" ht="57.6" hidden="1" outlineLevel="1" x14ac:dyDescent="0.3">
      <c r="A56" s="1" t="s">
        <v>173</v>
      </c>
      <c r="B56" s="1" t="s">
        <v>34</v>
      </c>
      <c r="C56" s="1" t="s">
        <v>137</v>
      </c>
      <c r="D56" s="1" t="s">
        <v>174</v>
      </c>
      <c r="E56" s="1" t="s">
        <v>175</v>
      </c>
      <c r="F56" s="4" t="s">
        <v>176</v>
      </c>
      <c r="G56" s="5">
        <v>10</v>
      </c>
      <c r="H56" s="6"/>
      <c r="I56" s="3"/>
      <c r="J56" s="6" t="str">
        <f>IF(H56="","",H56)</f>
        <v/>
      </c>
      <c r="K56" s="7"/>
      <c r="L56" s="4" t="s">
        <v>177</v>
      </c>
      <c r="M56" s="1" t="str">
        <f>IFERROR(INDEX(__key!$D:$D,MATCH(O56&amp;"|"&amp;SUBSTITUTE(H56,",",";"), __key!$E:$E, 0)), "")</f>
        <v/>
      </c>
      <c r="N56" s="1" t="str">
        <f>IFERROR(INDEX(__key!$D:$D,MATCH(O56&amp;"|"&amp;SUBSTITUTE(J56,",",";"), __key!$E:$E, 0)), "")</f>
        <v/>
      </c>
      <c r="O56" s="1" t="s">
        <v>40</v>
      </c>
      <c r="P56" s="1"/>
      <c r="Q56" s="1" t="s">
        <v>142</v>
      </c>
      <c r="R56" s="1">
        <v>1431</v>
      </c>
      <c r="S56" s="1">
        <f>IFERROR(1*M56,0)</f>
        <v>0</v>
      </c>
      <c r="T56" s="1">
        <f>IFERROR(1*N56,0)</f>
        <v>0</v>
      </c>
      <c r="U56" s="1">
        <f>IFERROR(IF(ISNUMBER(SEARCH("Not Relevant",H56)),0,VALUE(G56)),"")</f>
        <v>10</v>
      </c>
      <c r="V56" s="1">
        <f>IFERROR(SUMIF($D:$D,D56,$U:$U),"")</f>
        <v>15</v>
      </c>
      <c r="W56" s="1">
        <f>IF(OR(V56=0,V56=""),"",U56/V56)</f>
        <v>0.66666666666666663</v>
      </c>
      <c r="X56" s="1" t="str">
        <f>IF(OR(M56="",W56=""),"",VALUE(M56)*W56)</f>
        <v/>
      </c>
      <c r="Y56" s="1" t="b">
        <f>IFERROR(ISNUMBER(SEARCH("Not Relevant",H56)),FALSE)</f>
        <v>0</v>
      </c>
      <c r="Z56" s="1" t="str">
        <f>IF(Y56, COUNTIF($Y$2:Y56, TRUE), "")</f>
        <v/>
      </c>
      <c r="AA56" s="1">
        <f>IFERROR(IF(ISNUMBER(SEARCH("Not Relevant",J56)),0,VALUE(G56)),"")</f>
        <v>10</v>
      </c>
      <c r="AB56" s="1">
        <f>IFERROR(SUMIF($D:$D,D56,$AA:$AA),"")</f>
        <v>15</v>
      </c>
      <c r="AC56" s="1">
        <f>IF(OR(AB56=0,AB56=""),"",AA56/AB56)</f>
        <v>0.66666666666666663</v>
      </c>
      <c r="AD56" s="1" t="str">
        <f>IF(OR(N56="",AC56=""),"",VALUE(N56)*AC56)</f>
        <v/>
      </c>
      <c r="AE56" s="1" t="b">
        <f>IFERROR(ISNUMBER(SEARCH("Not Relevant",J56)),FALSE)</f>
        <v>0</v>
      </c>
      <c r="AF56" s="1" t="b">
        <f>IF(OR(H56="",J56=""),FALSE,IF(H56&lt;&gt;J56,TRUE,FALSE))</f>
        <v>0</v>
      </c>
      <c r="AG56" s="1" t="str">
        <f>IF(AF56, COUNTIF($AF$2:AF56, TRUE), "")</f>
        <v/>
      </c>
    </row>
    <row r="57" spans="1:33" ht="57.6" hidden="1" outlineLevel="1" x14ac:dyDescent="0.3">
      <c r="A57" s="1" t="s">
        <v>173</v>
      </c>
      <c r="B57" s="1" t="s">
        <v>34</v>
      </c>
      <c r="C57" s="1" t="s">
        <v>137</v>
      </c>
      <c r="D57" s="1" t="s">
        <v>174</v>
      </c>
      <c r="E57" s="1" t="s">
        <v>178</v>
      </c>
      <c r="F57" s="4" t="s">
        <v>179</v>
      </c>
      <c r="G57" s="5">
        <v>5</v>
      </c>
      <c r="H57" s="6"/>
      <c r="I57" s="3"/>
      <c r="J57" s="6" t="str">
        <f>IF(H57="","",H57)</f>
        <v/>
      </c>
      <c r="K57" s="7"/>
      <c r="L57" s="4" t="s">
        <v>180</v>
      </c>
      <c r="M57" s="1" t="str">
        <f>IFERROR(INDEX(__key!$D:$D,MATCH(O57&amp;"|"&amp;SUBSTITUTE(H57,",",";"), __key!$E:$E, 0)), "")</f>
        <v/>
      </c>
      <c r="N57" s="1" t="str">
        <f>IFERROR(INDEX(__key!$D:$D,MATCH(O57&amp;"|"&amp;SUBSTITUTE(J57,",",";"), __key!$E:$E, 0)), "")</f>
        <v/>
      </c>
      <c r="O57" s="1" t="s">
        <v>40</v>
      </c>
      <c r="P57" s="1"/>
      <c r="Q57" s="1" t="s">
        <v>142</v>
      </c>
      <c r="R57" s="1">
        <v>1432</v>
      </c>
      <c r="S57" s="1">
        <f>IFERROR(1*M57,0)</f>
        <v>0</v>
      </c>
      <c r="T57" s="1">
        <f>IFERROR(1*N57,0)</f>
        <v>0</v>
      </c>
      <c r="U57" s="1">
        <f>IFERROR(IF(ISNUMBER(SEARCH("Not Relevant",H57)),0,VALUE(G57)),"")</f>
        <v>5</v>
      </c>
      <c r="V57" s="1">
        <f>IFERROR(SUMIF($D:$D,D57,$U:$U),"")</f>
        <v>15</v>
      </c>
      <c r="W57" s="1">
        <f>IF(OR(V57=0,V57=""),"",U57/V57)</f>
        <v>0.33333333333333331</v>
      </c>
      <c r="X57" s="1" t="str">
        <f>IF(OR(M57="",W57=""),"",VALUE(M57)*W57)</f>
        <v/>
      </c>
      <c r="Y57" s="1" t="b">
        <f>IFERROR(ISNUMBER(SEARCH("Not Relevant",H57)),FALSE)</f>
        <v>0</v>
      </c>
      <c r="Z57" s="1" t="str">
        <f>IF(Y57, COUNTIF($Y$2:Y57, TRUE), "")</f>
        <v/>
      </c>
      <c r="AA57" s="1">
        <f>IFERROR(IF(ISNUMBER(SEARCH("Not Relevant",J57)),0,VALUE(G57)),"")</f>
        <v>5</v>
      </c>
      <c r="AB57" s="1">
        <f>IFERROR(SUMIF($D:$D,D57,$AA:$AA),"")</f>
        <v>15</v>
      </c>
      <c r="AC57" s="1">
        <f>IF(OR(AB57=0,AB57=""),"",AA57/AB57)</f>
        <v>0.33333333333333331</v>
      </c>
      <c r="AD57" s="1" t="str">
        <f>IF(OR(N57="",AC57=""),"",VALUE(N57)*AC57)</f>
        <v/>
      </c>
      <c r="AE57" s="1" t="b">
        <f>IFERROR(ISNUMBER(SEARCH("Not Relevant",J57)),FALSE)</f>
        <v>0</v>
      </c>
      <c r="AF57" s="1" t="b">
        <f>IF(OR(H57="",J57=""),FALSE,IF(H57&lt;&gt;J57,TRUE,FALSE))</f>
        <v>0</v>
      </c>
      <c r="AG57" s="1" t="str">
        <f>IF(AF57, COUNTIF($AF$2:AF57, TRUE), "")</f>
        <v/>
      </c>
    </row>
    <row r="58" spans="1:33" ht="30" customHeight="1" collapsed="1" x14ac:dyDescent="0.3">
      <c r="A58" s="1"/>
      <c r="B58" s="1"/>
      <c r="C58" s="1"/>
      <c r="D58" s="1"/>
      <c r="E58" s="1"/>
      <c r="F58" s="14" t="s">
        <v>181</v>
      </c>
      <c r="G58" s="15"/>
      <c r="H58" s="14"/>
      <c r="I58" s="14"/>
      <c r="J58" s="14"/>
      <c r="K58" s="14"/>
      <c r="L58" s="14"/>
      <c r="M58" s="1"/>
      <c r="N58" s="1"/>
      <c r="O58" s="1"/>
      <c r="P58" s="1"/>
      <c r="Q58" s="1"/>
      <c r="R58" s="1"/>
      <c r="S58" s="1"/>
      <c r="T58" s="1"/>
      <c r="U58" s="1"/>
      <c r="V58" s="1"/>
      <c r="W58" s="1"/>
      <c r="X58" s="1"/>
      <c r="Y58" s="1"/>
      <c r="Z58" s="1"/>
      <c r="AA58" s="1"/>
      <c r="AB58" s="1"/>
      <c r="AC58" s="1"/>
      <c r="AD58" s="1"/>
      <c r="AE58" s="1"/>
      <c r="AF58" s="1"/>
      <c r="AG58" s="1"/>
    </row>
    <row r="59" spans="1:33" ht="43.2" hidden="1" outlineLevel="1" x14ac:dyDescent="0.3">
      <c r="A59" s="1" t="s">
        <v>181</v>
      </c>
      <c r="B59" s="1" t="s">
        <v>34</v>
      </c>
      <c r="C59" s="1" t="s">
        <v>182</v>
      </c>
      <c r="D59" s="1" t="s">
        <v>183</v>
      </c>
      <c r="E59" s="1" t="s">
        <v>184</v>
      </c>
      <c r="F59" s="4" t="s">
        <v>185</v>
      </c>
      <c r="G59" s="5">
        <v>25</v>
      </c>
      <c r="H59" s="6"/>
      <c r="I59" s="3"/>
      <c r="J59" s="6" t="str">
        <f>IF(H59="","",H59)</f>
        <v/>
      </c>
      <c r="K59" s="7"/>
      <c r="L59" s="4" t="s">
        <v>186</v>
      </c>
      <c r="M59" s="1" t="str">
        <f>IFERROR(INDEX(__key!$D:$D,MATCH(O59&amp;"|"&amp;SUBSTITUTE(H59,",",";"), __key!$E:$E, 0)), "")</f>
        <v/>
      </c>
      <c r="N59" s="1" t="str">
        <f>IFERROR(INDEX(__key!$D:$D,MATCH(O59&amp;"|"&amp;SUBSTITUTE(J59,",",";"), __key!$E:$E, 0)), "")</f>
        <v/>
      </c>
      <c r="O59" s="1" t="s">
        <v>40</v>
      </c>
      <c r="P59" s="1"/>
      <c r="Q59" s="1" t="s">
        <v>187</v>
      </c>
      <c r="R59" s="1">
        <v>1511</v>
      </c>
      <c r="S59" s="1">
        <f t="shared" ref="S59:T61" si="43">IFERROR(1*M59,0)</f>
        <v>0</v>
      </c>
      <c r="T59" s="1">
        <f t="shared" si="43"/>
        <v>0</v>
      </c>
      <c r="U59" s="1">
        <f>IFERROR(IF(ISNUMBER(SEARCH("Not Relevant",H59)),0,VALUE(G59)),"")</f>
        <v>25</v>
      </c>
      <c r="V59" s="1">
        <f>IFERROR(SUMIF($D:$D,D59,$U:$U),"")</f>
        <v>45</v>
      </c>
      <c r="W59" s="1">
        <f>IF(OR(V59=0,V59=""),"",U59/V59)</f>
        <v>0.55555555555555558</v>
      </c>
      <c r="X59" s="1" t="str">
        <f>IF(OR(M59="",W59=""),"",VALUE(M59)*W59)</f>
        <v/>
      </c>
      <c r="Y59" s="1" t="b">
        <f>IFERROR(ISNUMBER(SEARCH("Not Relevant",H59)),FALSE)</f>
        <v>0</v>
      </c>
      <c r="Z59" s="1" t="str">
        <f>IF(Y59, COUNTIF($Y$2:Y59, TRUE), "")</f>
        <v/>
      </c>
      <c r="AA59" s="1">
        <f>IFERROR(IF(ISNUMBER(SEARCH("Not Relevant",J59)),0,VALUE(G59)),"")</f>
        <v>25</v>
      </c>
      <c r="AB59" s="1">
        <f>IFERROR(SUMIF($D:$D,D59,$AA:$AA),"")</f>
        <v>45</v>
      </c>
      <c r="AC59" s="1">
        <f>IF(OR(AB59=0,AB59=""),"",AA59/AB59)</f>
        <v>0.55555555555555558</v>
      </c>
      <c r="AD59" s="1" t="str">
        <f>IF(OR(N59="",AC59=""),"",VALUE(N59)*AC59)</f>
        <v/>
      </c>
      <c r="AE59" s="1" t="b">
        <f>IFERROR(ISNUMBER(SEARCH("Not Relevant",J59)),FALSE)</f>
        <v>0</v>
      </c>
      <c r="AF59" s="1" t="b">
        <f>IF(OR(H59="",J59=""),FALSE,IF(H59&lt;&gt;J59,TRUE,FALSE))</f>
        <v>0</v>
      </c>
      <c r="AG59" s="1" t="str">
        <f>IF(AF59, COUNTIF($AF$2:AF59, TRUE), "")</f>
        <v/>
      </c>
    </row>
    <row r="60" spans="1:33" ht="57.6" hidden="1" outlineLevel="1" x14ac:dyDescent="0.3">
      <c r="A60" s="1" t="s">
        <v>181</v>
      </c>
      <c r="B60" s="1" t="s">
        <v>34</v>
      </c>
      <c r="C60" s="1" t="s">
        <v>182</v>
      </c>
      <c r="D60" s="1" t="s">
        <v>183</v>
      </c>
      <c r="E60" s="1" t="s">
        <v>188</v>
      </c>
      <c r="F60" s="4" t="s">
        <v>189</v>
      </c>
      <c r="G60" s="5">
        <v>10</v>
      </c>
      <c r="H60" s="6"/>
      <c r="I60" s="3"/>
      <c r="J60" s="6" t="str">
        <f>IF(H60="","",H60)</f>
        <v/>
      </c>
      <c r="K60" s="7"/>
      <c r="L60" s="4" t="s">
        <v>186</v>
      </c>
      <c r="M60" s="1" t="str">
        <f>IFERROR(INDEX(__key!$D:$D,MATCH(O60&amp;"|"&amp;SUBSTITUTE(H60,",",";"), __key!$E:$E, 0)), "")</f>
        <v/>
      </c>
      <c r="N60" s="1" t="str">
        <f>IFERROR(INDEX(__key!$D:$D,MATCH(O60&amp;"|"&amp;SUBSTITUTE(J60,",",";"), __key!$E:$E, 0)), "")</f>
        <v/>
      </c>
      <c r="O60" s="1" t="s">
        <v>40</v>
      </c>
      <c r="P60" s="1"/>
      <c r="Q60" s="1" t="s">
        <v>187</v>
      </c>
      <c r="R60" s="1">
        <v>1512</v>
      </c>
      <c r="S60" s="1">
        <f t="shared" si="43"/>
        <v>0</v>
      </c>
      <c r="T60" s="1">
        <f t="shared" si="43"/>
        <v>0</v>
      </c>
      <c r="U60" s="1">
        <f>IFERROR(IF(ISNUMBER(SEARCH("Not Relevant",H60)),0,VALUE(G60)),"")</f>
        <v>10</v>
      </c>
      <c r="V60" s="1">
        <f>IFERROR(SUMIF($D:$D,D60,$U:$U),"")</f>
        <v>45</v>
      </c>
      <c r="W60" s="1">
        <f>IF(OR(V60=0,V60=""),"",U60/V60)</f>
        <v>0.22222222222222221</v>
      </c>
      <c r="X60" s="1" t="str">
        <f>IF(OR(M60="",W60=""),"",VALUE(M60)*W60)</f>
        <v/>
      </c>
      <c r="Y60" s="1" t="b">
        <f>IFERROR(ISNUMBER(SEARCH("Not Relevant",H60)),FALSE)</f>
        <v>0</v>
      </c>
      <c r="Z60" s="1" t="str">
        <f>IF(Y60, COUNTIF($Y$2:Y60, TRUE), "")</f>
        <v/>
      </c>
      <c r="AA60" s="1">
        <f>IFERROR(IF(ISNUMBER(SEARCH("Not Relevant",J60)),0,VALUE(G60)),"")</f>
        <v>10</v>
      </c>
      <c r="AB60" s="1">
        <f>IFERROR(SUMIF($D:$D,D60,$AA:$AA),"")</f>
        <v>45</v>
      </c>
      <c r="AC60" s="1">
        <f>IF(OR(AB60=0,AB60=""),"",AA60/AB60)</f>
        <v>0.22222222222222221</v>
      </c>
      <c r="AD60" s="1" t="str">
        <f>IF(OR(N60="",AC60=""),"",VALUE(N60)*AC60)</f>
        <v/>
      </c>
      <c r="AE60" s="1" t="b">
        <f>IFERROR(ISNUMBER(SEARCH("Not Relevant",J60)),FALSE)</f>
        <v>0</v>
      </c>
      <c r="AF60" s="1" t="b">
        <f>IF(OR(H60="",J60=""),FALSE,IF(H60&lt;&gt;J60,TRUE,FALSE))</f>
        <v>0</v>
      </c>
      <c r="AG60" s="1" t="str">
        <f>IF(AF60, COUNTIF($AF$2:AF60, TRUE), "")</f>
        <v/>
      </c>
    </row>
    <row r="61" spans="1:33" ht="86.4" hidden="1" outlineLevel="1" x14ac:dyDescent="0.3">
      <c r="A61" s="1" t="s">
        <v>181</v>
      </c>
      <c r="B61" s="1" t="s">
        <v>34</v>
      </c>
      <c r="C61" s="1" t="s">
        <v>182</v>
      </c>
      <c r="D61" s="1" t="s">
        <v>183</v>
      </c>
      <c r="E61" s="1" t="s">
        <v>190</v>
      </c>
      <c r="F61" s="4" t="s">
        <v>191</v>
      </c>
      <c r="G61" s="5">
        <v>10</v>
      </c>
      <c r="H61" s="6"/>
      <c r="I61" s="3"/>
      <c r="J61" s="6" t="str">
        <f>IF(H61="","",H61)</f>
        <v/>
      </c>
      <c r="K61" s="7"/>
      <c r="L61" s="4" t="s">
        <v>186</v>
      </c>
      <c r="M61" s="1" t="str">
        <f>IFERROR(INDEX(__key!$D:$D,MATCH(O61&amp;"|"&amp;SUBSTITUTE(H61,",",";"), __key!$E:$E, 0)), "")</f>
        <v/>
      </c>
      <c r="N61" s="1" t="str">
        <f>IFERROR(INDEX(__key!$D:$D,MATCH(O61&amp;"|"&amp;SUBSTITUTE(J61,",",";"), __key!$E:$E, 0)), "")</f>
        <v/>
      </c>
      <c r="O61" s="1" t="s">
        <v>40</v>
      </c>
      <c r="P61" s="1"/>
      <c r="Q61" s="1" t="s">
        <v>187</v>
      </c>
      <c r="R61" s="1">
        <v>1513</v>
      </c>
      <c r="S61" s="1">
        <f t="shared" si="43"/>
        <v>0</v>
      </c>
      <c r="T61" s="1">
        <f t="shared" si="43"/>
        <v>0</v>
      </c>
      <c r="U61" s="1">
        <f>IFERROR(IF(ISNUMBER(SEARCH("Not Relevant",H61)),0,VALUE(G61)),"")</f>
        <v>10</v>
      </c>
      <c r="V61" s="1">
        <f>IFERROR(SUMIF($D:$D,D61,$U:$U),"")</f>
        <v>45</v>
      </c>
      <c r="W61" s="1">
        <f>IF(OR(V61=0,V61=""),"",U61/V61)</f>
        <v>0.22222222222222221</v>
      </c>
      <c r="X61" s="1" t="str">
        <f>IF(OR(M61="",W61=""),"",VALUE(M61)*W61)</f>
        <v/>
      </c>
      <c r="Y61" s="1" t="b">
        <f>IFERROR(ISNUMBER(SEARCH("Not Relevant",H61)),FALSE)</f>
        <v>0</v>
      </c>
      <c r="Z61" s="1" t="str">
        <f>IF(Y61, COUNTIF($Y$2:Y61, TRUE), "")</f>
        <v/>
      </c>
      <c r="AA61" s="1">
        <f>IFERROR(IF(ISNUMBER(SEARCH("Not Relevant",J61)),0,VALUE(G61)),"")</f>
        <v>10</v>
      </c>
      <c r="AB61" s="1">
        <f>IFERROR(SUMIF($D:$D,D61,$AA:$AA),"")</f>
        <v>45</v>
      </c>
      <c r="AC61" s="1">
        <f>IF(OR(AB61=0,AB61=""),"",AA61/AB61)</f>
        <v>0.22222222222222221</v>
      </c>
      <c r="AD61" s="1" t="str">
        <f>IF(OR(N61="",AC61=""),"",VALUE(N61)*AC61)</f>
        <v/>
      </c>
      <c r="AE61" s="1" t="b">
        <f>IFERROR(ISNUMBER(SEARCH("Not Relevant",J61)),FALSE)</f>
        <v>0</v>
      </c>
      <c r="AF61" s="1" t="b">
        <f>IF(OR(H61="",J61=""),FALSE,IF(H61&lt;&gt;J61,TRUE,FALSE))</f>
        <v>0</v>
      </c>
      <c r="AG61" s="1" t="str">
        <f>IF(AF61, COUNTIF($AF$2:AF61, TRUE), "")</f>
        <v/>
      </c>
    </row>
    <row r="62" spans="1:33" ht="30" customHeight="1" collapsed="1" x14ac:dyDescent="0.3">
      <c r="A62" s="1"/>
      <c r="B62" s="1"/>
      <c r="C62" s="1"/>
      <c r="D62" s="1"/>
      <c r="E62" s="1"/>
      <c r="F62" s="14" t="s">
        <v>192</v>
      </c>
      <c r="G62" s="15"/>
      <c r="H62" s="14"/>
      <c r="I62" s="14"/>
      <c r="J62" s="14"/>
      <c r="K62" s="14"/>
      <c r="L62" s="14"/>
      <c r="M62" s="1"/>
      <c r="N62" s="1"/>
      <c r="O62" s="1"/>
      <c r="P62" s="1"/>
      <c r="Q62" s="1"/>
      <c r="R62" s="1"/>
      <c r="S62" s="1"/>
      <c r="T62" s="1"/>
      <c r="U62" s="1"/>
      <c r="V62" s="1"/>
      <c r="W62" s="1"/>
      <c r="X62" s="1"/>
      <c r="Y62" s="1"/>
      <c r="Z62" s="1"/>
      <c r="AA62" s="1"/>
      <c r="AB62" s="1"/>
      <c r="AC62" s="1"/>
      <c r="AD62" s="1"/>
      <c r="AE62" s="1"/>
      <c r="AF62" s="1"/>
      <c r="AG62" s="1"/>
    </row>
    <row r="63" spans="1:33" hidden="1" outlineLevel="1" x14ac:dyDescent="0.3">
      <c r="A63" s="1" t="s">
        <v>192</v>
      </c>
      <c r="B63" s="1" t="s">
        <v>34</v>
      </c>
      <c r="C63" s="1" t="s">
        <v>193</v>
      </c>
      <c r="D63" s="1" t="s">
        <v>194</v>
      </c>
      <c r="E63" s="1" t="s">
        <v>195</v>
      </c>
      <c r="F63" s="4" t="s">
        <v>196</v>
      </c>
      <c r="G63" s="5"/>
      <c r="H63" s="6"/>
      <c r="I63" s="3"/>
      <c r="J63" s="6" t="str">
        <f t="shared" ref="J63:J86" si="44">IF(H63="","",H63)</f>
        <v/>
      </c>
      <c r="K63" s="7"/>
      <c r="L63" s="4" t="s">
        <v>197</v>
      </c>
      <c r="M63" s="1" t="str">
        <f>IFERROR(INDEX(__key!$D:$D,MATCH(O63&amp;"|"&amp;SUBSTITUTE(H63,",",";"), __key!$E:$E, 0)), "")</f>
        <v/>
      </c>
      <c r="N63" s="1" t="str">
        <f>IFERROR(INDEX(__key!$D:$D,MATCH(O63&amp;"|"&amp;SUBSTITUTE(J63,",",";"), __key!$E:$E, 0)), "")</f>
        <v/>
      </c>
      <c r="O63" s="1" t="s">
        <v>198</v>
      </c>
      <c r="P63" s="1"/>
      <c r="Q63" s="1" t="s">
        <v>199</v>
      </c>
      <c r="R63" s="1">
        <v>1611</v>
      </c>
      <c r="S63" s="1">
        <f t="shared" ref="S63:S86" si="45">IFERROR(1*M63,0)</f>
        <v>0</v>
      </c>
      <c r="T63" s="1">
        <f t="shared" ref="T63:T86" si="46">IFERROR(1*N63,0)</f>
        <v>0</v>
      </c>
      <c r="U63" s="1">
        <f t="shared" ref="U63:U86" si="47">IFERROR(IF(ISNUMBER(SEARCH("Not Relevant",H63)),0,VALUE(G63)),"")</f>
        <v>0</v>
      </c>
      <c r="V63" s="1">
        <f t="shared" ref="V63:V86" si="48">IFERROR(SUMIF($D:$D,D63,$U:$U),"")</f>
        <v>160</v>
      </c>
      <c r="W63" s="1">
        <f t="shared" ref="W63:W86" si="49">IF(OR(V63=0,V63=""),"",U63/V63)</f>
        <v>0</v>
      </c>
      <c r="X63" s="1" t="str">
        <f t="shared" ref="X63:X86" si="50">IF(OR(M63="",W63=""),"",VALUE(M63)*W63)</f>
        <v/>
      </c>
      <c r="Y63" s="1" t="b">
        <f t="shared" ref="Y63:Y86" si="51">IFERROR(ISNUMBER(SEARCH("Not Relevant",H63)),FALSE)</f>
        <v>0</v>
      </c>
      <c r="Z63" s="1" t="str">
        <f>IF(Y63, COUNTIF($Y$2:Y63, TRUE), "")</f>
        <v/>
      </c>
      <c r="AA63" s="1">
        <f t="shared" ref="AA63:AA86" si="52">IFERROR(IF(ISNUMBER(SEARCH("Not Relevant",J63)),0,VALUE(G63)),"")</f>
        <v>0</v>
      </c>
      <c r="AB63" s="1">
        <f t="shared" ref="AB63:AB86" si="53">IFERROR(SUMIF($D:$D,D63,$AA:$AA),"")</f>
        <v>160</v>
      </c>
      <c r="AC63" s="1">
        <f t="shared" ref="AC63:AC86" si="54">IF(OR(AB63=0,AB63=""),"",AA63/AB63)</f>
        <v>0</v>
      </c>
      <c r="AD63" s="1" t="str">
        <f t="shared" ref="AD63:AD86" si="55">IF(OR(N63="",AC63=""),"",VALUE(N63)*AC63)</f>
        <v/>
      </c>
      <c r="AE63" s="1" t="b">
        <f t="shared" ref="AE63:AE86" si="56">IFERROR(ISNUMBER(SEARCH("Not Relevant",J63)),FALSE)</f>
        <v>0</v>
      </c>
      <c r="AF63" s="1" t="b">
        <f t="shared" ref="AF63:AF86" si="57">IF(OR(H63="",J63=""),FALSE,IF(H63&lt;&gt;J63,TRUE,FALSE))</f>
        <v>0</v>
      </c>
      <c r="AG63" s="1" t="str">
        <f>IF(AF63, COUNTIF($AF$2:AF63, TRUE), "")</f>
        <v/>
      </c>
    </row>
    <row r="64" spans="1:33" ht="57.6" hidden="1" outlineLevel="1" x14ac:dyDescent="0.3">
      <c r="A64" s="1" t="s">
        <v>192</v>
      </c>
      <c r="B64" s="1" t="s">
        <v>34</v>
      </c>
      <c r="C64" s="1" t="s">
        <v>193</v>
      </c>
      <c r="D64" s="1" t="s">
        <v>194</v>
      </c>
      <c r="E64" s="1" t="s">
        <v>200</v>
      </c>
      <c r="F64" s="4" t="s">
        <v>201</v>
      </c>
      <c r="G64" s="5">
        <v>10</v>
      </c>
      <c r="H64" s="6"/>
      <c r="I64" s="3"/>
      <c r="J64" s="6" t="str">
        <f t="shared" si="44"/>
        <v/>
      </c>
      <c r="K64" s="7"/>
      <c r="L64" s="4" t="s">
        <v>186</v>
      </c>
      <c r="M64" s="1" t="str">
        <f>IFERROR(INDEX(__key!$D:$D,MATCH(O64&amp;"|"&amp;SUBSTITUTE(H64,",",";"), __key!$E:$E, 0)), "")</f>
        <v/>
      </c>
      <c r="N64" s="1" t="str">
        <f>IFERROR(INDEX(__key!$D:$D,MATCH(O64&amp;"|"&amp;SUBSTITUTE(J64,",",";"), __key!$E:$E, 0)), "")</f>
        <v/>
      </c>
      <c r="O64" s="1" t="s">
        <v>202</v>
      </c>
      <c r="P64" s="1"/>
      <c r="Q64" s="1" t="s">
        <v>199</v>
      </c>
      <c r="R64" s="1">
        <v>1612</v>
      </c>
      <c r="S64" s="1">
        <f t="shared" si="45"/>
        <v>0</v>
      </c>
      <c r="T64" s="1">
        <f t="shared" si="46"/>
        <v>0</v>
      </c>
      <c r="U64" s="1">
        <f t="shared" si="47"/>
        <v>10</v>
      </c>
      <c r="V64" s="1">
        <f t="shared" si="48"/>
        <v>160</v>
      </c>
      <c r="W64" s="1">
        <f t="shared" si="49"/>
        <v>6.25E-2</v>
      </c>
      <c r="X64" s="1" t="str">
        <f t="shared" si="50"/>
        <v/>
      </c>
      <c r="Y64" s="1" t="b">
        <f t="shared" si="51"/>
        <v>0</v>
      </c>
      <c r="Z64" s="1" t="str">
        <f>IF(Y64, COUNTIF($Y$2:Y64, TRUE), "")</f>
        <v/>
      </c>
      <c r="AA64" s="1">
        <f t="shared" si="52"/>
        <v>10</v>
      </c>
      <c r="AB64" s="1">
        <f t="shared" si="53"/>
        <v>160</v>
      </c>
      <c r="AC64" s="1">
        <f t="shared" si="54"/>
        <v>6.25E-2</v>
      </c>
      <c r="AD64" s="1" t="str">
        <f t="shared" si="55"/>
        <v/>
      </c>
      <c r="AE64" s="1" t="b">
        <f t="shared" si="56"/>
        <v>0</v>
      </c>
      <c r="AF64" s="1" t="b">
        <f t="shared" si="57"/>
        <v>0</v>
      </c>
      <c r="AG64" s="1" t="str">
        <f>IF(AF64, COUNTIF($AF$2:AF64, TRUE), "")</f>
        <v/>
      </c>
    </row>
    <row r="65" spans="1:33" ht="43.2" hidden="1" outlineLevel="1" x14ac:dyDescent="0.3">
      <c r="A65" s="1" t="s">
        <v>192</v>
      </c>
      <c r="B65" s="1" t="s">
        <v>34</v>
      </c>
      <c r="C65" s="1" t="s">
        <v>193</v>
      </c>
      <c r="D65" s="1" t="s">
        <v>194</v>
      </c>
      <c r="E65" s="1" t="s">
        <v>203</v>
      </c>
      <c r="F65" s="4" t="s">
        <v>204</v>
      </c>
      <c r="G65" s="5">
        <v>10</v>
      </c>
      <c r="H65" s="6"/>
      <c r="I65" s="3"/>
      <c r="J65" s="6" t="str">
        <f t="shared" si="44"/>
        <v/>
      </c>
      <c r="K65" s="7"/>
      <c r="L65" s="4" t="s">
        <v>186</v>
      </c>
      <c r="M65" s="1" t="str">
        <f>IFERROR(INDEX(__key!$D:$D,MATCH(O65&amp;"|"&amp;SUBSTITUTE(H65,",",";"), __key!$E:$E, 0)), "")</f>
        <v/>
      </c>
      <c r="N65" s="1" t="str">
        <f>IFERROR(INDEX(__key!$D:$D,MATCH(O65&amp;"|"&amp;SUBSTITUTE(J65,",",";"), __key!$E:$E, 0)), "")</f>
        <v/>
      </c>
      <c r="O65" s="1" t="s">
        <v>202</v>
      </c>
      <c r="P65" s="1"/>
      <c r="Q65" s="1" t="s">
        <v>199</v>
      </c>
      <c r="R65" s="1">
        <v>1613</v>
      </c>
      <c r="S65" s="1">
        <f t="shared" si="45"/>
        <v>0</v>
      </c>
      <c r="T65" s="1">
        <f t="shared" si="46"/>
        <v>0</v>
      </c>
      <c r="U65" s="1">
        <f t="shared" si="47"/>
        <v>10</v>
      </c>
      <c r="V65" s="1">
        <f t="shared" si="48"/>
        <v>160</v>
      </c>
      <c r="W65" s="1">
        <f t="shared" si="49"/>
        <v>6.25E-2</v>
      </c>
      <c r="X65" s="1" t="str">
        <f t="shared" si="50"/>
        <v/>
      </c>
      <c r="Y65" s="1" t="b">
        <f t="shared" si="51"/>
        <v>0</v>
      </c>
      <c r="Z65" s="1" t="str">
        <f>IF(Y65, COUNTIF($Y$2:Y65, TRUE), "")</f>
        <v/>
      </c>
      <c r="AA65" s="1">
        <f t="shared" si="52"/>
        <v>10</v>
      </c>
      <c r="AB65" s="1">
        <f t="shared" si="53"/>
        <v>160</v>
      </c>
      <c r="AC65" s="1">
        <f t="shared" si="54"/>
        <v>6.25E-2</v>
      </c>
      <c r="AD65" s="1" t="str">
        <f t="shared" si="55"/>
        <v/>
      </c>
      <c r="AE65" s="1" t="b">
        <f t="shared" si="56"/>
        <v>0</v>
      </c>
      <c r="AF65" s="1" t="b">
        <f t="shared" si="57"/>
        <v>0</v>
      </c>
      <c r="AG65" s="1" t="str">
        <f>IF(AF65, COUNTIF($AF$2:AF65, TRUE), "")</f>
        <v/>
      </c>
    </row>
    <row r="66" spans="1:33" ht="28.8" hidden="1" outlineLevel="1" x14ac:dyDescent="0.3">
      <c r="A66" s="1" t="s">
        <v>192</v>
      </c>
      <c r="B66" s="1" t="s">
        <v>34</v>
      </c>
      <c r="C66" s="1" t="s">
        <v>193</v>
      </c>
      <c r="D66" s="1" t="s">
        <v>194</v>
      </c>
      <c r="E66" s="1" t="s">
        <v>205</v>
      </c>
      <c r="F66" s="4" t="s">
        <v>206</v>
      </c>
      <c r="G66" s="5">
        <v>15</v>
      </c>
      <c r="H66" s="6"/>
      <c r="I66" s="3"/>
      <c r="J66" s="6" t="str">
        <f t="shared" si="44"/>
        <v/>
      </c>
      <c r="K66" s="7"/>
      <c r="L66" s="4" t="s">
        <v>186</v>
      </c>
      <c r="M66" s="1" t="str">
        <f>IFERROR(INDEX(__key!$D:$D,MATCH(O66&amp;"|"&amp;SUBSTITUTE(H66,",",";"), __key!$E:$E, 0)), "")</f>
        <v/>
      </c>
      <c r="N66" s="1" t="str">
        <f>IFERROR(INDEX(__key!$D:$D,MATCH(O66&amp;"|"&amp;SUBSTITUTE(J66,",",";"), __key!$E:$E, 0)), "")</f>
        <v/>
      </c>
      <c r="O66" s="1" t="s">
        <v>207</v>
      </c>
      <c r="P66" s="1"/>
      <c r="Q66" s="1" t="s">
        <v>199</v>
      </c>
      <c r="R66" s="1">
        <v>1614</v>
      </c>
      <c r="S66" s="1">
        <f t="shared" si="45"/>
        <v>0</v>
      </c>
      <c r="T66" s="1">
        <f t="shared" si="46"/>
        <v>0</v>
      </c>
      <c r="U66" s="1">
        <f t="shared" si="47"/>
        <v>15</v>
      </c>
      <c r="V66" s="1">
        <f t="shared" si="48"/>
        <v>160</v>
      </c>
      <c r="W66" s="1">
        <f t="shared" si="49"/>
        <v>9.375E-2</v>
      </c>
      <c r="X66" s="1" t="str">
        <f t="shared" si="50"/>
        <v/>
      </c>
      <c r="Y66" s="1" t="b">
        <f t="shared" si="51"/>
        <v>0</v>
      </c>
      <c r="Z66" s="1" t="str">
        <f>IF(Y66, COUNTIF($Y$2:Y66, TRUE), "")</f>
        <v/>
      </c>
      <c r="AA66" s="1">
        <f t="shared" si="52"/>
        <v>15</v>
      </c>
      <c r="AB66" s="1">
        <f t="shared" si="53"/>
        <v>160</v>
      </c>
      <c r="AC66" s="1">
        <f t="shared" si="54"/>
        <v>9.375E-2</v>
      </c>
      <c r="AD66" s="1" t="str">
        <f t="shared" si="55"/>
        <v/>
      </c>
      <c r="AE66" s="1" t="b">
        <f t="shared" si="56"/>
        <v>0</v>
      </c>
      <c r="AF66" s="1" t="b">
        <f t="shared" si="57"/>
        <v>0</v>
      </c>
      <c r="AG66" s="1" t="str">
        <f>IF(AF66, COUNTIF($AF$2:AF66, TRUE), "")</f>
        <v/>
      </c>
    </row>
    <row r="67" spans="1:33" ht="43.2" hidden="1" outlineLevel="1" x14ac:dyDescent="0.3">
      <c r="A67" s="1" t="s">
        <v>192</v>
      </c>
      <c r="B67" s="1" t="s">
        <v>34</v>
      </c>
      <c r="C67" s="1" t="s">
        <v>193</v>
      </c>
      <c r="D67" s="1" t="s">
        <v>194</v>
      </c>
      <c r="E67" s="1" t="s">
        <v>208</v>
      </c>
      <c r="F67" s="4" t="s">
        <v>209</v>
      </c>
      <c r="G67" s="5">
        <v>5</v>
      </c>
      <c r="H67" s="6"/>
      <c r="I67" s="3"/>
      <c r="J67" s="6" t="str">
        <f t="shared" si="44"/>
        <v/>
      </c>
      <c r="K67" s="7"/>
      <c r="L67" s="4" t="s">
        <v>186</v>
      </c>
      <c r="M67" s="1" t="str">
        <f>IFERROR(INDEX(__key!$D:$D,MATCH(O67&amp;"|"&amp;SUBSTITUTE(H67,",",";"), __key!$E:$E, 0)), "")</f>
        <v/>
      </c>
      <c r="N67" s="1" t="str">
        <f>IFERROR(INDEX(__key!$D:$D,MATCH(O67&amp;"|"&amp;SUBSTITUTE(J67,",",";"), __key!$E:$E, 0)), "")</f>
        <v/>
      </c>
      <c r="O67" s="1" t="s">
        <v>207</v>
      </c>
      <c r="P67" s="1"/>
      <c r="Q67" s="1" t="s">
        <v>199</v>
      </c>
      <c r="R67" s="1">
        <v>1615</v>
      </c>
      <c r="S67" s="1">
        <f t="shared" si="45"/>
        <v>0</v>
      </c>
      <c r="T67" s="1">
        <f t="shared" si="46"/>
        <v>0</v>
      </c>
      <c r="U67" s="1">
        <f t="shared" si="47"/>
        <v>5</v>
      </c>
      <c r="V67" s="1">
        <f t="shared" si="48"/>
        <v>160</v>
      </c>
      <c r="W67" s="1">
        <f t="shared" si="49"/>
        <v>3.125E-2</v>
      </c>
      <c r="X67" s="1" t="str">
        <f t="shared" si="50"/>
        <v/>
      </c>
      <c r="Y67" s="1" t="b">
        <f t="shared" si="51"/>
        <v>0</v>
      </c>
      <c r="Z67" s="1" t="str">
        <f>IF(Y67, COUNTIF($Y$2:Y67, TRUE), "")</f>
        <v/>
      </c>
      <c r="AA67" s="1">
        <f t="shared" si="52"/>
        <v>5</v>
      </c>
      <c r="AB67" s="1">
        <f t="shared" si="53"/>
        <v>160</v>
      </c>
      <c r="AC67" s="1">
        <f t="shared" si="54"/>
        <v>3.125E-2</v>
      </c>
      <c r="AD67" s="1" t="str">
        <f t="shared" si="55"/>
        <v/>
      </c>
      <c r="AE67" s="1" t="b">
        <f t="shared" si="56"/>
        <v>0</v>
      </c>
      <c r="AF67" s="1" t="b">
        <f t="shared" si="57"/>
        <v>0</v>
      </c>
      <c r="AG67" s="1" t="str">
        <f>IF(AF67, COUNTIF($AF$2:AF67, TRUE), "")</f>
        <v/>
      </c>
    </row>
    <row r="68" spans="1:33" ht="43.2" hidden="1" outlineLevel="1" x14ac:dyDescent="0.3">
      <c r="A68" s="1" t="s">
        <v>192</v>
      </c>
      <c r="B68" s="1" t="s">
        <v>34</v>
      </c>
      <c r="C68" s="1" t="s">
        <v>193</v>
      </c>
      <c r="D68" s="1" t="s">
        <v>194</v>
      </c>
      <c r="E68" s="1" t="s">
        <v>210</v>
      </c>
      <c r="F68" s="4" t="s">
        <v>211</v>
      </c>
      <c r="G68" s="5">
        <v>5</v>
      </c>
      <c r="H68" s="6"/>
      <c r="I68" s="3"/>
      <c r="J68" s="6" t="str">
        <f t="shared" si="44"/>
        <v/>
      </c>
      <c r="K68" s="7"/>
      <c r="L68" s="4" t="s">
        <v>186</v>
      </c>
      <c r="M68" s="1" t="str">
        <f>IFERROR(INDEX(__key!$D:$D,MATCH(O68&amp;"|"&amp;SUBSTITUTE(H68,",",";"), __key!$E:$E, 0)), "")</f>
        <v/>
      </c>
      <c r="N68" s="1" t="str">
        <f>IFERROR(INDEX(__key!$D:$D,MATCH(O68&amp;"|"&amp;SUBSTITUTE(J68,",",";"), __key!$E:$E, 0)), "")</f>
        <v/>
      </c>
      <c r="O68" s="1" t="s">
        <v>207</v>
      </c>
      <c r="P68" s="1"/>
      <c r="Q68" s="1" t="s">
        <v>199</v>
      </c>
      <c r="R68" s="1">
        <v>1616</v>
      </c>
      <c r="S68" s="1">
        <f t="shared" si="45"/>
        <v>0</v>
      </c>
      <c r="T68" s="1">
        <f t="shared" si="46"/>
        <v>0</v>
      </c>
      <c r="U68" s="1">
        <f t="shared" si="47"/>
        <v>5</v>
      </c>
      <c r="V68" s="1">
        <f t="shared" si="48"/>
        <v>160</v>
      </c>
      <c r="W68" s="1">
        <f t="shared" si="49"/>
        <v>3.125E-2</v>
      </c>
      <c r="X68" s="1" t="str">
        <f t="shared" si="50"/>
        <v/>
      </c>
      <c r="Y68" s="1" t="b">
        <f t="shared" si="51"/>
        <v>0</v>
      </c>
      <c r="Z68" s="1" t="str">
        <f>IF(Y68, COUNTIF($Y$2:Y68, TRUE), "")</f>
        <v/>
      </c>
      <c r="AA68" s="1">
        <f t="shared" si="52"/>
        <v>5</v>
      </c>
      <c r="AB68" s="1">
        <f t="shared" si="53"/>
        <v>160</v>
      </c>
      <c r="AC68" s="1">
        <f t="shared" si="54"/>
        <v>3.125E-2</v>
      </c>
      <c r="AD68" s="1" t="str">
        <f t="shared" si="55"/>
        <v/>
      </c>
      <c r="AE68" s="1" t="b">
        <f t="shared" si="56"/>
        <v>0</v>
      </c>
      <c r="AF68" s="1" t="b">
        <f t="shared" si="57"/>
        <v>0</v>
      </c>
      <c r="AG68" s="1" t="str">
        <f>IF(AF68, COUNTIF($AF$2:AF68, TRUE), "")</f>
        <v/>
      </c>
    </row>
    <row r="69" spans="1:33" ht="43.2" hidden="1" outlineLevel="1" x14ac:dyDescent="0.3">
      <c r="A69" s="1" t="s">
        <v>192</v>
      </c>
      <c r="B69" s="1" t="s">
        <v>34</v>
      </c>
      <c r="C69" s="1" t="s">
        <v>193</v>
      </c>
      <c r="D69" s="1" t="s">
        <v>194</v>
      </c>
      <c r="E69" s="1" t="s">
        <v>212</v>
      </c>
      <c r="F69" s="4" t="s">
        <v>213</v>
      </c>
      <c r="G69" s="5">
        <v>5</v>
      </c>
      <c r="H69" s="6"/>
      <c r="I69" s="3"/>
      <c r="J69" s="6" t="str">
        <f t="shared" si="44"/>
        <v/>
      </c>
      <c r="K69" s="7"/>
      <c r="L69" s="4" t="s">
        <v>186</v>
      </c>
      <c r="M69" s="1" t="str">
        <f>IFERROR(INDEX(__key!$D:$D,MATCH(O69&amp;"|"&amp;SUBSTITUTE(H69,",",";"), __key!$E:$E, 0)), "")</f>
        <v/>
      </c>
      <c r="N69" s="1" t="str">
        <f>IFERROR(INDEX(__key!$D:$D,MATCH(O69&amp;"|"&amp;SUBSTITUTE(J69,",",";"), __key!$E:$E, 0)), "")</f>
        <v/>
      </c>
      <c r="O69" s="1" t="s">
        <v>207</v>
      </c>
      <c r="P69" s="1"/>
      <c r="Q69" s="1" t="s">
        <v>199</v>
      </c>
      <c r="R69" s="1">
        <v>1617</v>
      </c>
      <c r="S69" s="1">
        <f t="shared" si="45"/>
        <v>0</v>
      </c>
      <c r="T69" s="1">
        <f t="shared" si="46"/>
        <v>0</v>
      </c>
      <c r="U69" s="1">
        <f t="shared" si="47"/>
        <v>5</v>
      </c>
      <c r="V69" s="1">
        <f t="shared" si="48"/>
        <v>160</v>
      </c>
      <c r="W69" s="1">
        <f t="shared" si="49"/>
        <v>3.125E-2</v>
      </c>
      <c r="X69" s="1" t="str">
        <f t="shared" si="50"/>
        <v/>
      </c>
      <c r="Y69" s="1" t="b">
        <f t="shared" si="51"/>
        <v>0</v>
      </c>
      <c r="Z69" s="1" t="str">
        <f>IF(Y69, COUNTIF($Y$2:Y69, TRUE), "")</f>
        <v/>
      </c>
      <c r="AA69" s="1">
        <f t="shared" si="52"/>
        <v>5</v>
      </c>
      <c r="AB69" s="1">
        <f t="shared" si="53"/>
        <v>160</v>
      </c>
      <c r="AC69" s="1">
        <f t="shared" si="54"/>
        <v>3.125E-2</v>
      </c>
      <c r="AD69" s="1" t="str">
        <f t="shared" si="55"/>
        <v/>
      </c>
      <c r="AE69" s="1" t="b">
        <f t="shared" si="56"/>
        <v>0</v>
      </c>
      <c r="AF69" s="1" t="b">
        <f t="shared" si="57"/>
        <v>0</v>
      </c>
      <c r="AG69" s="1" t="str">
        <f>IF(AF69, COUNTIF($AF$2:AF69, TRUE), "")</f>
        <v/>
      </c>
    </row>
    <row r="70" spans="1:33" ht="43.2" hidden="1" outlineLevel="1" x14ac:dyDescent="0.3">
      <c r="A70" s="1" t="s">
        <v>192</v>
      </c>
      <c r="B70" s="1" t="s">
        <v>34</v>
      </c>
      <c r="C70" s="1" t="s">
        <v>193</v>
      </c>
      <c r="D70" s="1" t="s">
        <v>194</v>
      </c>
      <c r="E70" s="1" t="s">
        <v>214</v>
      </c>
      <c r="F70" s="4" t="s">
        <v>215</v>
      </c>
      <c r="G70" s="5">
        <v>5</v>
      </c>
      <c r="H70" s="6"/>
      <c r="I70" s="3"/>
      <c r="J70" s="6" t="str">
        <f t="shared" si="44"/>
        <v/>
      </c>
      <c r="K70" s="7"/>
      <c r="L70" s="4" t="s">
        <v>186</v>
      </c>
      <c r="M70" s="1" t="str">
        <f>IFERROR(INDEX(__key!$D:$D,MATCH(O70&amp;"|"&amp;SUBSTITUTE(H70,",",";"), __key!$E:$E, 0)), "")</f>
        <v/>
      </c>
      <c r="N70" s="1" t="str">
        <f>IFERROR(INDEX(__key!$D:$D,MATCH(O70&amp;"|"&amp;SUBSTITUTE(J70,",",";"), __key!$E:$E, 0)), "")</f>
        <v/>
      </c>
      <c r="O70" s="1" t="s">
        <v>207</v>
      </c>
      <c r="P70" s="1"/>
      <c r="Q70" s="1" t="s">
        <v>199</v>
      </c>
      <c r="R70" s="1">
        <v>1618</v>
      </c>
      <c r="S70" s="1">
        <f t="shared" si="45"/>
        <v>0</v>
      </c>
      <c r="T70" s="1">
        <f t="shared" si="46"/>
        <v>0</v>
      </c>
      <c r="U70" s="1">
        <f t="shared" si="47"/>
        <v>5</v>
      </c>
      <c r="V70" s="1">
        <f t="shared" si="48"/>
        <v>160</v>
      </c>
      <c r="W70" s="1">
        <f t="shared" si="49"/>
        <v>3.125E-2</v>
      </c>
      <c r="X70" s="1" t="str">
        <f t="shared" si="50"/>
        <v/>
      </c>
      <c r="Y70" s="1" t="b">
        <f t="shared" si="51"/>
        <v>0</v>
      </c>
      <c r="Z70" s="1" t="str">
        <f>IF(Y70, COUNTIF($Y$2:Y70, TRUE), "")</f>
        <v/>
      </c>
      <c r="AA70" s="1">
        <f t="shared" si="52"/>
        <v>5</v>
      </c>
      <c r="AB70" s="1">
        <f t="shared" si="53"/>
        <v>160</v>
      </c>
      <c r="AC70" s="1">
        <f t="shared" si="54"/>
        <v>3.125E-2</v>
      </c>
      <c r="AD70" s="1" t="str">
        <f t="shared" si="55"/>
        <v/>
      </c>
      <c r="AE70" s="1" t="b">
        <f t="shared" si="56"/>
        <v>0</v>
      </c>
      <c r="AF70" s="1" t="b">
        <f t="shared" si="57"/>
        <v>0</v>
      </c>
      <c r="AG70" s="1" t="str">
        <f>IF(AF70, COUNTIF($AF$2:AF70, TRUE), "")</f>
        <v/>
      </c>
    </row>
    <row r="71" spans="1:33" ht="43.2" hidden="1" outlineLevel="1" x14ac:dyDescent="0.3">
      <c r="A71" s="1" t="s">
        <v>192</v>
      </c>
      <c r="B71" s="1" t="s">
        <v>34</v>
      </c>
      <c r="C71" s="1" t="s">
        <v>193</v>
      </c>
      <c r="D71" s="1" t="s">
        <v>194</v>
      </c>
      <c r="E71" s="1" t="s">
        <v>216</v>
      </c>
      <c r="F71" s="4" t="s">
        <v>217</v>
      </c>
      <c r="G71" s="5">
        <v>5</v>
      </c>
      <c r="H71" s="6"/>
      <c r="I71" s="3"/>
      <c r="J71" s="6" t="str">
        <f t="shared" si="44"/>
        <v/>
      </c>
      <c r="K71" s="7"/>
      <c r="L71" s="4" t="s">
        <v>186</v>
      </c>
      <c r="M71" s="1" t="str">
        <f>IFERROR(INDEX(__key!$D:$D,MATCH(O71&amp;"|"&amp;SUBSTITUTE(H71,",",";"), __key!$E:$E, 0)), "")</f>
        <v/>
      </c>
      <c r="N71" s="1" t="str">
        <f>IFERROR(INDEX(__key!$D:$D,MATCH(O71&amp;"|"&amp;SUBSTITUTE(J71,",",";"), __key!$E:$E, 0)), "")</f>
        <v/>
      </c>
      <c r="O71" s="1" t="s">
        <v>207</v>
      </c>
      <c r="P71" s="1"/>
      <c r="Q71" s="1" t="s">
        <v>199</v>
      </c>
      <c r="R71" s="1">
        <v>1619</v>
      </c>
      <c r="S71" s="1">
        <f t="shared" si="45"/>
        <v>0</v>
      </c>
      <c r="T71" s="1">
        <f t="shared" si="46"/>
        <v>0</v>
      </c>
      <c r="U71" s="1">
        <f t="shared" si="47"/>
        <v>5</v>
      </c>
      <c r="V71" s="1">
        <f t="shared" si="48"/>
        <v>160</v>
      </c>
      <c r="W71" s="1">
        <f t="shared" si="49"/>
        <v>3.125E-2</v>
      </c>
      <c r="X71" s="1" t="str">
        <f t="shared" si="50"/>
        <v/>
      </c>
      <c r="Y71" s="1" t="b">
        <f t="shared" si="51"/>
        <v>0</v>
      </c>
      <c r="Z71" s="1" t="str">
        <f>IF(Y71, COUNTIF($Y$2:Y71, TRUE), "")</f>
        <v/>
      </c>
      <c r="AA71" s="1">
        <f t="shared" si="52"/>
        <v>5</v>
      </c>
      <c r="AB71" s="1">
        <f t="shared" si="53"/>
        <v>160</v>
      </c>
      <c r="AC71" s="1">
        <f t="shared" si="54"/>
        <v>3.125E-2</v>
      </c>
      <c r="AD71" s="1" t="str">
        <f t="shared" si="55"/>
        <v/>
      </c>
      <c r="AE71" s="1" t="b">
        <f t="shared" si="56"/>
        <v>0</v>
      </c>
      <c r="AF71" s="1" t="b">
        <f t="shared" si="57"/>
        <v>0</v>
      </c>
      <c r="AG71" s="1" t="str">
        <f>IF(AF71, COUNTIF($AF$2:AF71, TRUE), "")</f>
        <v/>
      </c>
    </row>
    <row r="72" spans="1:33" ht="43.2" hidden="1" outlineLevel="1" x14ac:dyDescent="0.3">
      <c r="A72" s="1" t="s">
        <v>192</v>
      </c>
      <c r="B72" s="1" t="s">
        <v>34</v>
      </c>
      <c r="C72" s="1" t="s">
        <v>193</v>
      </c>
      <c r="D72" s="1" t="s">
        <v>194</v>
      </c>
      <c r="E72" s="1" t="s">
        <v>218</v>
      </c>
      <c r="F72" s="4" t="s">
        <v>219</v>
      </c>
      <c r="G72" s="5">
        <v>5</v>
      </c>
      <c r="H72" s="6"/>
      <c r="I72" s="3"/>
      <c r="J72" s="6" t="str">
        <f t="shared" si="44"/>
        <v/>
      </c>
      <c r="K72" s="7"/>
      <c r="L72" s="4" t="s">
        <v>186</v>
      </c>
      <c r="M72" s="1" t="str">
        <f>IFERROR(INDEX(__key!$D:$D,MATCH(O72&amp;"|"&amp;SUBSTITUTE(H72,",",";"), __key!$E:$E, 0)), "")</f>
        <v/>
      </c>
      <c r="N72" s="1" t="str">
        <f>IFERROR(INDEX(__key!$D:$D,MATCH(O72&amp;"|"&amp;SUBSTITUTE(J72,",",";"), __key!$E:$E, 0)), "")</f>
        <v/>
      </c>
      <c r="O72" s="1" t="s">
        <v>207</v>
      </c>
      <c r="P72" s="1"/>
      <c r="Q72" s="1" t="s">
        <v>199</v>
      </c>
      <c r="R72" s="1">
        <v>16110</v>
      </c>
      <c r="S72" s="1">
        <f t="shared" si="45"/>
        <v>0</v>
      </c>
      <c r="T72" s="1">
        <f t="shared" si="46"/>
        <v>0</v>
      </c>
      <c r="U72" s="1">
        <f t="shared" si="47"/>
        <v>5</v>
      </c>
      <c r="V72" s="1">
        <f t="shared" si="48"/>
        <v>160</v>
      </c>
      <c r="W72" s="1">
        <f t="shared" si="49"/>
        <v>3.125E-2</v>
      </c>
      <c r="X72" s="1" t="str">
        <f t="shared" si="50"/>
        <v/>
      </c>
      <c r="Y72" s="1" t="b">
        <f t="shared" si="51"/>
        <v>0</v>
      </c>
      <c r="Z72" s="1" t="str">
        <f>IF(Y72, COUNTIF($Y$2:Y72, TRUE), "")</f>
        <v/>
      </c>
      <c r="AA72" s="1">
        <f t="shared" si="52"/>
        <v>5</v>
      </c>
      <c r="AB72" s="1">
        <f t="shared" si="53"/>
        <v>160</v>
      </c>
      <c r="AC72" s="1">
        <f t="shared" si="54"/>
        <v>3.125E-2</v>
      </c>
      <c r="AD72" s="1" t="str">
        <f t="shared" si="55"/>
        <v/>
      </c>
      <c r="AE72" s="1" t="b">
        <f t="shared" si="56"/>
        <v>0</v>
      </c>
      <c r="AF72" s="1" t="b">
        <f t="shared" si="57"/>
        <v>0</v>
      </c>
      <c r="AG72" s="1" t="str">
        <f>IF(AF72, COUNTIF($AF$2:AF72, TRUE), "")</f>
        <v/>
      </c>
    </row>
    <row r="73" spans="1:33" ht="43.2" hidden="1" outlineLevel="1" x14ac:dyDescent="0.3">
      <c r="A73" s="1" t="s">
        <v>192</v>
      </c>
      <c r="B73" s="1" t="s">
        <v>34</v>
      </c>
      <c r="C73" s="1" t="s">
        <v>193</v>
      </c>
      <c r="D73" s="1" t="s">
        <v>194</v>
      </c>
      <c r="E73" s="1" t="s">
        <v>220</v>
      </c>
      <c r="F73" s="4" t="s">
        <v>221</v>
      </c>
      <c r="G73" s="5">
        <v>5</v>
      </c>
      <c r="H73" s="6"/>
      <c r="I73" s="3"/>
      <c r="J73" s="6" t="str">
        <f t="shared" si="44"/>
        <v/>
      </c>
      <c r="K73" s="7"/>
      <c r="L73" s="4" t="s">
        <v>186</v>
      </c>
      <c r="M73" s="1" t="str">
        <f>IFERROR(INDEX(__key!$D:$D,MATCH(O73&amp;"|"&amp;SUBSTITUTE(H73,",",";"), __key!$E:$E, 0)), "")</f>
        <v/>
      </c>
      <c r="N73" s="1" t="str">
        <f>IFERROR(INDEX(__key!$D:$D,MATCH(O73&amp;"|"&amp;SUBSTITUTE(J73,",",";"), __key!$E:$E, 0)), "")</f>
        <v/>
      </c>
      <c r="O73" s="1" t="s">
        <v>207</v>
      </c>
      <c r="P73" s="1"/>
      <c r="Q73" s="1" t="s">
        <v>199</v>
      </c>
      <c r="R73" s="1">
        <v>16111</v>
      </c>
      <c r="S73" s="1">
        <f t="shared" si="45"/>
        <v>0</v>
      </c>
      <c r="T73" s="1">
        <f t="shared" si="46"/>
        <v>0</v>
      </c>
      <c r="U73" s="1">
        <f t="shared" si="47"/>
        <v>5</v>
      </c>
      <c r="V73" s="1">
        <f t="shared" si="48"/>
        <v>160</v>
      </c>
      <c r="W73" s="1">
        <f t="shared" si="49"/>
        <v>3.125E-2</v>
      </c>
      <c r="X73" s="1" t="str">
        <f t="shared" si="50"/>
        <v/>
      </c>
      <c r="Y73" s="1" t="b">
        <f t="shared" si="51"/>
        <v>0</v>
      </c>
      <c r="Z73" s="1" t="str">
        <f>IF(Y73, COUNTIF($Y$2:Y73, TRUE), "")</f>
        <v/>
      </c>
      <c r="AA73" s="1">
        <f t="shared" si="52"/>
        <v>5</v>
      </c>
      <c r="AB73" s="1">
        <f t="shared" si="53"/>
        <v>160</v>
      </c>
      <c r="AC73" s="1">
        <f t="shared" si="54"/>
        <v>3.125E-2</v>
      </c>
      <c r="AD73" s="1" t="str">
        <f t="shared" si="55"/>
        <v/>
      </c>
      <c r="AE73" s="1" t="b">
        <f t="shared" si="56"/>
        <v>0</v>
      </c>
      <c r="AF73" s="1" t="b">
        <f t="shared" si="57"/>
        <v>0</v>
      </c>
      <c r="AG73" s="1" t="str">
        <f>IF(AF73, COUNTIF($AF$2:AF73, TRUE), "")</f>
        <v/>
      </c>
    </row>
    <row r="74" spans="1:33" ht="43.2" hidden="1" outlineLevel="1" x14ac:dyDescent="0.3">
      <c r="A74" s="1" t="s">
        <v>192</v>
      </c>
      <c r="B74" s="1" t="s">
        <v>34</v>
      </c>
      <c r="C74" s="1" t="s">
        <v>193</v>
      </c>
      <c r="D74" s="1" t="s">
        <v>194</v>
      </c>
      <c r="E74" s="1" t="s">
        <v>222</v>
      </c>
      <c r="F74" s="4" t="s">
        <v>223</v>
      </c>
      <c r="G74" s="5">
        <v>5</v>
      </c>
      <c r="H74" s="6"/>
      <c r="I74" s="3"/>
      <c r="J74" s="6" t="str">
        <f t="shared" si="44"/>
        <v/>
      </c>
      <c r="K74" s="7"/>
      <c r="L74" s="4" t="s">
        <v>186</v>
      </c>
      <c r="M74" s="1" t="str">
        <f>IFERROR(INDEX(__key!$D:$D,MATCH(O74&amp;"|"&amp;SUBSTITUTE(H74,",",";"), __key!$E:$E, 0)), "")</f>
        <v/>
      </c>
      <c r="N74" s="1" t="str">
        <f>IFERROR(INDEX(__key!$D:$D,MATCH(O74&amp;"|"&amp;SUBSTITUTE(J74,",",";"), __key!$E:$E, 0)), "")</f>
        <v/>
      </c>
      <c r="O74" s="1" t="s">
        <v>207</v>
      </c>
      <c r="P74" s="1"/>
      <c r="Q74" s="1" t="s">
        <v>199</v>
      </c>
      <c r="R74" s="1">
        <v>16112</v>
      </c>
      <c r="S74" s="1">
        <f t="shared" si="45"/>
        <v>0</v>
      </c>
      <c r="T74" s="1">
        <f t="shared" si="46"/>
        <v>0</v>
      </c>
      <c r="U74" s="1">
        <f t="shared" si="47"/>
        <v>5</v>
      </c>
      <c r="V74" s="1">
        <f t="shared" si="48"/>
        <v>160</v>
      </c>
      <c r="W74" s="1">
        <f t="shared" si="49"/>
        <v>3.125E-2</v>
      </c>
      <c r="X74" s="1" t="str">
        <f t="shared" si="50"/>
        <v/>
      </c>
      <c r="Y74" s="1" t="b">
        <f t="shared" si="51"/>
        <v>0</v>
      </c>
      <c r="Z74" s="1" t="str">
        <f>IF(Y74, COUNTIF($Y$2:Y74, TRUE), "")</f>
        <v/>
      </c>
      <c r="AA74" s="1">
        <f t="shared" si="52"/>
        <v>5</v>
      </c>
      <c r="AB74" s="1">
        <f t="shared" si="53"/>
        <v>160</v>
      </c>
      <c r="AC74" s="1">
        <f t="shared" si="54"/>
        <v>3.125E-2</v>
      </c>
      <c r="AD74" s="1" t="str">
        <f t="shared" si="55"/>
        <v/>
      </c>
      <c r="AE74" s="1" t="b">
        <f t="shared" si="56"/>
        <v>0</v>
      </c>
      <c r="AF74" s="1" t="b">
        <f t="shared" si="57"/>
        <v>0</v>
      </c>
      <c r="AG74" s="1" t="str">
        <f>IF(AF74, COUNTIF($AF$2:AF74, TRUE), "")</f>
        <v/>
      </c>
    </row>
    <row r="75" spans="1:33" ht="43.2" hidden="1" outlineLevel="1" x14ac:dyDescent="0.3">
      <c r="A75" s="1" t="s">
        <v>192</v>
      </c>
      <c r="B75" s="1" t="s">
        <v>34</v>
      </c>
      <c r="C75" s="1" t="s">
        <v>193</v>
      </c>
      <c r="D75" s="1" t="s">
        <v>194</v>
      </c>
      <c r="E75" s="1" t="s">
        <v>224</v>
      </c>
      <c r="F75" s="4" t="s">
        <v>225</v>
      </c>
      <c r="G75" s="5">
        <v>5</v>
      </c>
      <c r="H75" s="6"/>
      <c r="I75" s="3"/>
      <c r="J75" s="6" t="str">
        <f t="shared" si="44"/>
        <v/>
      </c>
      <c r="K75" s="7"/>
      <c r="L75" s="4" t="s">
        <v>186</v>
      </c>
      <c r="M75" s="1" t="str">
        <f>IFERROR(INDEX(__key!$D:$D,MATCH(O75&amp;"|"&amp;SUBSTITUTE(H75,",",";"), __key!$E:$E, 0)), "")</f>
        <v/>
      </c>
      <c r="N75" s="1" t="str">
        <f>IFERROR(INDEX(__key!$D:$D,MATCH(O75&amp;"|"&amp;SUBSTITUTE(J75,",",";"), __key!$E:$E, 0)), "")</f>
        <v/>
      </c>
      <c r="O75" s="1" t="s">
        <v>207</v>
      </c>
      <c r="P75" s="1"/>
      <c r="Q75" s="1" t="s">
        <v>199</v>
      </c>
      <c r="R75" s="1">
        <v>16113</v>
      </c>
      <c r="S75" s="1">
        <f t="shared" si="45"/>
        <v>0</v>
      </c>
      <c r="T75" s="1">
        <f t="shared" si="46"/>
        <v>0</v>
      </c>
      <c r="U75" s="1">
        <f t="shared" si="47"/>
        <v>5</v>
      </c>
      <c r="V75" s="1">
        <f t="shared" si="48"/>
        <v>160</v>
      </c>
      <c r="W75" s="1">
        <f t="shared" si="49"/>
        <v>3.125E-2</v>
      </c>
      <c r="X75" s="1" t="str">
        <f t="shared" si="50"/>
        <v/>
      </c>
      <c r="Y75" s="1" t="b">
        <f t="shared" si="51"/>
        <v>0</v>
      </c>
      <c r="Z75" s="1" t="str">
        <f>IF(Y75, COUNTIF($Y$2:Y75, TRUE), "")</f>
        <v/>
      </c>
      <c r="AA75" s="1">
        <f t="shared" si="52"/>
        <v>5</v>
      </c>
      <c r="AB75" s="1">
        <f t="shared" si="53"/>
        <v>160</v>
      </c>
      <c r="AC75" s="1">
        <f t="shared" si="54"/>
        <v>3.125E-2</v>
      </c>
      <c r="AD75" s="1" t="str">
        <f t="shared" si="55"/>
        <v/>
      </c>
      <c r="AE75" s="1" t="b">
        <f t="shared" si="56"/>
        <v>0</v>
      </c>
      <c r="AF75" s="1" t="b">
        <f t="shared" si="57"/>
        <v>0</v>
      </c>
      <c r="AG75" s="1" t="str">
        <f>IF(AF75, COUNTIF($AF$2:AF75, TRUE), "")</f>
        <v/>
      </c>
    </row>
    <row r="76" spans="1:33" ht="28.8" hidden="1" outlineLevel="1" x14ac:dyDescent="0.3">
      <c r="A76" s="1" t="s">
        <v>192</v>
      </c>
      <c r="B76" s="1" t="s">
        <v>34</v>
      </c>
      <c r="C76" s="1" t="s">
        <v>193</v>
      </c>
      <c r="D76" s="1" t="s">
        <v>194</v>
      </c>
      <c r="E76" s="1" t="s">
        <v>226</v>
      </c>
      <c r="F76" s="4" t="s">
        <v>227</v>
      </c>
      <c r="G76" s="5">
        <v>10</v>
      </c>
      <c r="H76" s="6"/>
      <c r="I76" s="3"/>
      <c r="J76" s="6" t="str">
        <f t="shared" si="44"/>
        <v/>
      </c>
      <c r="K76" s="7"/>
      <c r="L76" s="4" t="s">
        <v>186</v>
      </c>
      <c r="M76" s="1" t="str">
        <f>IFERROR(INDEX(__key!$D:$D,MATCH(O76&amp;"|"&amp;SUBSTITUTE(H76,",",";"), __key!$E:$E, 0)), "")</f>
        <v/>
      </c>
      <c r="N76" s="1" t="str">
        <f>IFERROR(INDEX(__key!$D:$D,MATCH(O76&amp;"|"&amp;SUBSTITUTE(J76,",",";"), __key!$E:$E, 0)), "")</f>
        <v/>
      </c>
      <c r="O76" s="1" t="s">
        <v>202</v>
      </c>
      <c r="P76" s="1"/>
      <c r="Q76" s="1" t="s">
        <v>199</v>
      </c>
      <c r="R76" s="1">
        <v>16114</v>
      </c>
      <c r="S76" s="1">
        <f t="shared" si="45"/>
        <v>0</v>
      </c>
      <c r="T76" s="1">
        <f t="shared" si="46"/>
        <v>0</v>
      </c>
      <c r="U76" s="1">
        <f t="shared" si="47"/>
        <v>10</v>
      </c>
      <c r="V76" s="1">
        <f t="shared" si="48"/>
        <v>160</v>
      </c>
      <c r="W76" s="1">
        <f t="shared" si="49"/>
        <v>6.25E-2</v>
      </c>
      <c r="X76" s="1" t="str">
        <f t="shared" si="50"/>
        <v/>
      </c>
      <c r="Y76" s="1" t="b">
        <f t="shared" si="51"/>
        <v>0</v>
      </c>
      <c r="Z76" s="1" t="str">
        <f>IF(Y76, COUNTIF($Y$2:Y76, TRUE), "")</f>
        <v/>
      </c>
      <c r="AA76" s="1">
        <f t="shared" si="52"/>
        <v>10</v>
      </c>
      <c r="AB76" s="1">
        <f t="shared" si="53"/>
        <v>160</v>
      </c>
      <c r="AC76" s="1">
        <f t="shared" si="54"/>
        <v>6.25E-2</v>
      </c>
      <c r="AD76" s="1" t="str">
        <f t="shared" si="55"/>
        <v/>
      </c>
      <c r="AE76" s="1" t="b">
        <f t="shared" si="56"/>
        <v>0</v>
      </c>
      <c r="AF76" s="1" t="b">
        <f t="shared" si="57"/>
        <v>0</v>
      </c>
      <c r="AG76" s="1" t="str">
        <f>IF(AF76, COUNTIF($AF$2:AF76, TRUE), "")</f>
        <v/>
      </c>
    </row>
    <row r="77" spans="1:33" ht="28.8" hidden="1" outlineLevel="1" x14ac:dyDescent="0.3">
      <c r="A77" s="1" t="s">
        <v>192</v>
      </c>
      <c r="B77" s="1" t="s">
        <v>34</v>
      </c>
      <c r="C77" s="1" t="s">
        <v>193</v>
      </c>
      <c r="D77" s="1" t="s">
        <v>194</v>
      </c>
      <c r="E77" s="1" t="s">
        <v>228</v>
      </c>
      <c r="F77" s="4" t="s">
        <v>229</v>
      </c>
      <c r="G77" s="5">
        <v>10</v>
      </c>
      <c r="H77" s="6"/>
      <c r="I77" s="3"/>
      <c r="J77" s="6" t="str">
        <f t="shared" si="44"/>
        <v/>
      </c>
      <c r="K77" s="7"/>
      <c r="L77" s="4" t="s">
        <v>186</v>
      </c>
      <c r="M77" s="1" t="str">
        <f>IFERROR(INDEX(__key!$D:$D,MATCH(O77&amp;"|"&amp;SUBSTITUTE(H77,",",";"), __key!$E:$E, 0)), "")</f>
        <v/>
      </c>
      <c r="N77" s="1" t="str">
        <f>IFERROR(INDEX(__key!$D:$D,MATCH(O77&amp;"|"&amp;SUBSTITUTE(J77,",",";"), __key!$E:$E, 0)), "")</f>
        <v/>
      </c>
      <c r="O77" s="1" t="s">
        <v>202</v>
      </c>
      <c r="P77" s="1"/>
      <c r="Q77" s="1" t="s">
        <v>199</v>
      </c>
      <c r="R77" s="1">
        <v>16115</v>
      </c>
      <c r="S77" s="1">
        <f t="shared" si="45"/>
        <v>0</v>
      </c>
      <c r="T77" s="1">
        <f t="shared" si="46"/>
        <v>0</v>
      </c>
      <c r="U77" s="1">
        <f t="shared" si="47"/>
        <v>10</v>
      </c>
      <c r="V77" s="1">
        <f t="shared" si="48"/>
        <v>160</v>
      </c>
      <c r="W77" s="1">
        <f t="shared" si="49"/>
        <v>6.25E-2</v>
      </c>
      <c r="X77" s="1" t="str">
        <f t="shared" si="50"/>
        <v/>
      </c>
      <c r="Y77" s="1" t="b">
        <f t="shared" si="51"/>
        <v>0</v>
      </c>
      <c r="Z77" s="1" t="str">
        <f>IF(Y77, COUNTIF($Y$2:Y77, TRUE), "")</f>
        <v/>
      </c>
      <c r="AA77" s="1">
        <f t="shared" si="52"/>
        <v>10</v>
      </c>
      <c r="AB77" s="1">
        <f t="shared" si="53"/>
        <v>160</v>
      </c>
      <c r="AC77" s="1">
        <f t="shared" si="54"/>
        <v>6.25E-2</v>
      </c>
      <c r="AD77" s="1" t="str">
        <f t="shared" si="55"/>
        <v/>
      </c>
      <c r="AE77" s="1" t="b">
        <f t="shared" si="56"/>
        <v>0</v>
      </c>
      <c r="AF77" s="1" t="b">
        <f t="shared" si="57"/>
        <v>0</v>
      </c>
      <c r="AG77" s="1" t="str">
        <f>IF(AF77, COUNTIF($AF$2:AF77, TRUE), "")</f>
        <v/>
      </c>
    </row>
    <row r="78" spans="1:33" ht="43.2" hidden="1" outlineLevel="1" x14ac:dyDescent="0.3">
      <c r="A78" s="1" t="s">
        <v>192</v>
      </c>
      <c r="B78" s="1" t="s">
        <v>34</v>
      </c>
      <c r="C78" s="1" t="s">
        <v>193</v>
      </c>
      <c r="D78" s="1" t="s">
        <v>194</v>
      </c>
      <c r="E78" s="1" t="s">
        <v>230</v>
      </c>
      <c r="F78" s="4" t="s">
        <v>231</v>
      </c>
      <c r="G78" s="5">
        <v>50</v>
      </c>
      <c r="H78" s="6"/>
      <c r="I78" s="3"/>
      <c r="J78" s="6" t="str">
        <f t="shared" si="44"/>
        <v/>
      </c>
      <c r="K78" s="7"/>
      <c r="L78" s="4" t="s">
        <v>186</v>
      </c>
      <c r="M78" s="1" t="str">
        <f>IFERROR(INDEX(__key!$D:$D,MATCH(O78&amp;"|"&amp;SUBSTITUTE(H78,",",";"), __key!$E:$E, 0)), "")</f>
        <v/>
      </c>
      <c r="N78" s="1" t="str">
        <f>IFERROR(INDEX(__key!$D:$D,MATCH(O78&amp;"|"&amp;SUBSTITUTE(J78,",",";"), __key!$E:$E, 0)), "")</f>
        <v/>
      </c>
      <c r="O78" s="1" t="s">
        <v>232</v>
      </c>
      <c r="P78" s="1"/>
      <c r="Q78" s="1" t="s">
        <v>199</v>
      </c>
      <c r="R78" s="1">
        <v>16116</v>
      </c>
      <c r="S78" s="1">
        <f t="shared" si="45"/>
        <v>0</v>
      </c>
      <c r="T78" s="1">
        <f t="shared" si="46"/>
        <v>0</v>
      </c>
      <c r="U78" s="1">
        <f t="shared" si="47"/>
        <v>50</v>
      </c>
      <c r="V78" s="1">
        <f t="shared" si="48"/>
        <v>160</v>
      </c>
      <c r="W78" s="1">
        <f t="shared" si="49"/>
        <v>0.3125</v>
      </c>
      <c r="X78" s="1" t="str">
        <f t="shared" si="50"/>
        <v/>
      </c>
      <c r="Y78" s="1" t="b">
        <f t="shared" si="51"/>
        <v>0</v>
      </c>
      <c r="Z78" s="1" t="str">
        <f>IF(Y78, COUNTIF($Y$2:Y78, TRUE), "")</f>
        <v/>
      </c>
      <c r="AA78" s="1">
        <f t="shared" si="52"/>
        <v>50</v>
      </c>
      <c r="AB78" s="1">
        <f t="shared" si="53"/>
        <v>160</v>
      </c>
      <c r="AC78" s="1">
        <f t="shared" si="54"/>
        <v>0.3125</v>
      </c>
      <c r="AD78" s="1" t="str">
        <f t="shared" si="55"/>
        <v/>
      </c>
      <c r="AE78" s="1" t="b">
        <f t="shared" si="56"/>
        <v>0</v>
      </c>
      <c r="AF78" s="1" t="b">
        <f t="shared" si="57"/>
        <v>0</v>
      </c>
      <c r="AG78" s="1" t="str">
        <f>IF(AF78, COUNTIF($AF$2:AF78, TRUE), "")</f>
        <v/>
      </c>
    </row>
    <row r="79" spans="1:33" ht="43.2" hidden="1" outlineLevel="1" x14ac:dyDescent="0.3">
      <c r="A79" s="1" t="s">
        <v>192</v>
      </c>
      <c r="B79" s="1" t="s">
        <v>34</v>
      </c>
      <c r="C79" s="1" t="s">
        <v>193</v>
      </c>
      <c r="D79" s="1" t="s">
        <v>194</v>
      </c>
      <c r="E79" s="1" t="s">
        <v>233</v>
      </c>
      <c r="F79" s="4" t="s">
        <v>234</v>
      </c>
      <c r="G79" s="5">
        <v>10</v>
      </c>
      <c r="H79" s="6"/>
      <c r="I79" s="3"/>
      <c r="J79" s="6" t="str">
        <f t="shared" si="44"/>
        <v/>
      </c>
      <c r="K79" s="7"/>
      <c r="L79" s="4" t="s">
        <v>186</v>
      </c>
      <c r="M79" s="1" t="str">
        <f>IFERROR(INDEX(__key!$D:$D,MATCH(O79&amp;"|"&amp;SUBSTITUTE(H79,",",";"), __key!$E:$E, 0)), "")</f>
        <v/>
      </c>
      <c r="N79" s="1" t="str">
        <f>IFERROR(INDEX(__key!$D:$D,MATCH(O79&amp;"|"&amp;SUBSTITUTE(J79,",",";"), __key!$E:$E, 0)), "")</f>
        <v/>
      </c>
      <c r="O79" s="1" t="s">
        <v>40</v>
      </c>
      <c r="P79" s="1"/>
      <c r="Q79" s="1" t="s">
        <v>199</v>
      </c>
      <c r="R79" s="1">
        <v>16117</v>
      </c>
      <c r="S79" s="1">
        <f t="shared" si="45"/>
        <v>0</v>
      </c>
      <c r="T79" s="1">
        <f t="shared" si="46"/>
        <v>0</v>
      </c>
      <c r="U79" s="1">
        <f t="shared" si="47"/>
        <v>10</v>
      </c>
      <c r="V79" s="1">
        <f t="shared" si="48"/>
        <v>160</v>
      </c>
      <c r="W79" s="1">
        <f t="shared" si="49"/>
        <v>6.25E-2</v>
      </c>
      <c r="X79" s="1" t="str">
        <f t="shared" si="50"/>
        <v/>
      </c>
      <c r="Y79" s="1" t="b">
        <f t="shared" si="51"/>
        <v>0</v>
      </c>
      <c r="Z79" s="1" t="str">
        <f>IF(Y79, COUNTIF($Y$2:Y79, TRUE), "")</f>
        <v/>
      </c>
      <c r="AA79" s="1">
        <f t="shared" si="52"/>
        <v>10</v>
      </c>
      <c r="AB79" s="1">
        <f t="shared" si="53"/>
        <v>160</v>
      </c>
      <c r="AC79" s="1">
        <f t="shared" si="54"/>
        <v>6.25E-2</v>
      </c>
      <c r="AD79" s="1" t="str">
        <f t="shared" si="55"/>
        <v/>
      </c>
      <c r="AE79" s="1" t="b">
        <f t="shared" si="56"/>
        <v>0</v>
      </c>
      <c r="AF79" s="1" t="b">
        <f t="shared" si="57"/>
        <v>0</v>
      </c>
      <c r="AG79" s="1" t="str">
        <f>IF(AF79, COUNTIF($AF$2:AF79, TRUE), "")</f>
        <v/>
      </c>
    </row>
    <row r="80" spans="1:33" ht="28.8" hidden="1" outlineLevel="1" x14ac:dyDescent="0.3">
      <c r="A80" s="1" t="s">
        <v>192</v>
      </c>
      <c r="B80" s="1" t="s">
        <v>34</v>
      </c>
      <c r="C80" s="1" t="s">
        <v>193</v>
      </c>
      <c r="D80" s="1" t="s">
        <v>194</v>
      </c>
      <c r="E80" s="1" t="s">
        <v>235</v>
      </c>
      <c r="F80" s="4" t="s">
        <v>236</v>
      </c>
      <c r="G80" s="5"/>
      <c r="H80" s="6"/>
      <c r="I80" s="3"/>
      <c r="J80" s="6" t="str">
        <f t="shared" si="44"/>
        <v/>
      </c>
      <c r="K80" s="7"/>
      <c r="L80" s="4"/>
      <c r="M80" s="1" t="str">
        <f>IFERROR(INDEX(__key!$D:$D,MATCH(O80&amp;"|"&amp;SUBSTITUTE(H80,",",";"), __key!$E:$E, 0)), "")</f>
        <v/>
      </c>
      <c r="N80" s="1" t="str">
        <f>IFERROR(INDEX(__key!$D:$D,MATCH(O80&amp;"|"&amp;SUBSTITUTE(J80,",",";"), __key!$E:$E, 0)), "")</f>
        <v/>
      </c>
      <c r="O80" s="1" t="s">
        <v>237</v>
      </c>
      <c r="P80" s="1"/>
      <c r="Q80" s="1" t="s">
        <v>199</v>
      </c>
      <c r="R80" s="1">
        <v>16118</v>
      </c>
      <c r="S80" s="1">
        <f t="shared" si="45"/>
        <v>0</v>
      </c>
      <c r="T80" s="1">
        <f t="shared" si="46"/>
        <v>0</v>
      </c>
      <c r="U80" s="1">
        <f t="shared" si="47"/>
        <v>0</v>
      </c>
      <c r="V80" s="1">
        <f t="shared" si="48"/>
        <v>160</v>
      </c>
      <c r="W80" s="1">
        <f t="shared" si="49"/>
        <v>0</v>
      </c>
      <c r="X80" s="1" t="str">
        <f t="shared" si="50"/>
        <v/>
      </c>
      <c r="Y80" s="1" t="b">
        <f t="shared" si="51"/>
        <v>0</v>
      </c>
      <c r="Z80" s="1" t="str">
        <f>IF(Y80, COUNTIF($Y$2:Y80, TRUE), "")</f>
        <v/>
      </c>
      <c r="AA80" s="1">
        <f t="shared" si="52"/>
        <v>0</v>
      </c>
      <c r="AB80" s="1">
        <f t="shared" si="53"/>
        <v>160</v>
      </c>
      <c r="AC80" s="1">
        <f t="shared" si="54"/>
        <v>0</v>
      </c>
      <c r="AD80" s="1" t="str">
        <f t="shared" si="55"/>
        <v/>
      </c>
      <c r="AE80" s="1" t="b">
        <f t="shared" si="56"/>
        <v>0</v>
      </c>
      <c r="AF80" s="1" t="b">
        <f t="shared" si="57"/>
        <v>0</v>
      </c>
      <c r="AG80" s="1" t="str">
        <f>IF(AF80, COUNTIF($AF$2:AF80, TRUE), "")</f>
        <v/>
      </c>
    </row>
    <row r="81" spans="1:33" ht="28.8" hidden="1" outlineLevel="1" x14ac:dyDescent="0.3">
      <c r="A81" s="1" t="s">
        <v>192</v>
      </c>
      <c r="B81" s="1" t="s">
        <v>34</v>
      </c>
      <c r="C81" s="1" t="s">
        <v>193</v>
      </c>
      <c r="D81" s="1" t="s">
        <v>194</v>
      </c>
      <c r="E81" s="1" t="s">
        <v>238</v>
      </c>
      <c r="F81" s="4" t="s">
        <v>239</v>
      </c>
      <c r="G81" s="5"/>
      <c r="H81" s="6"/>
      <c r="I81" s="3"/>
      <c r="J81" s="6" t="str">
        <f t="shared" si="44"/>
        <v/>
      </c>
      <c r="K81" s="7"/>
      <c r="L81" s="4"/>
      <c r="M81" s="1" t="str">
        <f>IFERROR(INDEX(__key!$D:$D,MATCH(O81&amp;"|"&amp;SUBSTITUTE(H81,",",";"), __key!$E:$E, 0)), "")</f>
        <v/>
      </c>
      <c r="N81" s="1" t="str">
        <f>IFERROR(INDEX(__key!$D:$D,MATCH(O81&amp;"|"&amp;SUBSTITUTE(J81,",",";"), __key!$E:$E, 0)), "")</f>
        <v/>
      </c>
      <c r="O81" s="1" t="s">
        <v>237</v>
      </c>
      <c r="P81" s="1"/>
      <c r="Q81" s="1" t="s">
        <v>199</v>
      </c>
      <c r="R81" s="1">
        <v>16119</v>
      </c>
      <c r="S81" s="1">
        <f t="shared" si="45"/>
        <v>0</v>
      </c>
      <c r="T81" s="1">
        <f t="shared" si="46"/>
        <v>0</v>
      </c>
      <c r="U81" s="1">
        <f t="shared" si="47"/>
        <v>0</v>
      </c>
      <c r="V81" s="1">
        <f t="shared" si="48"/>
        <v>160</v>
      </c>
      <c r="W81" s="1">
        <f t="shared" si="49"/>
        <v>0</v>
      </c>
      <c r="X81" s="1" t="str">
        <f t="shared" si="50"/>
        <v/>
      </c>
      <c r="Y81" s="1" t="b">
        <f t="shared" si="51"/>
        <v>0</v>
      </c>
      <c r="Z81" s="1" t="str">
        <f>IF(Y81, COUNTIF($Y$2:Y81, TRUE), "")</f>
        <v/>
      </c>
      <c r="AA81" s="1">
        <f t="shared" si="52"/>
        <v>0</v>
      </c>
      <c r="AB81" s="1">
        <f t="shared" si="53"/>
        <v>160</v>
      </c>
      <c r="AC81" s="1">
        <f t="shared" si="54"/>
        <v>0</v>
      </c>
      <c r="AD81" s="1" t="str">
        <f t="shared" si="55"/>
        <v/>
      </c>
      <c r="AE81" s="1" t="b">
        <f t="shared" si="56"/>
        <v>0</v>
      </c>
      <c r="AF81" s="1" t="b">
        <f t="shared" si="57"/>
        <v>0</v>
      </c>
      <c r="AG81" s="1" t="str">
        <f>IF(AF81, COUNTIF($AF$2:AF81, TRUE), "")</f>
        <v/>
      </c>
    </row>
    <row r="82" spans="1:33" ht="28.8" hidden="1" outlineLevel="1" x14ac:dyDescent="0.3">
      <c r="A82" s="1" t="s">
        <v>192</v>
      </c>
      <c r="B82" s="1" t="s">
        <v>34</v>
      </c>
      <c r="C82" s="1" t="s">
        <v>193</v>
      </c>
      <c r="D82" s="1" t="s">
        <v>194</v>
      </c>
      <c r="E82" s="1" t="s">
        <v>240</v>
      </c>
      <c r="F82" s="4" t="s">
        <v>241</v>
      </c>
      <c r="G82" s="5"/>
      <c r="H82" s="6"/>
      <c r="I82" s="3"/>
      <c r="J82" s="6" t="str">
        <f t="shared" si="44"/>
        <v/>
      </c>
      <c r="K82" s="7"/>
      <c r="L82" s="4"/>
      <c r="M82" s="1" t="str">
        <f>IFERROR(INDEX(__key!$D:$D,MATCH(O82&amp;"|"&amp;SUBSTITUTE(H82,",",";"), __key!$E:$E, 0)), "")</f>
        <v/>
      </c>
      <c r="N82" s="1" t="str">
        <f>IFERROR(INDEX(__key!$D:$D,MATCH(O82&amp;"|"&amp;SUBSTITUTE(J82,",",";"), __key!$E:$E, 0)), "")</f>
        <v/>
      </c>
      <c r="O82" s="1" t="s">
        <v>237</v>
      </c>
      <c r="P82" s="1"/>
      <c r="Q82" s="1" t="s">
        <v>199</v>
      </c>
      <c r="R82" s="1">
        <v>16120</v>
      </c>
      <c r="S82" s="1">
        <f t="shared" si="45"/>
        <v>0</v>
      </c>
      <c r="T82" s="1">
        <f t="shared" si="46"/>
        <v>0</v>
      </c>
      <c r="U82" s="1">
        <f t="shared" si="47"/>
        <v>0</v>
      </c>
      <c r="V82" s="1">
        <f t="shared" si="48"/>
        <v>160</v>
      </c>
      <c r="W82" s="1">
        <f t="shared" si="49"/>
        <v>0</v>
      </c>
      <c r="X82" s="1" t="str">
        <f t="shared" si="50"/>
        <v/>
      </c>
      <c r="Y82" s="1" t="b">
        <f t="shared" si="51"/>
        <v>0</v>
      </c>
      <c r="Z82" s="1" t="str">
        <f>IF(Y82, COUNTIF($Y$2:Y82, TRUE), "")</f>
        <v/>
      </c>
      <c r="AA82" s="1">
        <f t="shared" si="52"/>
        <v>0</v>
      </c>
      <c r="AB82" s="1">
        <f t="shared" si="53"/>
        <v>160</v>
      </c>
      <c r="AC82" s="1">
        <f t="shared" si="54"/>
        <v>0</v>
      </c>
      <c r="AD82" s="1" t="str">
        <f t="shared" si="55"/>
        <v/>
      </c>
      <c r="AE82" s="1" t="b">
        <f t="shared" si="56"/>
        <v>0</v>
      </c>
      <c r="AF82" s="1" t="b">
        <f t="shared" si="57"/>
        <v>0</v>
      </c>
      <c r="AG82" s="1" t="str">
        <f>IF(AF82, COUNTIF($AF$2:AF82, TRUE), "")</f>
        <v/>
      </c>
    </row>
    <row r="83" spans="1:33" ht="28.8" hidden="1" outlineLevel="1" x14ac:dyDescent="0.3">
      <c r="A83" s="1" t="s">
        <v>192</v>
      </c>
      <c r="B83" s="1" t="s">
        <v>34</v>
      </c>
      <c r="C83" s="1" t="s">
        <v>193</v>
      </c>
      <c r="D83" s="1" t="s">
        <v>194</v>
      </c>
      <c r="E83" s="1" t="s">
        <v>242</v>
      </c>
      <c r="F83" s="4" t="s">
        <v>243</v>
      </c>
      <c r="G83" s="5"/>
      <c r="H83" s="6"/>
      <c r="I83" s="3"/>
      <c r="J83" s="6" t="str">
        <f t="shared" si="44"/>
        <v/>
      </c>
      <c r="K83" s="7"/>
      <c r="L83" s="4"/>
      <c r="M83" s="1" t="str">
        <f>IFERROR(INDEX(__key!$D:$D,MATCH(O83&amp;"|"&amp;SUBSTITUTE(H83,",",";"), __key!$E:$E, 0)), "")</f>
        <v/>
      </c>
      <c r="N83" s="1" t="str">
        <f>IFERROR(INDEX(__key!$D:$D,MATCH(O83&amp;"|"&amp;SUBSTITUTE(J83,",",";"), __key!$E:$E, 0)), "")</f>
        <v/>
      </c>
      <c r="O83" s="1" t="s">
        <v>237</v>
      </c>
      <c r="P83" s="1"/>
      <c r="Q83" s="1" t="s">
        <v>199</v>
      </c>
      <c r="R83" s="1">
        <v>16121</v>
      </c>
      <c r="S83" s="1">
        <f t="shared" si="45"/>
        <v>0</v>
      </c>
      <c r="T83" s="1">
        <f t="shared" si="46"/>
        <v>0</v>
      </c>
      <c r="U83" s="1">
        <f t="shared" si="47"/>
        <v>0</v>
      </c>
      <c r="V83" s="1">
        <f t="shared" si="48"/>
        <v>160</v>
      </c>
      <c r="W83" s="1">
        <f t="shared" si="49"/>
        <v>0</v>
      </c>
      <c r="X83" s="1" t="str">
        <f t="shared" si="50"/>
        <v/>
      </c>
      <c r="Y83" s="1" t="b">
        <f t="shared" si="51"/>
        <v>0</v>
      </c>
      <c r="Z83" s="1" t="str">
        <f>IF(Y83, COUNTIF($Y$2:Y83, TRUE), "")</f>
        <v/>
      </c>
      <c r="AA83" s="1">
        <f t="shared" si="52"/>
        <v>0</v>
      </c>
      <c r="AB83" s="1">
        <f t="shared" si="53"/>
        <v>160</v>
      </c>
      <c r="AC83" s="1">
        <f t="shared" si="54"/>
        <v>0</v>
      </c>
      <c r="AD83" s="1" t="str">
        <f t="shared" si="55"/>
        <v/>
      </c>
      <c r="AE83" s="1" t="b">
        <f t="shared" si="56"/>
        <v>0</v>
      </c>
      <c r="AF83" s="1" t="b">
        <f t="shared" si="57"/>
        <v>0</v>
      </c>
      <c r="AG83" s="1" t="str">
        <f>IF(AF83, COUNTIF($AF$2:AF83, TRUE), "")</f>
        <v/>
      </c>
    </row>
    <row r="84" spans="1:33" ht="28.8" hidden="1" outlineLevel="1" x14ac:dyDescent="0.3">
      <c r="A84" s="1" t="s">
        <v>192</v>
      </c>
      <c r="B84" s="1" t="s">
        <v>34</v>
      </c>
      <c r="C84" s="1" t="s">
        <v>193</v>
      </c>
      <c r="D84" s="1" t="s">
        <v>194</v>
      </c>
      <c r="E84" s="1" t="s">
        <v>244</v>
      </c>
      <c r="F84" s="4" t="s">
        <v>245</v>
      </c>
      <c r="G84" s="5"/>
      <c r="H84" s="6"/>
      <c r="I84" s="3"/>
      <c r="J84" s="6" t="str">
        <f t="shared" si="44"/>
        <v/>
      </c>
      <c r="K84" s="7"/>
      <c r="L84" s="4"/>
      <c r="M84" s="1" t="str">
        <f>IFERROR(INDEX(__key!$D:$D,MATCH(O84&amp;"|"&amp;SUBSTITUTE(H84,",",";"), __key!$E:$E, 0)), "")</f>
        <v/>
      </c>
      <c r="N84" s="1" t="str">
        <f>IFERROR(INDEX(__key!$D:$D,MATCH(O84&amp;"|"&amp;SUBSTITUTE(J84,",",";"), __key!$E:$E, 0)), "")</f>
        <v/>
      </c>
      <c r="O84" s="1" t="s">
        <v>237</v>
      </c>
      <c r="P84" s="1"/>
      <c r="Q84" s="1" t="s">
        <v>199</v>
      </c>
      <c r="R84" s="1">
        <v>16122</v>
      </c>
      <c r="S84" s="1">
        <f t="shared" si="45"/>
        <v>0</v>
      </c>
      <c r="T84" s="1">
        <f t="shared" si="46"/>
        <v>0</v>
      </c>
      <c r="U84" s="1">
        <f t="shared" si="47"/>
        <v>0</v>
      </c>
      <c r="V84" s="1">
        <f t="shared" si="48"/>
        <v>160</v>
      </c>
      <c r="W84" s="1">
        <f t="shared" si="49"/>
        <v>0</v>
      </c>
      <c r="X84" s="1" t="str">
        <f t="shared" si="50"/>
        <v/>
      </c>
      <c r="Y84" s="1" t="b">
        <f t="shared" si="51"/>
        <v>0</v>
      </c>
      <c r="Z84" s="1" t="str">
        <f>IF(Y84, COUNTIF($Y$2:Y84, TRUE), "")</f>
        <v/>
      </c>
      <c r="AA84" s="1">
        <f t="shared" si="52"/>
        <v>0</v>
      </c>
      <c r="AB84" s="1">
        <f t="shared" si="53"/>
        <v>160</v>
      </c>
      <c r="AC84" s="1">
        <f t="shared" si="54"/>
        <v>0</v>
      </c>
      <c r="AD84" s="1" t="str">
        <f t="shared" si="55"/>
        <v/>
      </c>
      <c r="AE84" s="1" t="b">
        <f t="shared" si="56"/>
        <v>0</v>
      </c>
      <c r="AF84" s="1" t="b">
        <f t="shared" si="57"/>
        <v>0</v>
      </c>
      <c r="AG84" s="1" t="str">
        <f>IF(AF84, COUNTIF($AF$2:AF84, TRUE), "")</f>
        <v/>
      </c>
    </row>
    <row r="85" spans="1:33" ht="28.8" hidden="1" outlineLevel="1" x14ac:dyDescent="0.3">
      <c r="A85" s="1" t="s">
        <v>192</v>
      </c>
      <c r="B85" s="1" t="s">
        <v>34</v>
      </c>
      <c r="C85" s="1" t="s">
        <v>193</v>
      </c>
      <c r="D85" s="1" t="s">
        <v>194</v>
      </c>
      <c r="E85" s="1" t="s">
        <v>246</v>
      </c>
      <c r="F85" s="4" t="s">
        <v>247</v>
      </c>
      <c r="G85" s="5"/>
      <c r="H85" s="6"/>
      <c r="I85" s="3"/>
      <c r="J85" s="6" t="str">
        <f t="shared" si="44"/>
        <v/>
      </c>
      <c r="K85" s="7"/>
      <c r="L85" s="4"/>
      <c r="M85" s="1" t="str">
        <f>IFERROR(INDEX(__key!$D:$D,MATCH(O85&amp;"|"&amp;SUBSTITUTE(H85,",",";"), __key!$E:$E, 0)), "")</f>
        <v/>
      </c>
      <c r="N85" s="1" t="str">
        <f>IFERROR(INDEX(__key!$D:$D,MATCH(O85&amp;"|"&amp;SUBSTITUTE(J85,",",";"), __key!$E:$E, 0)), "")</f>
        <v/>
      </c>
      <c r="O85" s="1" t="s">
        <v>237</v>
      </c>
      <c r="P85" s="1"/>
      <c r="Q85" s="1" t="s">
        <v>199</v>
      </c>
      <c r="R85" s="1">
        <v>16123</v>
      </c>
      <c r="S85" s="1">
        <f t="shared" si="45"/>
        <v>0</v>
      </c>
      <c r="T85" s="1">
        <f t="shared" si="46"/>
        <v>0</v>
      </c>
      <c r="U85" s="1">
        <f t="shared" si="47"/>
        <v>0</v>
      </c>
      <c r="V85" s="1">
        <f t="shared" si="48"/>
        <v>160</v>
      </c>
      <c r="W85" s="1">
        <f t="shared" si="49"/>
        <v>0</v>
      </c>
      <c r="X85" s="1" t="str">
        <f t="shared" si="50"/>
        <v/>
      </c>
      <c r="Y85" s="1" t="b">
        <f t="shared" si="51"/>
        <v>0</v>
      </c>
      <c r="Z85" s="1" t="str">
        <f>IF(Y85, COUNTIF($Y$2:Y85, TRUE), "")</f>
        <v/>
      </c>
      <c r="AA85" s="1">
        <f t="shared" si="52"/>
        <v>0</v>
      </c>
      <c r="AB85" s="1">
        <f t="shared" si="53"/>
        <v>160</v>
      </c>
      <c r="AC85" s="1">
        <f t="shared" si="54"/>
        <v>0</v>
      </c>
      <c r="AD85" s="1" t="str">
        <f t="shared" si="55"/>
        <v/>
      </c>
      <c r="AE85" s="1" t="b">
        <f t="shared" si="56"/>
        <v>0</v>
      </c>
      <c r="AF85" s="1" t="b">
        <f t="shared" si="57"/>
        <v>0</v>
      </c>
      <c r="AG85" s="1" t="str">
        <f>IF(AF85, COUNTIF($AF$2:AF85, TRUE), "")</f>
        <v/>
      </c>
    </row>
    <row r="86" spans="1:33" ht="28.8" hidden="1" outlineLevel="1" x14ac:dyDescent="0.3">
      <c r="A86" s="1" t="s">
        <v>192</v>
      </c>
      <c r="B86" s="1" t="s">
        <v>34</v>
      </c>
      <c r="C86" s="1" t="s">
        <v>193</v>
      </c>
      <c r="D86" s="1" t="s">
        <v>194</v>
      </c>
      <c r="E86" s="1" t="s">
        <v>248</v>
      </c>
      <c r="F86" s="4" t="s">
        <v>249</v>
      </c>
      <c r="G86" s="5"/>
      <c r="H86" s="6"/>
      <c r="I86" s="3"/>
      <c r="J86" s="6" t="str">
        <f t="shared" si="44"/>
        <v/>
      </c>
      <c r="K86" s="7"/>
      <c r="L86" s="4"/>
      <c r="M86" s="1" t="str">
        <f>IFERROR(INDEX(__key!$D:$D,MATCH(O86&amp;"|"&amp;SUBSTITUTE(H86,",",";"), __key!$E:$E, 0)), "")</f>
        <v/>
      </c>
      <c r="N86" s="1" t="str">
        <f>IFERROR(INDEX(__key!$D:$D,MATCH(O86&amp;"|"&amp;SUBSTITUTE(J86,",",";"), __key!$E:$E, 0)), "")</f>
        <v/>
      </c>
      <c r="O86" s="1" t="s">
        <v>237</v>
      </c>
      <c r="P86" s="1"/>
      <c r="Q86" s="1" t="s">
        <v>199</v>
      </c>
      <c r="R86" s="1">
        <v>16124</v>
      </c>
      <c r="S86" s="1">
        <f t="shared" si="45"/>
        <v>0</v>
      </c>
      <c r="T86" s="1">
        <f t="shared" si="46"/>
        <v>0</v>
      </c>
      <c r="U86" s="1">
        <f t="shared" si="47"/>
        <v>0</v>
      </c>
      <c r="V86" s="1">
        <f t="shared" si="48"/>
        <v>160</v>
      </c>
      <c r="W86" s="1">
        <f t="shared" si="49"/>
        <v>0</v>
      </c>
      <c r="X86" s="1" t="str">
        <f t="shared" si="50"/>
        <v/>
      </c>
      <c r="Y86" s="1" t="b">
        <f t="shared" si="51"/>
        <v>0</v>
      </c>
      <c r="Z86" s="1" t="str">
        <f>IF(Y86, COUNTIF($Y$2:Y86, TRUE), "")</f>
        <v/>
      </c>
      <c r="AA86" s="1">
        <f t="shared" si="52"/>
        <v>0</v>
      </c>
      <c r="AB86" s="1">
        <f t="shared" si="53"/>
        <v>160</v>
      </c>
      <c r="AC86" s="1">
        <f t="shared" si="54"/>
        <v>0</v>
      </c>
      <c r="AD86" s="1" t="str">
        <f t="shared" si="55"/>
        <v/>
      </c>
      <c r="AE86" s="1" t="b">
        <f t="shared" si="56"/>
        <v>0</v>
      </c>
      <c r="AF86" s="1" t="b">
        <f t="shared" si="57"/>
        <v>0</v>
      </c>
      <c r="AG86" s="1" t="str">
        <f>IF(AF86, COUNTIF($AF$2:AF86, TRUE), "")</f>
        <v/>
      </c>
    </row>
    <row r="87" spans="1:33" ht="30" customHeight="1" collapsed="1" x14ac:dyDescent="0.3">
      <c r="A87" s="1"/>
      <c r="B87" s="1"/>
      <c r="C87" s="1"/>
      <c r="D87" s="1"/>
      <c r="E87" s="1"/>
      <c r="F87" s="14" t="s">
        <v>250</v>
      </c>
      <c r="G87" s="15"/>
      <c r="H87" s="14"/>
      <c r="I87" s="14"/>
      <c r="J87" s="14"/>
      <c r="K87" s="14"/>
      <c r="L87" s="14"/>
      <c r="M87" s="1"/>
      <c r="N87" s="1"/>
      <c r="O87" s="1"/>
      <c r="P87" s="1"/>
      <c r="Q87" s="1"/>
      <c r="R87" s="1"/>
      <c r="S87" s="1"/>
      <c r="T87" s="1"/>
      <c r="U87" s="1"/>
      <c r="V87" s="1"/>
      <c r="W87" s="1"/>
      <c r="X87" s="1"/>
      <c r="Y87" s="1"/>
      <c r="Z87" s="1"/>
      <c r="AA87" s="1"/>
      <c r="AB87" s="1"/>
      <c r="AC87" s="1"/>
      <c r="AD87" s="1"/>
      <c r="AE87" s="1"/>
      <c r="AF87" s="1"/>
      <c r="AG87" s="1"/>
    </row>
    <row r="88" spans="1:33" ht="43.2" hidden="1" outlineLevel="1" x14ac:dyDescent="0.3">
      <c r="A88" s="1" t="s">
        <v>250</v>
      </c>
      <c r="B88" s="1" t="s">
        <v>34</v>
      </c>
      <c r="C88" s="1" t="s">
        <v>251</v>
      </c>
      <c r="D88" s="1" t="s">
        <v>252</v>
      </c>
      <c r="E88" s="1" t="s">
        <v>253</v>
      </c>
      <c r="F88" s="4" t="s">
        <v>254</v>
      </c>
      <c r="G88" s="5">
        <v>50</v>
      </c>
      <c r="H88" s="6"/>
      <c r="I88" s="3"/>
      <c r="J88" s="6" t="str">
        <f>IF(H88="","",H88)</f>
        <v/>
      </c>
      <c r="K88" s="7"/>
      <c r="L88" s="4" t="s">
        <v>186</v>
      </c>
      <c r="M88" s="1" t="str">
        <f>IFERROR(INDEX(__key!$D:$D,MATCH(O88&amp;"|"&amp;SUBSTITUTE(H88,",",";"), __key!$E:$E, 0)), "")</f>
        <v/>
      </c>
      <c r="N88" s="1" t="str">
        <f>IFERROR(INDEX(__key!$D:$D,MATCH(O88&amp;"|"&amp;SUBSTITUTE(J88,",",";"), __key!$E:$E, 0)), "")</f>
        <v/>
      </c>
      <c r="O88" s="1" t="s">
        <v>202</v>
      </c>
      <c r="P88" s="1"/>
      <c r="Q88" s="1" t="s">
        <v>255</v>
      </c>
      <c r="R88" s="1">
        <v>1711</v>
      </c>
      <c r="S88" s="1">
        <f t="shared" ref="S88:T92" si="58">IFERROR(1*M88,0)</f>
        <v>0</v>
      </c>
      <c r="T88" s="1">
        <f t="shared" si="58"/>
        <v>0</v>
      </c>
      <c r="U88" s="1">
        <f>IFERROR(IF(ISNUMBER(SEARCH("Not Relevant",H88)),0,VALUE(G88)),"")</f>
        <v>50</v>
      </c>
      <c r="V88" s="1">
        <f>IFERROR(SUMIF($D:$D,D88,$U:$U),"")</f>
        <v>150</v>
      </c>
      <c r="W88" s="1">
        <f>IF(OR(V88=0,V88=""),"",U88/V88)</f>
        <v>0.33333333333333331</v>
      </c>
      <c r="X88" s="1" t="str">
        <f>IF(OR(M88="",W88=""),"",VALUE(M88)*W88)</f>
        <v/>
      </c>
      <c r="Y88" s="1" t="b">
        <f>IFERROR(ISNUMBER(SEARCH("Not Relevant",H88)),FALSE)</f>
        <v>0</v>
      </c>
      <c r="Z88" s="1" t="str">
        <f>IF(Y88, COUNTIF($Y$2:Y88, TRUE), "")</f>
        <v/>
      </c>
      <c r="AA88" s="1">
        <f>IFERROR(IF(ISNUMBER(SEARCH("Not Relevant",J88)),0,VALUE(G88)),"")</f>
        <v>50</v>
      </c>
      <c r="AB88" s="1">
        <f>IFERROR(SUMIF($D:$D,D88,$AA:$AA),"")</f>
        <v>150</v>
      </c>
      <c r="AC88" s="1">
        <f>IF(OR(AB88=0,AB88=""),"",AA88/AB88)</f>
        <v>0.33333333333333331</v>
      </c>
      <c r="AD88" s="1" t="str">
        <f>IF(OR(N88="",AC88=""),"",VALUE(N88)*AC88)</f>
        <v/>
      </c>
      <c r="AE88" s="1" t="b">
        <f>IFERROR(ISNUMBER(SEARCH("Not Relevant",J88)),FALSE)</f>
        <v>0</v>
      </c>
      <c r="AF88" s="1" t="b">
        <f>IF(OR(H88="",J88=""),FALSE,IF(H88&lt;&gt;J88,TRUE,FALSE))</f>
        <v>0</v>
      </c>
      <c r="AG88" s="1" t="str">
        <f>IF(AF88, COUNTIF($AF$2:AF88, TRUE), "")</f>
        <v/>
      </c>
    </row>
    <row r="89" spans="1:33" ht="43.2" hidden="1" outlineLevel="1" x14ac:dyDescent="0.3">
      <c r="A89" s="1" t="s">
        <v>250</v>
      </c>
      <c r="B89" s="1" t="s">
        <v>34</v>
      </c>
      <c r="C89" s="1" t="s">
        <v>251</v>
      </c>
      <c r="D89" s="1" t="s">
        <v>252</v>
      </c>
      <c r="E89" s="1" t="s">
        <v>256</v>
      </c>
      <c r="F89" s="4" t="s">
        <v>257</v>
      </c>
      <c r="G89" s="5">
        <v>30</v>
      </c>
      <c r="H89" s="6"/>
      <c r="I89" s="3"/>
      <c r="J89" s="6" t="str">
        <f>IF(H89="","",H89)</f>
        <v/>
      </c>
      <c r="K89" s="7"/>
      <c r="L89" s="4" t="s">
        <v>186</v>
      </c>
      <c r="M89" s="1" t="str">
        <f>IFERROR(INDEX(__key!$D:$D,MATCH(O89&amp;"|"&amp;SUBSTITUTE(H89,",",";"), __key!$E:$E, 0)), "")</f>
        <v/>
      </c>
      <c r="N89" s="1" t="str">
        <f>IFERROR(INDEX(__key!$D:$D,MATCH(O89&amp;"|"&amp;SUBSTITUTE(J89,",",";"), __key!$E:$E, 0)), "")</f>
        <v/>
      </c>
      <c r="O89" s="1" t="s">
        <v>202</v>
      </c>
      <c r="P89" s="1"/>
      <c r="Q89" s="1" t="s">
        <v>255</v>
      </c>
      <c r="R89" s="1">
        <v>1712</v>
      </c>
      <c r="S89" s="1">
        <f t="shared" si="58"/>
        <v>0</v>
      </c>
      <c r="T89" s="1">
        <f t="shared" si="58"/>
        <v>0</v>
      </c>
      <c r="U89" s="1">
        <f>IFERROR(IF(ISNUMBER(SEARCH("Not Relevant",H89)),0,VALUE(G89)),"")</f>
        <v>30</v>
      </c>
      <c r="V89" s="1">
        <f>IFERROR(SUMIF($D:$D,D89,$U:$U),"")</f>
        <v>150</v>
      </c>
      <c r="W89" s="1">
        <f>IF(OR(V89=0,V89=""),"",U89/V89)</f>
        <v>0.2</v>
      </c>
      <c r="X89" s="1" t="str">
        <f>IF(OR(M89="",W89=""),"",VALUE(M89)*W89)</f>
        <v/>
      </c>
      <c r="Y89" s="1" t="b">
        <f>IFERROR(ISNUMBER(SEARCH("Not Relevant",H89)),FALSE)</f>
        <v>0</v>
      </c>
      <c r="Z89" s="1" t="str">
        <f>IF(Y89, COUNTIF($Y$2:Y89, TRUE), "")</f>
        <v/>
      </c>
      <c r="AA89" s="1">
        <f>IFERROR(IF(ISNUMBER(SEARCH("Not Relevant",J89)),0,VALUE(G89)),"")</f>
        <v>30</v>
      </c>
      <c r="AB89" s="1">
        <f>IFERROR(SUMIF($D:$D,D89,$AA:$AA),"")</f>
        <v>150</v>
      </c>
      <c r="AC89" s="1">
        <f>IF(OR(AB89=0,AB89=""),"",AA89/AB89)</f>
        <v>0.2</v>
      </c>
      <c r="AD89" s="1" t="str">
        <f>IF(OR(N89="",AC89=""),"",VALUE(N89)*AC89)</f>
        <v/>
      </c>
      <c r="AE89" s="1" t="b">
        <f>IFERROR(ISNUMBER(SEARCH("Not Relevant",J89)),FALSE)</f>
        <v>0</v>
      </c>
      <c r="AF89" s="1" t="b">
        <f>IF(OR(H89="",J89=""),FALSE,IF(H89&lt;&gt;J89,TRUE,FALSE))</f>
        <v>0</v>
      </c>
      <c r="AG89" s="1" t="str">
        <f>IF(AF89, COUNTIF($AF$2:AF89, TRUE), "")</f>
        <v/>
      </c>
    </row>
    <row r="90" spans="1:33" ht="28.8" hidden="1" outlineLevel="1" x14ac:dyDescent="0.3">
      <c r="A90" s="1" t="s">
        <v>250</v>
      </c>
      <c r="B90" s="1" t="s">
        <v>34</v>
      </c>
      <c r="C90" s="1" t="s">
        <v>251</v>
      </c>
      <c r="D90" s="1" t="s">
        <v>252</v>
      </c>
      <c r="E90" s="1" t="s">
        <v>258</v>
      </c>
      <c r="F90" s="4" t="s">
        <v>259</v>
      </c>
      <c r="G90" s="5">
        <v>30</v>
      </c>
      <c r="H90" s="6"/>
      <c r="I90" s="3"/>
      <c r="J90" s="6" t="str">
        <f>IF(H90="","",H90)</f>
        <v/>
      </c>
      <c r="K90" s="7"/>
      <c r="L90" s="4" t="s">
        <v>186</v>
      </c>
      <c r="M90" s="1" t="str">
        <f>IFERROR(INDEX(__key!$D:$D,MATCH(O90&amp;"|"&amp;SUBSTITUTE(H90,",",";"), __key!$E:$E, 0)), "")</f>
        <v/>
      </c>
      <c r="N90" s="1" t="str">
        <f>IFERROR(INDEX(__key!$D:$D,MATCH(O90&amp;"|"&amp;SUBSTITUTE(J90,",",";"), __key!$E:$E, 0)), "")</f>
        <v/>
      </c>
      <c r="O90" s="1" t="s">
        <v>202</v>
      </c>
      <c r="P90" s="1"/>
      <c r="Q90" s="1" t="s">
        <v>255</v>
      </c>
      <c r="R90" s="1">
        <v>1713</v>
      </c>
      <c r="S90" s="1">
        <f t="shared" si="58"/>
        <v>0</v>
      </c>
      <c r="T90" s="1">
        <f t="shared" si="58"/>
        <v>0</v>
      </c>
      <c r="U90" s="1">
        <f>IFERROR(IF(ISNUMBER(SEARCH("Not Relevant",H90)),0,VALUE(G90)),"")</f>
        <v>30</v>
      </c>
      <c r="V90" s="1">
        <f>IFERROR(SUMIF($D:$D,D90,$U:$U),"")</f>
        <v>150</v>
      </c>
      <c r="W90" s="1">
        <f>IF(OR(V90=0,V90=""),"",U90/V90)</f>
        <v>0.2</v>
      </c>
      <c r="X90" s="1" t="str">
        <f>IF(OR(M90="",W90=""),"",VALUE(M90)*W90)</f>
        <v/>
      </c>
      <c r="Y90" s="1" t="b">
        <f>IFERROR(ISNUMBER(SEARCH("Not Relevant",H90)),FALSE)</f>
        <v>0</v>
      </c>
      <c r="Z90" s="1" t="str">
        <f>IF(Y90, COUNTIF($Y$2:Y90, TRUE), "")</f>
        <v/>
      </c>
      <c r="AA90" s="1">
        <f>IFERROR(IF(ISNUMBER(SEARCH("Not Relevant",J90)),0,VALUE(G90)),"")</f>
        <v>30</v>
      </c>
      <c r="AB90" s="1">
        <f>IFERROR(SUMIF($D:$D,D90,$AA:$AA),"")</f>
        <v>150</v>
      </c>
      <c r="AC90" s="1">
        <f>IF(OR(AB90=0,AB90=""),"",AA90/AB90)</f>
        <v>0.2</v>
      </c>
      <c r="AD90" s="1" t="str">
        <f>IF(OR(N90="",AC90=""),"",VALUE(N90)*AC90)</f>
        <v/>
      </c>
      <c r="AE90" s="1" t="b">
        <f>IFERROR(ISNUMBER(SEARCH("Not Relevant",J90)),FALSE)</f>
        <v>0</v>
      </c>
      <c r="AF90" s="1" t="b">
        <f>IF(OR(H90="",J90=""),FALSE,IF(H90&lt;&gt;J90,TRUE,FALSE))</f>
        <v>0</v>
      </c>
      <c r="AG90" s="1" t="str">
        <f>IF(AF90, COUNTIF($AF$2:AF90, TRUE), "")</f>
        <v/>
      </c>
    </row>
    <row r="91" spans="1:33" ht="43.2" hidden="1" outlineLevel="1" x14ac:dyDescent="0.3">
      <c r="A91" s="1" t="s">
        <v>250</v>
      </c>
      <c r="B91" s="1" t="s">
        <v>34</v>
      </c>
      <c r="C91" s="1" t="s">
        <v>251</v>
      </c>
      <c r="D91" s="1" t="s">
        <v>252</v>
      </c>
      <c r="E91" s="1" t="s">
        <v>260</v>
      </c>
      <c r="F91" s="4" t="s">
        <v>261</v>
      </c>
      <c r="G91" s="5">
        <v>30</v>
      </c>
      <c r="H91" s="6"/>
      <c r="I91" s="3"/>
      <c r="J91" s="6" t="str">
        <f>IF(H91="","",H91)</f>
        <v/>
      </c>
      <c r="K91" s="7"/>
      <c r="L91" s="4" t="s">
        <v>186</v>
      </c>
      <c r="M91" s="1" t="str">
        <f>IFERROR(INDEX(__key!$D:$D,MATCH(O91&amp;"|"&amp;SUBSTITUTE(H91,",",";"), __key!$E:$E, 0)), "")</f>
        <v/>
      </c>
      <c r="N91" s="1" t="str">
        <f>IFERROR(INDEX(__key!$D:$D,MATCH(O91&amp;"|"&amp;SUBSTITUTE(J91,",",";"), __key!$E:$E, 0)), "")</f>
        <v/>
      </c>
      <c r="O91" s="1" t="s">
        <v>202</v>
      </c>
      <c r="P91" s="1"/>
      <c r="Q91" s="1" t="s">
        <v>255</v>
      </c>
      <c r="R91" s="1">
        <v>1714</v>
      </c>
      <c r="S91" s="1">
        <f t="shared" si="58"/>
        <v>0</v>
      </c>
      <c r="T91" s="1">
        <f t="shared" si="58"/>
        <v>0</v>
      </c>
      <c r="U91" s="1">
        <f>IFERROR(IF(ISNUMBER(SEARCH("Not Relevant",H91)),0,VALUE(G91)),"")</f>
        <v>30</v>
      </c>
      <c r="V91" s="1">
        <f>IFERROR(SUMIF($D:$D,D91,$U:$U),"")</f>
        <v>150</v>
      </c>
      <c r="W91" s="1">
        <f>IF(OR(V91=0,V91=""),"",U91/V91)</f>
        <v>0.2</v>
      </c>
      <c r="X91" s="1" t="str">
        <f>IF(OR(M91="",W91=""),"",VALUE(M91)*W91)</f>
        <v/>
      </c>
      <c r="Y91" s="1" t="b">
        <f>IFERROR(ISNUMBER(SEARCH("Not Relevant",H91)),FALSE)</f>
        <v>0</v>
      </c>
      <c r="Z91" s="1" t="str">
        <f>IF(Y91, COUNTIF($Y$2:Y91, TRUE), "")</f>
        <v/>
      </c>
      <c r="AA91" s="1">
        <f>IFERROR(IF(ISNUMBER(SEARCH("Not Relevant",J91)),0,VALUE(G91)),"")</f>
        <v>30</v>
      </c>
      <c r="AB91" s="1">
        <f>IFERROR(SUMIF($D:$D,D91,$AA:$AA),"")</f>
        <v>150</v>
      </c>
      <c r="AC91" s="1">
        <f>IF(OR(AB91=0,AB91=""),"",AA91/AB91)</f>
        <v>0.2</v>
      </c>
      <c r="AD91" s="1" t="str">
        <f>IF(OR(N91="",AC91=""),"",VALUE(N91)*AC91)</f>
        <v/>
      </c>
      <c r="AE91" s="1" t="b">
        <f>IFERROR(ISNUMBER(SEARCH("Not Relevant",J91)),FALSE)</f>
        <v>0</v>
      </c>
      <c r="AF91" s="1" t="b">
        <f>IF(OR(H91="",J91=""),FALSE,IF(H91&lt;&gt;J91,TRUE,FALSE))</f>
        <v>0</v>
      </c>
      <c r="AG91" s="1" t="str">
        <f>IF(AF91, COUNTIF($AF$2:AF91, TRUE), "")</f>
        <v/>
      </c>
    </row>
    <row r="92" spans="1:33" ht="43.2" hidden="1" outlineLevel="1" x14ac:dyDescent="0.3">
      <c r="A92" s="1" t="s">
        <v>250</v>
      </c>
      <c r="B92" s="1" t="s">
        <v>34</v>
      </c>
      <c r="C92" s="1" t="s">
        <v>251</v>
      </c>
      <c r="D92" s="1" t="s">
        <v>252</v>
      </c>
      <c r="E92" s="1" t="s">
        <v>262</v>
      </c>
      <c r="F92" s="4" t="s">
        <v>263</v>
      </c>
      <c r="G92" s="5">
        <v>10</v>
      </c>
      <c r="H92" s="6"/>
      <c r="I92" s="3"/>
      <c r="J92" s="6" t="str">
        <f>IF(H92="","",H92)</f>
        <v/>
      </c>
      <c r="K92" s="7"/>
      <c r="L92" s="4" t="s">
        <v>186</v>
      </c>
      <c r="M92" s="1" t="str">
        <f>IFERROR(INDEX(__key!$D:$D,MATCH(O92&amp;"|"&amp;SUBSTITUTE(H92,",",";"), __key!$E:$E, 0)), "")</f>
        <v/>
      </c>
      <c r="N92" s="1" t="str">
        <f>IFERROR(INDEX(__key!$D:$D,MATCH(O92&amp;"|"&amp;SUBSTITUTE(J92,",",";"), __key!$E:$E, 0)), "")</f>
        <v/>
      </c>
      <c r="O92" s="1" t="s">
        <v>155</v>
      </c>
      <c r="P92" s="1"/>
      <c r="Q92" s="1" t="s">
        <v>255</v>
      </c>
      <c r="R92" s="1">
        <v>1715</v>
      </c>
      <c r="S92" s="1">
        <f t="shared" si="58"/>
        <v>0</v>
      </c>
      <c r="T92" s="1">
        <f t="shared" si="58"/>
        <v>0</v>
      </c>
      <c r="U92" s="1">
        <f>IFERROR(IF(ISNUMBER(SEARCH("Not Relevant",H92)),0,VALUE(G92)),"")</f>
        <v>10</v>
      </c>
      <c r="V92" s="1">
        <f>IFERROR(SUMIF($D:$D,D92,$U:$U),"")</f>
        <v>150</v>
      </c>
      <c r="W92" s="1">
        <f>IF(OR(V92=0,V92=""),"",U92/V92)</f>
        <v>6.6666666666666666E-2</v>
      </c>
      <c r="X92" s="1" t="str">
        <f>IF(OR(M92="",W92=""),"",VALUE(M92)*W92)</f>
        <v/>
      </c>
      <c r="Y92" s="1" t="b">
        <f>IFERROR(ISNUMBER(SEARCH("Not Relevant",H92)),FALSE)</f>
        <v>0</v>
      </c>
      <c r="Z92" s="1" t="str">
        <f>IF(Y92, COUNTIF($Y$2:Y92, TRUE), "")</f>
        <v/>
      </c>
      <c r="AA92" s="1">
        <f>IFERROR(IF(ISNUMBER(SEARCH("Not Relevant",J92)),0,VALUE(G92)),"")</f>
        <v>10</v>
      </c>
      <c r="AB92" s="1">
        <f>IFERROR(SUMIF($D:$D,D92,$AA:$AA),"")</f>
        <v>150</v>
      </c>
      <c r="AC92" s="1">
        <f>IF(OR(AB92=0,AB92=""),"",AA92/AB92)</f>
        <v>6.6666666666666666E-2</v>
      </c>
      <c r="AD92" s="1" t="str">
        <f>IF(OR(N92="",AC92=""),"",VALUE(N92)*AC92)</f>
        <v/>
      </c>
      <c r="AE92" s="1" t="b">
        <f>IFERROR(ISNUMBER(SEARCH("Not Relevant",J92)),FALSE)</f>
        <v>0</v>
      </c>
      <c r="AF92" s="1" t="b">
        <f>IF(OR(H92="",J92=""),FALSE,IF(H92&lt;&gt;J92,TRUE,FALSE))</f>
        <v>0</v>
      </c>
      <c r="AG92" s="1" t="str">
        <f>IF(AF92, COUNTIF($AF$2:AF92, TRUE), "")</f>
        <v/>
      </c>
    </row>
    <row r="93" spans="1:33" ht="30" customHeight="1" collapsed="1" x14ac:dyDescent="0.3">
      <c r="A93" s="1"/>
      <c r="B93" s="1"/>
      <c r="C93" s="1"/>
      <c r="D93" s="1"/>
      <c r="E93" s="1"/>
      <c r="F93" s="14" t="s">
        <v>264</v>
      </c>
      <c r="G93" s="15"/>
      <c r="H93" s="14"/>
      <c r="I93" s="14"/>
      <c r="J93" s="14"/>
      <c r="K93" s="14"/>
      <c r="L93" s="14"/>
      <c r="M93" s="1"/>
      <c r="N93" s="1"/>
      <c r="O93" s="1"/>
      <c r="P93" s="1"/>
      <c r="Q93" s="1"/>
      <c r="R93" s="1"/>
      <c r="S93" s="1"/>
      <c r="T93" s="1"/>
      <c r="U93" s="1"/>
      <c r="V93" s="1"/>
      <c r="W93" s="1"/>
      <c r="X93" s="1"/>
      <c r="Y93" s="1"/>
      <c r="Z93" s="1"/>
      <c r="AA93" s="1"/>
      <c r="AB93" s="1"/>
      <c r="AC93" s="1"/>
      <c r="AD93" s="1"/>
      <c r="AE93" s="1"/>
      <c r="AF93" s="1"/>
      <c r="AG93" s="1"/>
    </row>
    <row r="94" spans="1:33" ht="28.8" hidden="1" outlineLevel="1" x14ac:dyDescent="0.3">
      <c r="A94" s="1" t="s">
        <v>264</v>
      </c>
      <c r="B94" s="1" t="s">
        <v>34</v>
      </c>
      <c r="C94" s="1" t="s">
        <v>265</v>
      </c>
      <c r="D94" s="1" t="s">
        <v>266</v>
      </c>
      <c r="E94" s="1" t="s">
        <v>267</v>
      </c>
      <c r="F94" s="4" t="s">
        <v>268</v>
      </c>
      <c r="G94" s="5">
        <v>30</v>
      </c>
      <c r="H94" s="6"/>
      <c r="I94" s="3"/>
      <c r="J94" s="6" t="str">
        <f>IF(H94="","",H94)</f>
        <v/>
      </c>
      <c r="K94" s="7"/>
      <c r="L94" s="4" t="s">
        <v>186</v>
      </c>
      <c r="M94" s="1" t="str">
        <f>IFERROR(INDEX(__key!$D:$D,MATCH(O94&amp;"|"&amp;SUBSTITUTE(H94,",",";"), __key!$E:$E, 0)), "")</f>
        <v/>
      </c>
      <c r="N94" s="1" t="str">
        <f>IFERROR(INDEX(__key!$D:$D,MATCH(O94&amp;"|"&amp;SUBSTITUTE(J94,",",";"), __key!$E:$E, 0)), "")</f>
        <v/>
      </c>
      <c r="O94" s="1" t="s">
        <v>202</v>
      </c>
      <c r="P94" s="1"/>
      <c r="Q94" s="1" t="s">
        <v>269</v>
      </c>
      <c r="R94" s="1">
        <v>1811</v>
      </c>
      <c r="S94" s="1">
        <f t="shared" ref="S94:T96" si="59">IFERROR(1*M94,0)</f>
        <v>0</v>
      </c>
      <c r="T94" s="1">
        <f t="shared" si="59"/>
        <v>0</v>
      </c>
      <c r="U94" s="1">
        <f>IFERROR(IF(ISNUMBER(SEARCH("Not Relevant",H94)),0,VALUE(G94)),"")</f>
        <v>30</v>
      </c>
      <c r="V94" s="1">
        <f>IFERROR(SUMIF($D:$D,D94,$U:$U),"")</f>
        <v>50</v>
      </c>
      <c r="W94" s="1">
        <f>IF(OR(V94=0,V94=""),"",U94/V94)</f>
        <v>0.6</v>
      </c>
      <c r="X94" s="1" t="str">
        <f>IF(OR(M94="",W94=""),"",VALUE(M94)*W94)</f>
        <v/>
      </c>
      <c r="Y94" s="1" t="b">
        <f>IFERROR(ISNUMBER(SEARCH("Not Relevant",H94)),FALSE)</f>
        <v>0</v>
      </c>
      <c r="Z94" s="1" t="str">
        <f>IF(Y94, COUNTIF($Y$2:Y94, TRUE), "")</f>
        <v/>
      </c>
      <c r="AA94" s="1">
        <f>IFERROR(IF(ISNUMBER(SEARCH("Not Relevant",J94)),0,VALUE(G94)),"")</f>
        <v>30</v>
      </c>
      <c r="AB94" s="1">
        <f>IFERROR(SUMIF($D:$D,D94,$AA:$AA),"")</f>
        <v>50</v>
      </c>
      <c r="AC94" s="1">
        <f>IF(OR(AB94=0,AB94=""),"",AA94/AB94)</f>
        <v>0.6</v>
      </c>
      <c r="AD94" s="1" t="str">
        <f>IF(OR(N94="",AC94=""),"",VALUE(N94)*AC94)</f>
        <v/>
      </c>
      <c r="AE94" s="1" t="b">
        <f>IFERROR(ISNUMBER(SEARCH("Not Relevant",J94)),FALSE)</f>
        <v>0</v>
      </c>
      <c r="AF94" s="1" t="b">
        <f>IF(OR(H94="",J94=""),FALSE,IF(H94&lt;&gt;J94,TRUE,FALSE))</f>
        <v>0</v>
      </c>
      <c r="AG94" s="1" t="str">
        <f>IF(AF94, COUNTIF($AF$2:AF94, TRUE), "")</f>
        <v/>
      </c>
    </row>
    <row r="95" spans="1:33" ht="43.2" hidden="1" outlineLevel="1" x14ac:dyDescent="0.3">
      <c r="A95" s="1" t="s">
        <v>264</v>
      </c>
      <c r="B95" s="1" t="s">
        <v>34</v>
      </c>
      <c r="C95" s="1" t="s">
        <v>265</v>
      </c>
      <c r="D95" s="1" t="s">
        <v>266</v>
      </c>
      <c r="E95" s="1" t="s">
        <v>270</v>
      </c>
      <c r="F95" s="4" t="s">
        <v>271</v>
      </c>
      <c r="G95" s="5">
        <v>10</v>
      </c>
      <c r="H95" s="6"/>
      <c r="I95" s="3"/>
      <c r="J95" s="6" t="str">
        <f>IF(H95="","",H95)</f>
        <v/>
      </c>
      <c r="K95" s="7"/>
      <c r="L95" s="4" t="s">
        <v>186</v>
      </c>
      <c r="M95" s="1" t="str">
        <f>IFERROR(INDEX(__key!$D:$D,MATCH(O95&amp;"|"&amp;SUBSTITUTE(H95,",",";"), __key!$E:$E, 0)), "")</f>
        <v/>
      </c>
      <c r="N95" s="1" t="str">
        <f>IFERROR(INDEX(__key!$D:$D,MATCH(O95&amp;"|"&amp;SUBSTITUTE(J95,",",";"), __key!$E:$E, 0)), "")</f>
        <v/>
      </c>
      <c r="O95" s="1" t="s">
        <v>202</v>
      </c>
      <c r="P95" s="1"/>
      <c r="Q95" s="1" t="s">
        <v>269</v>
      </c>
      <c r="R95" s="1">
        <v>1812</v>
      </c>
      <c r="S95" s="1">
        <f t="shared" si="59"/>
        <v>0</v>
      </c>
      <c r="T95" s="1">
        <f t="shared" si="59"/>
        <v>0</v>
      </c>
      <c r="U95" s="1">
        <f>IFERROR(IF(ISNUMBER(SEARCH("Not Relevant",H95)),0,VALUE(G95)),"")</f>
        <v>10</v>
      </c>
      <c r="V95" s="1">
        <f>IFERROR(SUMIF($D:$D,D95,$U:$U),"")</f>
        <v>50</v>
      </c>
      <c r="W95" s="1">
        <f>IF(OR(V95=0,V95=""),"",U95/V95)</f>
        <v>0.2</v>
      </c>
      <c r="X95" s="1" t="str">
        <f>IF(OR(M95="",W95=""),"",VALUE(M95)*W95)</f>
        <v/>
      </c>
      <c r="Y95" s="1" t="b">
        <f>IFERROR(ISNUMBER(SEARCH("Not Relevant",H95)),FALSE)</f>
        <v>0</v>
      </c>
      <c r="Z95" s="1" t="str">
        <f>IF(Y95, COUNTIF($Y$2:Y95, TRUE), "")</f>
        <v/>
      </c>
      <c r="AA95" s="1">
        <f>IFERROR(IF(ISNUMBER(SEARCH("Not Relevant",J95)),0,VALUE(G95)),"")</f>
        <v>10</v>
      </c>
      <c r="AB95" s="1">
        <f>IFERROR(SUMIF($D:$D,D95,$AA:$AA),"")</f>
        <v>50</v>
      </c>
      <c r="AC95" s="1">
        <f>IF(OR(AB95=0,AB95=""),"",AA95/AB95)</f>
        <v>0.2</v>
      </c>
      <c r="AD95" s="1" t="str">
        <f>IF(OR(N95="",AC95=""),"",VALUE(N95)*AC95)</f>
        <v/>
      </c>
      <c r="AE95" s="1" t="b">
        <f>IFERROR(ISNUMBER(SEARCH("Not Relevant",J95)),FALSE)</f>
        <v>0</v>
      </c>
      <c r="AF95" s="1" t="b">
        <f>IF(OR(H95="",J95=""),FALSE,IF(H95&lt;&gt;J95,TRUE,FALSE))</f>
        <v>0</v>
      </c>
      <c r="AG95" s="1" t="str">
        <f>IF(AF95, COUNTIF($AF$2:AF95, TRUE), "")</f>
        <v/>
      </c>
    </row>
    <row r="96" spans="1:33" ht="28.8" hidden="1" outlineLevel="1" x14ac:dyDescent="0.3">
      <c r="A96" s="1" t="s">
        <v>264</v>
      </c>
      <c r="B96" s="1" t="s">
        <v>34</v>
      </c>
      <c r="C96" s="1" t="s">
        <v>265</v>
      </c>
      <c r="D96" s="1" t="s">
        <v>266</v>
      </c>
      <c r="E96" s="1" t="s">
        <v>272</v>
      </c>
      <c r="F96" s="4" t="s">
        <v>273</v>
      </c>
      <c r="G96" s="5">
        <v>10</v>
      </c>
      <c r="H96" s="6"/>
      <c r="I96" s="3"/>
      <c r="J96" s="6" t="str">
        <f>IF(H96="","",H96)</f>
        <v/>
      </c>
      <c r="K96" s="7"/>
      <c r="L96" s="4" t="s">
        <v>186</v>
      </c>
      <c r="M96" s="1" t="str">
        <f>IFERROR(INDEX(__key!$D:$D,MATCH(O96&amp;"|"&amp;SUBSTITUTE(H96,",",";"), __key!$E:$E, 0)), "")</f>
        <v/>
      </c>
      <c r="N96" s="1" t="str">
        <f>IFERROR(INDEX(__key!$D:$D,MATCH(O96&amp;"|"&amp;SUBSTITUTE(J96,",",";"), __key!$E:$E, 0)), "")</f>
        <v/>
      </c>
      <c r="O96" s="1" t="s">
        <v>202</v>
      </c>
      <c r="P96" s="1"/>
      <c r="Q96" s="1" t="s">
        <v>269</v>
      </c>
      <c r="R96" s="1">
        <v>1813</v>
      </c>
      <c r="S96" s="1">
        <f t="shared" si="59"/>
        <v>0</v>
      </c>
      <c r="T96" s="1">
        <f t="shared" si="59"/>
        <v>0</v>
      </c>
      <c r="U96" s="1">
        <f>IFERROR(IF(ISNUMBER(SEARCH("Not Relevant",H96)),0,VALUE(G96)),"")</f>
        <v>10</v>
      </c>
      <c r="V96" s="1">
        <f>IFERROR(SUMIF($D:$D,D96,$U:$U),"")</f>
        <v>50</v>
      </c>
      <c r="W96" s="1">
        <f>IF(OR(V96=0,V96=""),"",U96/V96)</f>
        <v>0.2</v>
      </c>
      <c r="X96" s="1" t="str">
        <f>IF(OR(M96="",W96=""),"",VALUE(M96)*W96)</f>
        <v/>
      </c>
      <c r="Y96" s="1" t="b">
        <f>IFERROR(ISNUMBER(SEARCH("Not Relevant",H96)),FALSE)</f>
        <v>0</v>
      </c>
      <c r="Z96" s="1" t="str">
        <f>IF(Y96, COUNTIF($Y$2:Y96, TRUE), "")</f>
        <v/>
      </c>
      <c r="AA96" s="1">
        <f>IFERROR(IF(ISNUMBER(SEARCH("Not Relevant",J96)),0,VALUE(G96)),"")</f>
        <v>10</v>
      </c>
      <c r="AB96" s="1">
        <f>IFERROR(SUMIF($D:$D,D96,$AA:$AA),"")</f>
        <v>50</v>
      </c>
      <c r="AC96" s="1">
        <f>IF(OR(AB96=0,AB96=""),"",AA96/AB96)</f>
        <v>0.2</v>
      </c>
      <c r="AD96" s="1" t="str">
        <f>IF(OR(N96="",AC96=""),"",VALUE(N96)*AC96)</f>
        <v/>
      </c>
      <c r="AE96" s="1" t="b">
        <f>IFERROR(ISNUMBER(SEARCH("Not Relevant",J96)),FALSE)</f>
        <v>0</v>
      </c>
      <c r="AF96" s="1" t="b">
        <f>IF(OR(H96="",J96=""),FALSE,IF(H96&lt;&gt;J96,TRUE,FALSE))</f>
        <v>0</v>
      </c>
      <c r="AG96" s="1" t="str">
        <f>IF(AF96, COUNTIF($AF$2:AF96, TRUE), "")</f>
        <v/>
      </c>
    </row>
    <row r="97" spans="1:33" ht="30" customHeight="1" collapsed="1" x14ac:dyDescent="0.3">
      <c r="A97" s="1"/>
      <c r="B97" s="1"/>
      <c r="C97" s="1"/>
      <c r="D97" s="1"/>
      <c r="E97" s="1"/>
      <c r="F97" s="14" t="s">
        <v>274</v>
      </c>
      <c r="G97" s="15"/>
      <c r="H97" s="14"/>
      <c r="I97" s="14"/>
      <c r="J97" s="14"/>
      <c r="K97" s="14"/>
      <c r="L97" s="14"/>
      <c r="M97" s="1"/>
      <c r="N97" s="1"/>
      <c r="O97" s="1"/>
      <c r="P97" s="1"/>
      <c r="Q97" s="1"/>
      <c r="R97" s="1"/>
      <c r="S97" s="1"/>
      <c r="T97" s="1"/>
      <c r="U97" s="1"/>
      <c r="V97" s="1"/>
      <c r="W97" s="1"/>
      <c r="X97" s="1"/>
      <c r="Y97" s="1"/>
      <c r="Z97" s="1"/>
      <c r="AA97" s="1"/>
      <c r="AB97" s="1"/>
      <c r="AC97" s="1"/>
      <c r="AD97" s="1"/>
      <c r="AE97" s="1"/>
      <c r="AF97" s="1"/>
      <c r="AG97" s="1"/>
    </row>
    <row r="98" spans="1:33" ht="43.2" hidden="1" outlineLevel="1" x14ac:dyDescent="0.3">
      <c r="A98" s="1" t="s">
        <v>274</v>
      </c>
      <c r="B98" s="1" t="s">
        <v>34</v>
      </c>
      <c r="C98" s="1" t="s">
        <v>275</v>
      </c>
      <c r="D98" s="1" t="s">
        <v>276</v>
      </c>
      <c r="E98" s="1" t="s">
        <v>277</v>
      </c>
      <c r="F98" s="4" t="s">
        <v>278</v>
      </c>
      <c r="G98" s="5">
        <v>10</v>
      </c>
      <c r="H98" s="6"/>
      <c r="I98" s="3"/>
      <c r="J98" s="6" t="str">
        <f t="shared" ref="J98:J112" si="60">IF(H98="","",H98)</f>
        <v/>
      </c>
      <c r="K98" s="7"/>
      <c r="L98" s="4" t="s">
        <v>279</v>
      </c>
      <c r="M98" s="1" t="str">
        <f>IFERROR(INDEX(__key!$D:$D,MATCH(O98&amp;"|"&amp;SUBSTITUTE(H98,",",";"), __key!$E:$E, 0)), "")</f>
        <v/>
      </c>
      <c r="N98" s="1" t="str">
        <f>IFERROR(INDEX(__key!$D:$D,MATCH(O98&amp;"|"&amp;SUBSTITUTE(J98,",",";"), __key!$E:$E, 0)), "")</f>
        <v/>
      </c>
      <c r="O98" s="1" t="s">
        <v>40</v>
      </c>
      <c r="P98" s="1"/>
      <c r="Q98" s="1" t="s">
        <v>280</v>
      </c>
      <c r="R98" s="1">
        <v>1911</v>
      </c>
      <c r="S98" s="1">
        <f t="shared" ref="S98:S112" si="61">IFERROR(1*M98,0)</f>
        <v>0</v>
      </c>
      <c r="T98" s="1">
        <f t="shared" ref="T98:T112" si="62">IFERROR(1*N98,0)</f>
        <v>0</v>
      </c>
      <c r="U98" s="1">
        <f t="shared" ref="U98:U112" si="63">IFERROR(IF(ISNUMBER(SEARCH("Not Relevant",H98)),0,VALUE(G98)),"")</f>
        <v>10</v>
      </c>
      <c r="V98" s="1">
        <f t="shared" ref="V98:V112" si="64">IFERROR(SUMIF($D:$D,D98,$U:$U),"")</f>
        <v>150</v>
      </c>
      <c r="W98" s="1">
        <f t="shared" ref="W98:W112" si="65">IF(OR(V98=0,V98=""),"",U98/V98)</f>
        <v>6.6666666666666666E-2</v>
      </c>
      <c r="X98" s="1" t="str">
        <f t="shared" ref="X98:X112" si="66">IF(OR(M98="",W98=""),"",VALUE(M98)*W98)</f>
        <v/>
      </c>
      <c r="Y98" s="1" t="b">
        <f t="shared" ref="Y98:Y112" si="67">IFERROR(ISNUMBER(SEARCH("Not Relevant",H98)),FALSE)</f>
        <v>0</v>
      </c>
      <c r="Z98" s="1" t="str">
        <f>IF(Y98, COUNTIF($Y$2:Y98, TRUE), "")</f>
        <v/>
      </c>
      <c r="AA98" s="1">
        <f t="shared" ref="AA98:AA112" si="68">IFERROR(IF(ISNUMBER(SEARCH("Not Relevant",J98)),0,VALUE(G98)),"")</f>
        <v>10</v>
      </c>
      <c r="AB98" s="1">
        <f t="shared" ref="AB98:AB112" si="69">IFERROR(SUMIF($D:$D,D98,$AA:$AA),"")</f>
        <v>150</v>
      </c>
      <c r="AC98" s="1">
        <f t="shared" ref="AC98:AC112" si="70">IF(OR(AB98=0,AB98=""),"",AA98/AB98)</f>
        <v>6.6666666666666666E-2</v>
      </c>
      <c r="AD98" s="1" t="str">
        <f t="shared" ref="AD98:AD112" si="71">IF(OR(N98="",AC98=""),"",VALUE(N98)*AC98)</f>
        <v/>
      </c>
      <c r="AE98" s="1" t="b">
        <f t="shared" ref="AE98:AE112" si="72">IFERROR(ISNUMBER(SEARCH("Not Relevant",J98)),FALSE)</f>
        <v>0</v>
      </c>
      <c r="AF98" s="1" t="b">
        <f t="shared" ref="AF98:AF112" si="73">IF(OR(H98="",J98=""),FALSE,IF(H98&lt;&gt;J98,TRUE,FALSE))</f>
        <v>0</v>
      </c>
      <c r="AG98" s="1" t="str">
        <f>IF(AF98, COUNTIF($AF$2:AF98, TRUE), "")</f>
        <v/>
      </c>
    </row>
    <row r="99" spans="1:33" ht="28.8" hidden="1" outlineLevel="1" x14ac:dyDescent="0.3">
      <c r="A99" s="1" t="s">
        <v>274</v>
      </c>
      <c r="B99" s="1" t="s">
        <v>34</v>
      </c>
      <c r="C99" s="1" t="s">
        <v>275</v>
      </c>
      <c r="D99" s="1" t="s">
        <v>276</v>
      </c>
      <c r="E99" s="1" t="s">
        <v>281</v>
      </c>
      <c r="F99" s="4" t="s">
        <v>282</v>
      </c>
      <c r="G99" s="5">
        <v>10</v>
      </c>
      <c r="H99" s="6"/>
      <c r="I99" s="3"/>
      <c r="J99" s="6" t="str">
        <f t="shared" si="60"/>
        <v/>
      </c>
      <c r="K99" s="7"/>
      <c r="L99" s="4" t="s">
        <v>279</v>
      </c>
      <c r="M99" s="1" t="str">
        <f>IFERROR(INDEX(__key!$D:$D,MATCH(O99&amp;"|"&amp;SUBSTITUTE(H99,",",";"), __key!$E:$E, 0)), "")</f>
        <v/>
      </c>
      <c r="N99" s="1" t="str">
        <f>IFERROR(INDEX(__key!$D:$D,MATCH(O99&amp;"|"&amp;SUBSTITUTE(J99,",",";"), __key!$E:$E, 0)), "")</f>
        <v/>
      </c>
      <c r="O99" s="1" t="s">
        <v>40</v>
      </c>
      <c r="P99" s="1"/>
      <c r="Q99" s="1" t="s">
        <v>280</v>
      </c>
      <c r="R99" s="1">
        <v>1912</v>
      </c>
      <c r="S99" s="1">
        <f t="shared" si="61"/>
        <v>0</v>
      </c>
      <c r="T99" s="1">
        <f t="shared" si="62"/>
        <v>0</v>
      </c>
      <c r="U99" s="1">
        <f t="shared" si="63"/>
        <v>10</v>
      </c>
      <c r="V99" s="1">
        <f t="shared" si="64"/>
        <v>150</v>
      </c>
      <c r="W99" s="1">
        <f t="shared" si="65"/>
        <v>6.6666666666666666E-2</v>
      </c>
      <c r="X99" s="1" t="str">
        <f t="shared" si="66"/>
        <v/>
      </c>
      <c r="Y99" s="1" t="b">
        <f t="shared" si="67"/>
        <v>0</v>
      </c>
      <c r="Z99" s="1" t="str">
        <f>IF(Y99, COUNTIF($Y$2:Y99, TRUE), "")</f>
        <v/>
      </c>
      <c r="AA99" s="1">
        <f t="shared" si="68"/>
        <v>10</v>
      </c>
      <c r="AB99" s="1">
        <f t="shared" si="69"/>
        <v>150</v>
      </c>
      <c r="AC99" s="1">
        <f t="shared" si="70"/>
        <v>6.6666666666666666E-2</v>
      </c>
      <c r="AD99" s="1" t="str">
        <f t="shared" si="71"/>
        <v/>
      </c>
      <c r="AE99" s="1" t="b">
        <f t="shared" si="72"/>
        <v>0</v>
      </c>
      <c r="AF99" s="1" t="b">
        <f t="shared" si="73"/>
        <v>0</v>
      </c>
      <c r="AG99" s="1" t="str">
        <f>IF(AF99, COUNTIF($AF$2:AF99, TRUE), "")</f>
        <v/>
      </c>
    </row>
    <row r="100" spans="1:33" ht="28.8" hidden="1" outlineLevel="1" x14ac:dyDescent="0.3">
      <c r="A100" s="1" t="s">
        <v>274</v>
      </c>
      <c r="B100" s="1" t="s">
        <v>34</v>
      </c>
      <c r="C100" s="1" t="s">
        <v>275</v>
      </c>
      <c r="D100" s="1" t="s">
        <v>276</v>
      </c>
      <c r="E100" s="1" t="s">
        <v>283</v>
      </c>
      <c r="F100" s="4" t="s">
        <v>284</v>
      </c>
      <c r="G100" s="5">
        <v>10</v>
      </c>
      <c r="H100" s="6"/>
      <c r="I100" s="3"/>
      <c r="J100" s="6" t="str">
        <f t="shared" si="60"/>
        <v/>
      </c>
      <c r="K100" s="7"/>
      <c r="L100" s="4" t="s">
        <v>279</v>
      </c>
      <c r="M100" s="1" t="str">
        <f>IFERROR(INDEX(__key!$D:$D,MATCH(O100&amp;"|"&amp;SUBSTITUTE(H100,",",";"), __key!$E:$E, 0)), "")</f>
        <v/>
      </c>
      <c r="N100" s="1" t="str">
        <f>IFERROR(INDEX(__key!$D:$D,MATCH(O100&amp;"|"&amp;SUBSTITUTE(J100,",",";"), __key!$E:$E, 0)), "")</f>
        <v/>
      </c>
      <c r="O100" s="1" t="s">
        <v>40</v>
      </c>
      <c r="P100" s="1"/>
      <c r="Q100" s="1" t="s">
        <v>280</v>
      </c>
      <c r="R100" s="1">
        <v>1913</v>
      </c>
      <c r="S100" s="1">
        <f t="shared" si="61"/>
        <v>0</v>
      </c>
      <c r="T100" s="1">
        <f t="shared" si="62"/>
        <v>0</v>
      </c>
      <c r="U100" s="1">
        <f t="shared" si="63"/>
        <v>10</v>
      </c>
      <c r="V100" s="1">
        <f t="shared" si="64"/>
        <v>150</v>
      </c>
      <c r="W100" s="1">
        <f t="shared" si="65"/>
        <v>6.6666666666666666E-2</v>
      </c>
      <c r="X100" s="1" t="str">
        <f t="shared" si="66"/>
        <v/>
      </c>
      <c r="Y100" s="1" t="b">
        <f t="shared" si="67"/>
        <v>0</v>
      </c>
      <c r="Z100" s="1" t="str">
        <f>IF(Y100, COUNTIF($Y$2:Y100, TRUE), "")</f>
        <v/>
      </c>
      <c r="AA100" s="1">
        <f t="shared" si="68"/>
        <v>10</v>
      </c>
      <c r="AB100" s="1">
        <f t="shared" si="69"/>
        <v>150</v>
      </c>
      <c r="AC100" s="1">
        <f t="shared" si="70"/>
        <v>6.6666666666666666E-2</v>
      </c>
      <c r="AD100" s="1" t="str">
        <f t="shared" si="71"/>
        <v/>
      </c>
      <c r="AE100" s="1" t="b">
        <f t="shared" si="72"/>
        <v>0</v>
      </c>
      <c r="AF100" s="1" t="b">
        <f t="shared" si="73"/>
        <v>0</v>
      </c>
      <c r="AG100" s="1" t="str">
        <f>IF(AF100, COUNTIF($AF$2:AF100, TRUE), "")</f>
        <v/>
      </c>
    </row>
    <row r="101" spans="1:33" ht="43.2" hidden="1" outlineLevel="1" x14ac:dyDescent="0.3">
      <c r="A101" s="1" t="s">
        <v>274</v>
      </c>
      <c r="B101" s="1" t="s">
        <v>34</v>
      </c>
      <c r="C101" s="1" t="s">
        <v>275</v>
      </c>
      <c r="D101" s="1" t="s">
        <v>276</v>
      </c>
      <c r="E101" s="1" t="s">
        <v>285</v>
      </c>
      <c r="F101" s="4" t="s">
        <v>286</v>
      </c>
      <c r="G101" s="5">
        <v>10</v>
      </c>
      <c r="H101" s="6"/>
      <c r="I101" s="3"/>
      <c r="J101" s="6" t="str">
        <f t="shared" si="60"/>
        <v/>
      </c>
      <c r="K101" s="7"/>
      <c r="L101" s="4" t="s">
        <v>279</v>
      </c>
      <c r="M101" s="1" t="str">
        <f>IFERROR(INDEX(__key!$D:$D,MATCH(O101&amp;"|"&amp;SUBSTITUTE(H101,",",";"), __key!$E:$E, 0)), "")</f>
        <v/>
      </c>
      <c r="N101" s="1" t="str">
        <f>IFERROR(INDEX(__key!$D:$D,MATCH(O101&amp;"|"&amp;SUBSTITUTE(J101,",",";"), __key!$E:$E, 0)), "")</f>
        <v/>
      </c>
      <c r="O101" s="1" t="s">
        <v>40</v>
      </c>
      <c r="P101" s="1"/>
      <c r="Q101" s="1" t="s">
        <v>280</v>
      </c>
      <c r="R101" s="1">
        <v>1914</v>
      </c>
      <c r="S101" s="1">
        <f t="shared" si="61"/>
        <v>0</v>
      </c>
      <c r="T101" s="1">
        <f t="shared" si="62"/>
        <v>0</v>
      </c>
      <c r="U101" s="1">
        <f t="shared" si="63"/>
        <v>10</v>
      </c>
      <c r="V101" s="1">
        <f t="shared" si="64"/>
        <v>150</v>
      </c>
      <c r="W101" s="1">
        <f t="shared" si="65"/>
        <v>6.6666666666666666E-2</v>
      </c>
      <c r="X101" s="1" t="str">
        <f t="shared" si="66"/>
        <v/>
      </c>
      <c r="Y101" s="1" t="b">
        <f t="shared" si="67"/>
        <v>0</v>
      </c>
      <c r="Z101" s="1" t="str">
        <f>IF(Y101, COUNTIF($Y$2:Y101, TRUE), "")</f>
        <v/>
      </c>
      <c r="AA101" s="1">
        <f t="shared" si="68"/>
        <v>10</v>
      </c>
      <c r="AB101" s="1">
        <f t="shared" si="69"/>
        <v>150</v>
      </c>
      <c r="AC101" s="1">
        <f t="shared" si="70"/>
        <v>6.6666666666666666E-2</v>
      </c>
      <c r="AD101" s="1" t="str">
        <f t="shared" si="71"/>
        <v/>
      </c>
      <c r="AE101" s="1" t="b">
        <f t="shared" si="72"/>
        <v>0</v>
      </c>
      <c r="AF101" s="1" t="b">
        <f t="shared" si="73"/>
        <v>0</v>
      </c>
      <c r="AG101" s="1" t="str">
        <f>IF(AF101, COUNTIF($AF$2:AF101, TRUE), "")</f>
        <v/>
      </c>
    </row>
    <row r="102" spans="1:33" ht="43.2" hidden="1" outlineLevel="1" x14ac:dyDescent="0.3">
      <c r="A102" s="1" t="s">
        <v>274</v>
      </c>
      <c r="B102" s="1" t="s">
        <v>34</v>
      </c>
      <c r="C102" s="1" t="s">
        <v>275</v>
      </c>
      <c r="D102" s="1" t="s">
        <v>276</v>
      </c>
      <c r="E102" s="1" t="s">
        <v>287</v>
      </c>
      <c r="F102" s="4" t="s">
        <v>288</v>
      </c>
      <c r="G102" s="5">
        <v>10</v>
      </c>
      <c r="H102" s="6"/>
      <c r="I102" s="3"/>
      <c r="J102" s="6" t="str">
        <f t="shared" si="60"/>
        <v/>
      </c>
      <c r="K102" s="7"/>
      <c r="L102" s="4" t="s">
        <v>279</v>
      </c>
      <c r="M102" s="1" t="str">
        <f>IFERROR(INDEX(__key!$D:$D,MATCH(O102&amp;"|"&amp;SUBSTITUTE(H102,",",";"), __key!$E:$E, 0)), "")</f>
        <v/>
      </c>
      <c r="N102" s="1" t="str">
        <f>IFERROR(INDEX(__key!$D:$D,MATCH(O102&amp;"|"&amp;SUBSTITUTE(J102,",",";"), __key!$E:$E, 0)), "")</f>
        <v/>
      </c>
      <c r="O102" s="1" t="s">
        <v>40</v>
      </c>
      <c r="P102" s="1"/>
      <c r="Q102" s="1" t="s">
        <v>280</v>
      </c>
      <c r="R102" s="1">
        <v>1915</v>
      </c>
      <c r="S102" s="1">
        <f t="shared" si="61"/>
        <v>0</v>
      </c>
      <c r="T102" s="1">
        <f t="shared" si="62"/>
        <v>0</v>
      </c>
      <c r="U102" s="1">
        <f t="shared" si="63"/>
        <v>10</v>
      </c>
      <c r="V102" s="1">
        <f t="shared" si="64"/>
        <v>150</v>
      </c>
      <c r="W102" s="1">
        <f t="shared" si="65"/>
        <v>6.6666666666666666E-2</v>
      </c>
      <c r="X102" s="1" t="str">
        <f t="shared" si="66"/>
        <v/>
      </c>
      <c r="Y102" s="1" t="b">
        <f t="shared" si="67"/>
        <v>0</v>
      </c>
      <c r="Z102" s="1" t="str">
        <f>IF(Y102, COUNTIF($Y$2:Y102, TRUE), "")</f>
        <v/>
      </c>
      <c r="AA102" s="1">
        <f t="shared" si="68"/>
        <v>10</v>
      </c>
      <c r="AB102" s="1">
        <f t="shared" si="69"/>
        <v>150</v>
      </c>
      <c r="AC102" s="1">
        <f t="shared" si="70"/>
        <v>6.6666666666666666E-2</v>
      </c>
      <c r="AD102" s="1" t="str">
        <f t="shared" si="71"/>
        <v/>
      </c>
      <c r="AE102" s="1" t="b">
        <f t="shared" si="72"/>
        <v>0</v>
      </c>
      <c r="AF102" s="1" t="b">
        <f t="shared" si="73"/>
        <v>0</v>
      </c>
      <c r="AG102" s="1" t="str">
        <f>IF(AF102, COUNTIF($AF$2:AF102, TRUE), "")</f>
        <v/>
      </c>
    </row>
    <row r="103" spans="1:33" ht="28.8" hidden="1" outlineLevel="1" x14ac:dyDescent="0.3">
      <c r="A103" s="1" t="s">
        <v>274</v>
      </c>
      <c r="B103" s="1" t="s">
        <v>34</v>
      </c>
      <c r="C103" s="1" t="s">
        <v>275</v>
      </c>
      <c r="D103" s="1" t="s">
        <v>276</v>
      </c>
      <c r="E103" s="1" t="s">
        <v>289</v>
      </c>
      <c r="F103" s="4" t="s">
        <v>290</v>
      </c>
      <c r="G103" s="5">
        <v>10</v>
      </c>
      <c r="H103" s="6"/>
      <c r="I103" s="3"/>
      <c r="J103" s="6" t="str">
        <f t="shared" si="60"/>
        <v/>
      </c>
      <c r="K103" s="7"/>
      <c r="L103" s="4" t="s">
        <v>279</v>
      </c>
      <c r="M103" s="1" t="str">
        <f>IFERROR(INDEX(__key!$D:$D,MATCH(O103&amp;"|"&amp;SUBSTITUTE(H103,",",";"), __key!$E:$E, 0)), "")</f>
        <v/>
      </c>
      <c r="N103" s="1" t="str">
        <f>IFERROR(INDEX(__key!$D:$D,MATCH(O103&amp;"|"&amp;SUBSTITUTE(J103,",",";"), __key!$E:$E, 0)), "")</f>
        <v/>
      </c>
      <c r="O103" s="1" t="s">
        <v>40</v>
      </c>
      <c r="P103" s="1"/>
      <c r="Q103" s="1" t="s">
        <v>280</v>
      </c>
      <c r="R103" s="1">
        <v>1916</v>
      </c>
      <c r="S103" s="1">
        <f t="shared" si="61"/>
        <v>0</v>
      </c>
      <c r="T103" s="1">
        <f t="shared" si="62"/>
        <v>0</v>
      </c>
      <c r="U103" s="1">
        <f t="shared" si="63"/>
        <v>10</v>
      </c>
      <c r="V103" s="1">
        <f t="shared" si="64"/>
        <v>150</v>
      </c>
      <c r="W103" s="1">
        <f t="shared" si="65"/>
        <v>6.6666666666666666E-2</v>
      </c>
      <c r="X103" s="1" t="str">
        <f t="shared" si="66"/>
        <v/>
      </c>
      <c r="Y103" s="1" t="b">
        <f t="shared" si="67"/>
        <v>0</v>
      </c>
      <c r="Z103" s="1" t="str">
        <f>IF(Y103, COUNTIF($Y$2:Y103, TRUE), "")</f>
        <v/>
      </c>
      <c r="AA103" s="1">
        <f t="shared" si="68"/>
        <v>10</v>
      </c>
      <c r="AB103" s="1">
        <f t="shared" si="69"/>
        <v>150</v>
      </c>
      <c r="AC103" s="1">
        <f t="shared" si="70"/>
        <v>6.6666666666666666E-2</v>
      </c>
      <c r="AD103" s="1" t="str">
        <f t="shared" si="71"/>
        <v/>
      </c>
      <c r="AE103" s="1" t="b">
        <f t="shared" si="72"/>
        <v>0</v>
      </c>
      <c r="AF103" s="1" t="b">
        <f t="shared" si="73"/>
        <v>0</v>
      </c>
      <c r="AG103" s="1" t="str">
        <f>IF(AF103, COUNTIF($AF$2:AF103, TRUE), "")</f>
        <v/>
      </c>
    </row>
    <row r="104" spans="1:33" ht="43.2" hidden="1" outlineLevel="1" x14ac:dyDescent="0.3">
      <c r="A104" s="1" t="s">
        <v>274</v>
      </c>
      <c r="B104" s="1" t="s">
        <v>34</v>
      </c>
      <c r="C104" s="1" t="s">
        <v>275</v>
      </c>
      <c r="D104" s="1" t="s">
        <v>276</v>
      </c>
      <c r="E104" s="1" t="s">
        <v>291</v>
      </c>
      <c r="F104" s="4" t="s">
        <v>292</v>
      </c>
      <c r="G104" s="5">
        <v>10</v>
      </c>
      <c r="H104" s="6"/>
      <c r="I104" s="3"/>
      <c r="J104" s="6" t="str">
        <f t="shared" si="60"/>
        <v/>
      </c>
      <c r="K104" s="7"/>
      <c r="L104" s="4" t="s">
        <v>279</v>
      </c>
      <c r="M104" s="1" t="str">
        <f>IFERROR(INDEX(__key!$D:$D,MATCH(O104&amp;"|"&amp;SUBSTITUTE(H104,",",";"), __key!$E:$E, 0)), "")</f>
        <v/>
      </c>
      <c r="N104" s="1" t="str">
        <f>IFERROR(INDEX(__key!$D:$D,MATCH(O104&amp;"|"&amp;SUBSTITUTE(J104,",",";"), __key!$E:$E, 0)), "")</f>
        <v/>
      </c>
      <c r="O104" s="1" t="s">
        <v>40</v>
      </c>
      <c r="P104" s="1"/>
      <c r="Q104" s="1" t="s">
        <v>280</v>
      </c>
      <c r="R104" s="1">
        <v>1917</v>
      </c>
      <c r="S104" s="1">
        <f t="shared" si="61"/>
        <v>0</v>
      </c>
      <c r="T104" s="1">
        <f t="shared" si="62"/>
        <v>0</v>
      </c>
      <c r="U104" s="1">
        <f t="shared" si="63"/>
        <v>10</v>
      </c>
      <c r="V104" s="1">
        <f t="shared" si="64"/>
        <v>150</v>
      </c>
      <c r="W104" s="1">
        <f t="shared" si="65"/>
        <v>6.6666666666666666E-2</v>
      </c>
      <c r="X104" s="1" t="str">
        <f t="shared" si="66"/>
        <v/>
      </c>
      <c r="Y104" s="1" t="b">
        <f t="shared" si="67"/>
        <v>0</v>
      </c>
      <c r="Z104" s="1" t="str">
        <f>IF(Y104, COUNTIF($Y$2:Y104, TRUE), "")</f>
        <v/>
      </c>
      <c r="AA104" s="1">
        <f t="shared" si="68"/>
        <v>10</v>
      </c>
      <c r="AB104" s="1">
        <f t="shared" si="69"/>
        <v>150</v>
      </c>
      <c r="AC104" s="1">
        <f t="shared" si="70"/>
        <v>6.6666666666666666E-2</v>
      </c>
      <c r="AD104" s="1" t="str">
        <f t="shared" si="71"/>
        <v/>
      </c>
      <c r="AE104" s="1" t="b">
        <f t="shared" si="72"/>
        <v>0</v>
      </c>
      <c r="AF104" s="1" t="b">
        <f t="shared" si="73"/>
        <v>0</v>
      </c>
      <c r="AG104" s="1" t="str">
        <f>IF(AF104, COUNTIF($AF$2:AF104, TRUE), "")</f>
        <v/>
      </c>
    </row>
    <row r="105" spans="1:33" ht="28.8" hidden="1" outlineLevel="1" x14ac:dyDescent="0.3">
      <c r="A105" s="1" t="s">
        <v>274</v>
      </c>
      <c r="B105" s="1" t="s">
        <v>34</v>
      </c>
      <c r="C105" s="1" t="s">
        <v>275</v>
      </c>
      <c r="D105" s="1" t="s">
        <v>276</v>
      </c>
      <c r="E105" s="1" t="s">
        <v>293</v>
      </c>
      <c r="F105" s="4" t="s">
        <v>294</v>
      </c>
      <c r="G105" s="5">
        <v>10</v>
      </c>
      <c r="H105" s="6"/>
      <c r="I105" s="3"/>
      <c r="J105" s="6" t="str">
        <f t="shared" si="60"/>
        <v/>
      </c>
      <c r="K105" s="7"/>
      <c r="L105" s="4" t="s">
        <v>279</v>
      </c>
      <c r="M105" s="1" t="str">
        <f>IFERROR(INDEX(__key!$D:$D,MATCH(O105&amp;"|"&amp;SUBSTITUTE(H105,",",";"), __key!$E:$E, 0)), "")</f>
        <v/>
      </c>
      <c r="N105" s="1" t="str">
        <f>IFERROR(INDEX(__key!$D:$D,MATCH(O105&amp;"|"&amp;SUBSTITUTE(J105,",",";"), __key!$E:$E, 0)), "")</f>
        <v/>
      </c>
      <c r="O105" s="1" t="s">
        <v>40</v>
      </c>
      <c r="P105" s="1"/>
      <c r="Q105" s="1" t="s">
        <v>280</v>
      </c>
      <c r="R105" s="1">
        <v>1918</v>
      </c>
      <c r="S105" s="1">
        <f t="shared" si="61"/>
        <v>0</v>
      </c>
      <c r="T105" s="1">
        <f t="shared" si="62"/>
        <v>0</v>
      </c>
      <c r="U105" s="1">
        <f t="shared" si="63"/>
        <v>10</v>
      </c>
      <c r="V105" s="1">
        <f t="shared" si="64"/>
        <v>150</v>
      </c>
      <c r="W105" s="1">
        <f t="shared" si="65"/>
        <v>6.6666666666666666E-2</v>
      </c>
      <c r="X105" s="1" t="str">
        <f t="shared" si="66"/>
        <v/>
      </c>
      <c r="Y105" s="1" t="b">
        <f t="shared" si="67"/>
        <v>0</v>
      </c>
      <c r="Z105" s="1" t="str">
        <f>IF(Y105, COUNTIF($Y$2:Y105, TRUE), "")</f>
        <v/>
      </c>
      <c r="AA105" s="1">
        <f t="shared" si="68"/>
        <v>10</v>
      </c>
      <c r="AB105" s="1">
        <f t="shared" si="69"/>
        <v>150</v>
      </c>
      <c r="AC105" s="1">
        <f t="shared" si="70"/>
        <v>6.6666666666666666E-2</v>
      </c>
      <c r="AD105" s="1" t="str">
        <f t="shared" si="71"/>
        <v/>
      </c>
      <c r="AE105" s="1" t="b">
        <f t="shared" si="72"/>
        <v>0</v>
      </c>
      <c r="AF105" s="1" t="b">
        <f t="shared" si="73"/>
        <v>0</v>
      </c>
      <c r="AG105" s="1" t="str">
        <f>IF(AF105, COUNTIF($AF$2:AF105, TRUE), "")</f>
        <v/>
      </c>
    </row>
    <row r="106" spans="1:33" ht="28.8" hidden="1" outlineLevel="1" x14ac:dyDescent="0.3">
      <c r="A106" s="1" t="s">
        <v>274</v>
      </c>
      <c r="B106" s="1" t="s">
        <v>34</v>
      </c>
      <c r="C106" s="1" t="s">
        <v>275</v>
      </c>
      <c r="D106" s="1" t="s">
        <v>276</v>
      </c>
      <c r="E106" s="1" t="s">
        <v>295</v>
      </c>
      <c r="F106" s="4" t="s">
        <v>296</v>
      </c>
      <c r="G106" s="5">
        <v>10</v>
      </c>
      <c r="H106" s="6"/>
      <c r="I106" s="3"/>
      <c r="J106" s="6" t="str">
        <f t="shared" si="60"/>
        <v/>
      </c>
      <c r="K106" s="7"/>
      <c r="L106" s="4" t="s">
        <v>279</v>
      </c>
      <c r="M106" s="1" t="str">
        <f>IFERROR(INDEX(__key!$D:$D,MATCH(O106&amp;"|"&amp;SUBSTITUTE(H106,",",";"), __key!$E:$E, 0)), "")</f>
        <v/>
      </c>
      <c r="N106" s="1" t="str">
        <f>IFERROR(INDEX(__key!$D:$D,MATCH(O106&amp;"|"&amp;SUBSTITUTE(J106,",",";"), __key!$E:$E, 0)), "")</f>
        <v/>
      </c>
      <c r="O106" s="1" t="s">
        <v>40</v>
      </c>
      <c r="P106" s="1"/>
      <c r="Q106" s="1" t="s">
        <v>280</v>
      </c>
      <c r="R106" s="1">
        <v>1919</v>
      </c>
      <c r="S106" s="1">
        <f t="shared" si="61"/>
        <v>0</v>
      </c>
      <c r="T106" s="1">
        <f t="shared" si="62"/>
        <v>0</v>
      </c>
      <c r="U106" s="1">
        <f t="shared" si="63"/>
        <v>10</v>
      </c>
      <c r="V106" s="1">
        <f t="shared" si="64"/>
        <v>150</v>
      </c>
      <c r="W106" s="1">
        <f t="shared" si="65"/>
        <v>6.6666666666666666E-2</v>
      </c>
      <c r="X106" s="1" t="str">
        <f t="shared" si="66"/>
        <v/>
      </c>
      <c r="Y106" s="1" t="b">
        <f t="shared" si="67"/>
        <v>0</v>
      </c>
      <c r="Z106" s="1" t="str">
        <f>IF(Y106, COUNTIF($Y$2:Y106, TRUE), "")</f>
        <v/>
      </c>
      <c r="AA106" s="1">
        <f t="shared" si="68"/>
        <v>10</v>
      </c>
      <c r="AB106" s="1">
        <f t="shared" si="69"/>
        <v>150</v>
      </c>
      <c r="AC106" s="1">
        <f t="shared" si="70"/>
        <v>6.6666666666666666E-2</v>
      </c>
      <c r="AD106" s="1" t="str">
        <f t="shared" si="71"/>
        <v/>
      </c>
      <c r="AE106" s="1" t="b">
        <f t="shared" si="72"/>
        <v>0</v>
      </c>
      <c r="AF106" s="1" t="b">
        <f t="shared" si="73"/>
        <v>0</v>
      </c>
      <c r="AG106" s="1" t="str">
        <f>IF(AF106, COUNTIF($AF$2:AF106, TRUE), "")</f>
        <v/>
      </c>
    </row>
    <row r="107" spans="1:33" ht="43.2" hidden="1" outlineLevel="1" x14ac:dyDescent="0.3">
      <c r="A107" s="1" t="s">
        <v>274</v>
      </c>
      <c r="B107" s="1" t="s">
        <v>34</v>
      </c>
      <c r="C107" s="1" t="s">
        <v>275</v>
      </c>
      <c r="D107" s="1" t="s">
        <v>276</v>
      </c>
      <c r="E107" s="1" t="s">
        <v>297</v>
      </c>
      <c r="F107" s="4" t="s">
        <v>298</v>
      </c>
      <c r="G107" s="5">
        <v>10</v>
      </c>
      <c r="H107" s="6"/>
      <c r="I107" s="3"/>
      <c r="J107" s="6" t="str">
        <f t="shared" si="60"/>
        <v/>
      </c>
      <c r="K107" s="7"/>
      <c r="L107" s="4" t="s">
        <v>279</v>
      </c>
      <c r="M107" s="1" t="str">
        <f>IFERROR(INDEX(__key!$D:$D,MATCH(O107&amp;"|"&amp;SUBSTITUTE(H107,",",";"), __key!$E:$E, 0)), "")</f>
        <v/>
      </c>
      <c r="N107" s="1" t="str">
        <f>IFERROR(INDEX(__key!$D:$D,MATCH(O107&amp;"|"&amp;SUBSTITUTE(J107,",",";"), __key!$E:$E, 0)), "")</f>
        <v/>
      </c>
      <c r="O107" s="1" t="s">
        <v>40</v>
      </c>
      <c r="P107" s="1"/>
      <c r="Q107" s="1" t="s">
        <v>280</v>
      </c>
      <c r="R107" s="1">
        <v>19110</v>
      </c>
      <c r="S107" s="1">
        <f t="shared" si="61"/>
        <v>0</v>
      </c>
      <c r="T107" s="1">
        <f t="shared" si="62"/>
        <v>0</v>
      </c>
      <c r="U107" s="1">
        <f t="shared" si="63"/>
        <v>10</v>
      </c>
      <c r="V107" s="1">
        <f t="shared" si="64"/>
        <v>150</v>
      </c>
      <c r="W107" s="1">
        <f t="shared" si="65"/>
        <v>6.6666666666666666E-2</v>
      </c>
      <c r="X107" s="1" t="str">
        <f t="shared" si="66"/>
        <v/>
      </c>
      <c r="Y107" s="1" t="b">
        <f t="shared" si="67"/>
        <v>0</v>
      </c>
      <c r="Z107" s="1" t="str">
        <f>IF(Y107, COUNTIF($Y$2:Y107, TRUE), "")</f>
        <v/>
      </c>
      <c r="AA107" s="1">
        <f t="shared" si="68"/>
        <v>10</v>
      </c>
      <c r="AB107" s="1">
        <f t="shared" si="69"/>
        <v>150</v>
      </c>
      <c r="AC107" s="1">
        <f t="shared" si="70"/>
        <v>6.6666666666666666E-2</v>
      </c>
      <c r="AD107" s="1" t="str">
        <f t="shared" si="71"/>
        <v/>
      </c>
      <c r="AE107" s="1" t="b">
        <f t="shared" si="72"/>
        <v>0</v>
      </c>
      <c r="AF107" s="1" t="b">
        <f t="shared" si="73"/>
        <v>0</v>
      </c>
      <c r="AG107" s="1" t="str">
        <f>IF(AF107, COUNTIF($AF$2:AF107, TRUE), "")</f>
        <v/>
      </c>
    </row>
    <row r="108" spans="1:33" ht="43.2" hidden="1" outlineLevel="1" x14ac:dyDescent="0.3">
      <c r="A108" s="1" t="s">
        <v>274</v>
      </c>
      <c r="B108" s="1" t="s">
        <v>34</v>
      </c>
      <c r="C108" s="1" t="s">
        <v>275</v>
      </c>
      <c r="D108" s="1" t="s">
        <v>276</v>
      </c>
      <c r="E108" s="1" t="s">
        <v>299</v>
      </c>
      <c r="F108" s="4" t="s">
        <v>300</v>
      </c>
      <c r="G108" s="5">
        <v>10</v>
      </c>
      <c r="H108" s="6"/>
      <c r="I108" s="3"/>
      <c r="J108" s="6" t="str">
        <f t="shared" si="60"/>
        <v/>
      </c>
      <c r="K108" s="7"/>
      <c r="L108" s="4" t="s">
        <v>279</v>
      </c>
      <c r="M108" s="1" t="str">
        <f>IFERROR(INDEX(__key!$D:$D,MATCH(O108&amp;"|"&amp;SUBSTITUTE(H108,",",";"), __key!$E:$E, 0)), "")</f>
        <v/>
      </c>
      <c r="N108" s="1" t="str">
        <f>IFERROR(INDEX(__key!$D:$D,MATCH(O108&amp;"|"&amp;SUBSTITUTE(J108,",",";"), __key!$E:$E, 0)), "")</f>
        <v/>
      </c>
      <c r="O108" s="1" t="s">
        <v>40</v>
      </c>
      <c r="P108" s="1"/>
      <c r="Q108" s="1" t="s">
        <v>280</v>
      </c>
      <c r="R108" s="1">
        <v>19111</v>
      </c>
      <c r="S108" s="1">
        <f t="shared" si="61"/>
        <v>0</v>
      </c>
      <c r="T108" s="1">
        <f t="shared" si="62"/>
        <v>0</v>
      </c>
      <c r="U108" s="1">
        <f t="shared" si="63"/>
        <v>10</v>
      </c>
      <c r="V108" s="1">
        <f t="shared" si="64"/>
        <v>150</v>
      </c>
      <c r="W108" s="1">
        <f t="shared" si="65"/>
        <v>6.6666666666666666E-2</v>
      </c>
      <c r="X108" s="1" t="str">
        <f t="shared" si="66"/>
        <v/>
      </c>
      <c r="Y108" s="1" t="b">
        <f t="shared" si="67"/>
        <v>0</v>
      </c>
      <c r="Z108" s="1" t="str">
        <f>IF(Y108, COUNTIF($Y$2:Y108, TRUE), "")</f>
        <v/>
      </c>
      <c r="AA108" s="1">
        <f t="shared" si="68"/>
        <v>10</v>
      </c>
      <c r="AB108" s="1">
        <f t="shared" si="69"/>
        <v>150</v>
      </c>
      <c r="AC108" s="1">
        <f t="shared" si="70"/>
        <v>6.6666666666666666E-2</v>
      </c>
      <c r="AD108" s="1" t="str">
        <f t="shared" si="71"/>
        <v/>
      </c>
      <c r="AE108" s="1" t="b">
        <f t="shared" si="72"/>
        <v>0</v>
      </c>
      <c r="AF108" s="1" t="b">
        <f t="shared" si="73"/>
        <v>0</v>
      </c>
      <c r="AG108" s="1" t="str">
        <f>IF(AF108, COUNTIF($AF$2:AF108, TRUE), "")</f>
        <v/>
      </c>
    </row>
    <row r="109" spans="1:33" ht="28.8" hidden="1" outlineLevel="1" x14ac:dyDescent="0.3">
      <c r="A109" s="1" t="s">
        <v>274</v>
      </c>
      <c r="B109" s="1" t="s">
        <v>34</v>
      </c>
      <c r="C109" s="1" t="s">
        <v>275</v>
      </c>
      <c r="D109" s="1" t="s">
        <v>276</v>
      </c>
      <c r="E109" s="1" t="s">
        <v>301</v>
      </c>
      <c r="F109" s="4" t="s">
        <v>302</v>
      </c>
      <c r="G109" s="5">
        <v>10</v>
      </c>
      <c r="H109" s="6"/>
      <c r="I109" s="3"/>
      <c r="J109" s="6" t="str">
        <f t="shared" si="60"/>
        <v/>
      </c>
      <c r="K109" s="7"/>
      <c r="L109" s="4" t="s">
        <v>279</v>
      </c>
      <c r="M109" s="1" t="str">
        <f>IFERROR(INDEX(__key!$D:$D,MATCH(O109&amp;"|"&amp;SUBSTITUTE(H109,",",";"), __key!$E:$E, 0)), "")</f>
        <v/>
      </c>
      <c r="N109" s="1" t="str">
        <f>IFERROR(INDEX(__key!$D:$D,MATCH(O109&amp;"|"&amp;SUBSTITUTE(J109,",",";"), __key!$E:$E, 0)), "")</f>
        <v/>
      </c>
      <c r="O109" s="1" t="s">
        <v>40</v>
      </c>
      <c r="P109" s="1"/>
      <c r="Q109" s="1" t="s">
        <v>280</v>
      </c>
      <c r="R109" s="1">
        <v>19112</v>
      </c>
      <c r="S109" s="1">
        <f t="shared" si="61"/>
        <v>0</v>
      </c>
      <c r="T109" s="1">
        <f t="shared" si="62"/>
        <v>0</v>
      </c>
      <c r="U109" s="1">
        <f t="shared" si="63"/>
        <v>10</v>
      </c>
      <c r="V109" s="1">
        <f t="shared" si="64"/>
        <v>150</v>
      </c>
      <c r="W109" s="1">
        <f t="shared" si="65"/>
        <v>6.6666666666666666E-2</v>
      </c>
      <c r="X109" s="1" t="str">
        <f t="shared" si="66"/>
        <v/>
      </c>
      <c r="Y109" s="1" t="b">
        <f t="shared" si="67"/>
        <v>0</v>
      </c>
      <c r="Z109" s="1" t="str">
        <f>IF(Y109, COUNTIF($Y$2:Y109, TRUE), "")</f>
        <v/>
      </c>
      <c r="AA109" s="1">
        <f t="shared" si="68"/>
        <v>10</v>
      </c>
      <c r="AB109" s="1">
        <f t="shared" si="69"/>
        <v>150</v>
      </c>
      <c r="AC109" s="1">
        <f t="shared" si="70"/>
        <v>6.6666666666666666E-2</v>
      </c>
      <c r="AD109" s="1" t="str">
        <f t="shared" si="71"/>
        <v/>
      </c>
      <c r="AE109" s="1" t="b">
        <f t="shared" si="72"/>
        <v>0</v>
      </c>
      <c r="AF109" s="1" t="b">
        <f t="shared" si="73"/>
        <v>0</v>
      </c>
      <c r="AG109" s="1" t="str">
        <f>IF(AF109, COUNTIF($AF$2:AF109, TRUE), "")</f>
        <v/>
      </c>
    </row>
    <row r="110" spans="1:33" ht="43.2" hidden="1" outlineLevel="1" x14ac:dyDescent="0.3">
      <c r="A110" s="1" t="s">
        <v>274</v>
      </c>
      <c r="B110" s="1" t="s">
        <v>34</v>
      </c>
      <c r="C110" s="1" t="s">
        <v>275</v>
      </c>
      <c r="D110" s="1" t="s">
        <v>276</v>
      </c>
      <c r="E110" s="1" t="s">
        <v>303</v>
      </c>
      <c r="F110" s="4" t="s">
        <v>304</v>
      </c>
      <c r="G110" s="5">
        <v>10</v>
      </c>
      <c r="H110" s="6"/>
      <c r="I110" s="3"/>
      <c r="J110" s="6" t="str">
        <f t="shared" si="60"/>
        <v/>
      </c>
      <c r="K110" s="7"/>
      <c r="L110" s="4" t="s">
        <v>279</v>
      </c>
      <c r="M110" s="1" t="str">
        <f>IFERROR(INDEX(__key!$D:$D,MATCH(O110&amp;"|"&amp;SUBSTITUTE(H110,",",";"), __key!$E:$E, 0)), "")</f>
        <v/>
      </c>
      <c r="N110" s="1" t="str">
        <f>IFERROR(INDEX(__key!$D:$D,MATCH(O110&amp;"|"&amp;SUBSTITUTE(J110,",",";"), __key!$E:$E, 0)), "")</f>
        <v/>
      </c>
      <c r="O110" s="1" t="s">
        <v>40</v>
      </c>
      <c r="P110" s="1"/>
      <c r="Q110" s="1" t="s">
        <v>280</v>
      </c>
      <c r="R110" s="1">
        <v>19113</v>
      </c>
      <c r="S110" s="1">
        <f t="shared" si="61"/>
        <v>0</v>
      </c>
      <c r="T110" s="1">
        <f t="shared" si="62"/>
        <v>0</v>
      </c>
      <c r="U110" s="1">
        <f t="shared" si="63"/>
        <v>10</v>
      </c>
      <c r="V110" s="1">
        <f t="shared" si="64"/>
        <v>150</v>
      </c>
      <c r="W110" s="1">
        <f t="shared" si="65"/>
        <v>6.6666666666666666E-2</v>
      </c>
      <c r="X110" s="1" t="str">
        <f t="shared" si="66"/>
        <v/>
      </c>
      <c r="Y110" s="1" t="b">
        <f t="shared" si="67"/>
        <v>0</v>
      </c>
      <c r="Z110" s="1" t="str">
        <f>IF(Y110, COUNTIF($Y$2:Y110, TRUE), "")</f>
        <v/>
      </c>
      <c r="AA110" s="1">
        <f t="shared" si="68"/>
        <v>10</v>
      </c>
      <c r="AB110" s="1">
        <f t="shared" si="69"/>
        <v>150</v>
      </c>
      <c r="AC110" s="1">
        <f t="shared" si="70"/>
        <v>6.6666666666666666E-2</v>
      </c>
      <c r="AD110" s="1" t="str">
        <f t="shared" si="71"/>
        <v/>
      </c>
      <c r="AE110" s="1" t="b">
        <f t="shared" si="72"/>
        <v>0</v>
      </c>
      <c r="AF110" s="1" t="b">
        <f t="shared" si="73"/>
        <v>0</v>
      </c>
      <c r="AG110" s="1" t="str">
        <f>IF(AF110, COUNTIF($AF$2:AF110, TRUE), "")</f>
        <v/>
      </c>
    </row>
    <row r="111" spans="1:33" ht="28.8" hidden="1" outlineLevel="1" x14ac:dyDescent="0.3">
      <c r="A111" s="1" t="s">
        <v>274</v>
      </c>
      <c r="B111" s="1" t="s">
        <v>34</v>
      </c>
      <c r="C111" s="1" t="s">
        <v>275</v>
      </c>
      <c r="D111" s="1" t="s">
        <v>276</v>
      </c>
      <c r="E111" s="1" t="s">
        <v>305</v>
      </c>
      <c r="F111" s="4" t="s">
        <v>306</v>
      </c>
      <c r="G111" s="5">
        <v>10</v>
      </c>
      <c r="H111" s="6"/>
      <c r="I111" s="3"/>
      <c r="J111" s="6" t="str">
        <f t="shared" si="60"/>
        <v/>
      </c>
      <c r="K111" s="7"/>
      <c r="L111" s="4" t="s">
        <v>279</v>
      </c>
      <c r="M111" s="1" t="str">
        <f>IFERROR(INDEX(__key!$D:$D,MATCH(O111&amp;"|"&amp;SUBSTITUTE(H111,",",";"), __key!$E:$E, 0)), "")</f>
        <v/>
      </c>
      <c r="N111" s="1" t="str">
        <f>IFERROR(INDEX(__key!$D:$D,MATCH(O111&amp;"|"&amp;SUBSTITUTE(J111,",",";"), __key!$E:$E, 0)), "")</f>
        <v/>
      </c>
      <c r="O111" s="1" t="s">
        <v>40</v>
      </c>
      <c r="P111" s="1"/>
      <c r="Q111" s="1" t="s">
        <v>280</v>
      </c>
      <c r="R111" s="1">
        <v>19114</v>
      </c>
      <c r="S111" s="1">
        <f t="shared" si="61"/>
        <v>0</v>
      </c>
      <c r="T111" s="1">
        <f t="shared" si="62"/>
        <v>0</v>
      </c>
      <c r="U111" s="1">
        <f t="shared" si="63"/>
        <v>10</v>
      </c>
      <c r="V111" s="1">
        <f t="shared" si="64"/>
        <v>150</v>
      </c>
      <c r="W111" s="1">
        <f t="shared" si="65"/>
        <v>6.6666666666666666E-2</v>
      </c>
      <c r="X111" s="1" t="str">
        <f t="shared" si="66"/>
        <v/>
      </c>
      <c r="Y111" s="1" t="b">
        <f t="shared" si="67"/>
        <v>0</v>
      </c>
      <c r="Z111" s="1" t="str">
        <f>IF(Y111, COUNTIF($Y$2:Y111, TRUE), "")</f>
        <v/>
      </c>
      <c r="AA111" s="1">
        <f t="shared" si="68"/>
        <v>10</v>
      </c>
      <c r="AB111" s="1">
        <f t="shared" si="69"/>
        <v>150</v>
      </c>
      <c r="AC111" s="1">
        <f t="shared" si="70"/>
        <v>6.6666666666666666E-2</v>
      </c>
      <c r="AD111" s="1" t="str">
        <f t="shared" si="71"/>
        <v/>
      </c>
      <c r="AE111" s="1" t="b">
        <f t="shared" si="72"/>
        <v>0</v>
      </c>
      <c r="AF111" s="1" t="b">
        <f t="shared" si="73"/>
        <v>0</v>
      </c>
      <c r="AG111" s="1" t="str">
        <f>IF(AF111, COUNTIF($AF$2:AF111, TRUE), "")</f>
        <v/>
      </c>
    </row>
    <row r="112" spans="1:33" ht="28.8" hidden="1" outlineLevel="1" x14ac:dyDescent="0.3">
      <c r="A112" s="1" t="s">
        <v>274</v>
      </c>
      <c r="B112" s="1" t="s">
        <v>34</v>
      </c>
      <c r="C112" s="1" t="s">
        <v>275</v>
      </c>
      <c r="D112" s="1" t="s">
        <v>276</v>
      </c>
      <c r="E112" s="1" t="s">
        <v>307</v>
      </c>
      <c r="F112" s="4" t="s">
        <v>308</v>
      </c>
      <c r="G112" s="5">
        <v>10</v>
      </c>
      <c r="H112" s="6"/>
      <c r="I112" s="3"/>
      <c r="J112" s="6" t="str">
        <f t="shared" si="60"/>
        <v/>
      </c>
      <c r="K112" s="7"/>
      <c r="L112" s="4" t="s">
        <v>279</v>
      </c>
      <c r="M112" s="1" t="str">
        <f>IFERROR(INDEX(__key!$D:$D,MATCH(O112&amp;"|"&amp;SUBSTITUTE(H112,",",";"), __key!$E:$E, 0)), "")</f>
        <v/>
      </c>
      <c r="N112" s="1" t="str">
        <f>IFERROR(INDEX(__key!$D:$D,MATCH(O112&amp;"|"&amp;SUBSTITUTE(J112,",",";"), __key!$E:$E, 0)), "")</f>
        <v/>
      </c>
      <c r="O112" s="1" t="s">
        <v>40</v>
      </c>
      <c r="P112" s="1"/>
      <c r="Q112" s="1" t="s">
        <v>280</v>
      </c>
      <c r="R112" s="1">
        <v>19115</v>
      </c>
      <c r="S112" s="1">
        <f t="shared" si="61"/>
        <v>0</v>
      </c>
      <c r="T112" s="1">
        <f t="shared" si="62"/>
        <v>0</v>
      </c>
      <c r="U112" s="1">
        <f t="shared" si="63"/>
        <v>10</v>
      </c>
      <c r="V112" s="1">
        <f t="shared" si="64"/>
        <v>150</v>
      </c>
      <c r="W112" s="1">
        <f t="shared" si="65"/>
        <v>6.6666666666666666E-2</v>
      </c>
      <c r="X112" s="1" t="str">
        <f t="shared" si="66"/>
        <v/>
      </c>
      <c r="Y112" s="1" t="b">
        <f t="shared" si="67"/>
        <v>0</v>
      </c>
      <c r="Z112" s="1" t="str">
        <f>IF(Y112, COUNTIF($Y$2:Y112, TRUE), "")</f>
        <v/>
      </c>
      <c r="AA112" s="1">
        <f t="shared" si="68"/>
        <v>10</v>
      </c>
      <c r="AB112" s="1">
        <f t="shared" si="69"/>
        <v>150</v>
      </c>
      <c r="AC112" s="1">
        <f t="shared" si="70"/>
        <v>6.6666666666666666E-2</v>
      </c>
      <c r="AD112" s="1" t="str">
        <f t="shared" si="71"/>
        <v/>
      </c>
      <c r="AE112" s="1" t="b">
        <f t="shared" si="72"/>
        <v>0</v>
      </c>
      <c r="AF112" s="1" t="b">
        <f t="shared" si="73"/>
        <v>0</v>
      </c>
      <c r="AG112" s="1" t="str">
        <f>IF(AF112, COUNTIF($AF$2:AF112, TRUE), "")</f>
        <v/>
      </c>
    </row>
    <row r="113" spans="1:33" ht="30" customHeight="1" collapsed="1" x14ac:dyDescent="0.3">
      <c r="A113" s="1"/>
      <c r="B113" s="1"/>
      <c r="C113" s="1"/>
      <c r="D113" s="1"/>
      <c r="E113" s="1"/>
      <c r="F113" s="14" t="s">
        <v>309</v>
      </c>
      <c r="G113" s="15"/>
      <c r="H113" s="14"/>
      <c r="I113" s="14"/>
      <c r="J113" s="14"/>
      <c r="K113" s="14"/>
      <c r="L113" s="14"/>
      <c r="M113" s="1"/>
      <c r="N113" s="1"/>
      <c r="O113" s="1"/>
      <c r="P113" s="1"/>
      <c r="Q113" s="1"/>
      <c r="R113" s="1"/>
      <c r="S113" s="1"/>
      <c r="T113" s="1"/>
      <c r="U113" s="1"/>
      <c r="V113" s="1"/>
      <c r="W113" s="1"/>
      <c r="X113" s="1"/>
      <c r="Y113" s="1"/>
      <c r="Z113" s="1"/>
      <c r="AA113" s="1"/>
      <c r="AB113" s="1"/>
      <c r="AC113" s="1"/>
      <c r="AD113" s="1"/>
      <c r="AE113" s="1"/>
      <c r="AF113" s="1"/>
      <c r="AG113" s="1"/>
    </row>
    <row r="114" spans="1:33" ht="43.2" hidden="1" outlineLevel="1" x14ac:dyDescent="0.3">
      <c r="A114" s="1" t="s">
        <v>309</v>
      </c>
      <c r="B114" s="1" t="s">
        <v>34</v>
      </c>
      <c r="C114" s="1" t="s">
        <v>310</v>
      </c>
      <c r="D114" s="1" t="s">
        <v>311</v>
      </c>
      <c r="E114" s="1" t="s">
        <v>312</v>
      </c>
      <c r="F114" s="4" t="s">
        <v>313</v>
      </c>
      <c r="G114" s="5">
        <v>10</v>
      </c>
      <c r="H114" s="6"/>
      <c r="I114" s="3"/>
      <c r="J114" s="6" t="str">
        <f t="shared" ref="J114:J120" si="74">IF(H114="","",H114)</f>
        <v/>
      </c>
      <c r="K114" s="7"/>
      <c r="L114" s="4" t="s">
        <v>314</v>
      </c>
      <c r="M114" s="1" t="str">
        <f>IFERROR(INDEX(__key!$D:$D,MATCH(O114&amp;"|"&amp;SUBSTITUTE(H114,",",";"), __key!$E:$E, 0)), "")</f>
        <v/>
      </c>
      <c r="N114" s="1" t="str">
        <f>IFERROR(INDEX(__key!$D:$D,MATCH(O114&amp;"|"&amp;SUBSTITUTE(J114,",",";"), __key!$E:$E, 0)), "")</f>
        <v/>
      </c>
      <c r="O114" s="1" t="s">
        <v>40</v>
      </c>
      <c r="P114" s="1"/>
      <c r="Q114" s="1" t="s">
        <v>315</v>
      </c>
      <c r="R114" s="1">
        <v>11011</v>
      </c>
      <c r="S114" s="1">
        <f t="shared" ref="S114:T120" si="75">IFERROR(1*M114,0)</f>
        <v>0</v>
      </c>
      <c r="T114" s="1">
        <f t="shared" si="75"/>
        <v>0</v>
      </c>
      <c r="U114" s="1">
        <f t="shared" ref="U114:U120" si="76">IFERROR(IF(ISNUMBER(SEARCH("Not Relevant",H114)),0,VALUE(G114)),"")</f>
        <v>10</v>
      </c>
      <c r="V114" s="1">
        <f t="shared" ref="V114:V120" si="77">IFERROR(SUMIF($D:$D,D114,$U:$U),"")</f>
        <v>80</v>
      </c>
      <c r="W114" s="1">
        <f t="shared" ref="W114:W120" si="78">IF(OR(V114=0,V114=""),"",U114/V114)</f>
        <v>0.125</v>
      </c>
      <c r="X114" s="1" t="str">
        <f t="shared" ref="X114:X120" si="79">IF(OR(M114="",W114=""),"",VALUE(M114)*W114)</f>
        <v/>
      </c>
      <c r="Y114" s="1" t="b">
        <f t="shared" ref="Y114:Y120" si="80">IFERROR(ISNUMBER(SEARCH("Not Relevant",H114)),FALSE)</f>
        <v>0</v>
      </c>
      <c r="Z114" s="1" t="str">
        <f>IF(Y114, COUNTIF($Y$2:Y114, TRUE), "")</f>
        <v/>
      </c>
      <c r="AA114" s="1">
        <f t="shared" ref="AA114:AA120" si="81">IFERROR(IF(ISNUMBER(SEARCH("Not Relevant",J114)),0,VALUE(G114)),"")</f>
        <v>10</v>
      </c>
      <c r="AB114" s="1">
        <f t="shared" ref="AB114:AB120" si="82">IFERROR(SUMIF($D:$D,D114,$AA:$AA),"")</f>
        <v>80</v>
      </c>
      <c r="AC114" s="1">
        <f t="shared" ref="AC114:AC120" si="83">IF(OR(AB114=0,AB114=""),"",AA114/AB114)</f>
        <v>0.125</v>
      </c>
      <c r="AD114" s="1" t="str">
        <f t="shared" ref="AD114:AD120" si="84">IF(OR(N114="",AC114=""),"",VALUE(N114)*AC114)</f>
        <v/>
      </c>
      <c r="AE114" s="1" t="b">
        <f t="shared" ref="AE114:AE120" si="85">IFERROR(ISNUMBER(SEARCH("Not Relevant",J114)),FALSE)</f>
        <v>0</v>
      </c>
      <c r="AF114" s="1" t="b">
        <f t="shared" ref="AF114:AF120" si="86">IF(OR(H114="",J114=""),FALSE,IF(H114&lt;&gt;J114,TRUE,FALSE))</f>
        <v>0</v>
      </c>
      <c r="AG114" s="1" t="str">
        <f>IF(AF114, COUNTIF($AF$2:AF114, TRUE), "")</f>
        <v/>
      </c>
    </row>
    <row r="115" spans="1:33" ht="43.2" hidden="1" outlineLevel="1" x14ac:dyDescent="0.3">
      <c r="A115" s="1" t="s">
        <v>309</v>
      </c>
      <c r="B115" s="1" t="s">
        <v>34</v>
      </c>
      <c r="C115" s="1" t="s">
        <v>310</v>
      </c>
      <c r="D115" s="1" t="s">
        <v>311</v>
      </c>
      <c r="E115" s="1" t="s">
        <v>316</v>
      </c>
      <c r="F115" s="4" t="s">
        <v>317</v>
      </c>
      <c r="G115" s="5">
        <v>10</v>
      </c>
      <c r="H115" s="6"/>
      <c r="I115" s="3"/>
      <c r="J115" s="6" t="str">
        <f t="shared" si="74"/>
        <v/>
      </c>
      <c r="K115" s="7"/>
      <c r="L115" s="4" t="s">
        <v>318</v>
      </c>
      <c r="M115" s="1" t="str">
        <f>IFERROR(INDEX(__key!$D:$D,MATCH(O115&amp;"|"&amp;SUBSTITUTE(H115,",",";"), __key!$E:$E, 0)), "")</f>
        <v/>
      </c>
      <c r="N115" s="1" t="str">
        <f>IFERROR(INDEX(__key!$D:$D,MATCH(O115&amp;"|"&amp;SUBSTITUTE(J115,",",";"), __key!$E:$E, 0)), "")</f>
        <v/>
      </c>
      <c r="O115" s="1" t="s">
        <v>40</v>
      </c>
      <c r="P115" s="1"/>
      <c r="Q115" s="1" t="s">
        <v>315</v>
      </c>
      <c r="R115" s="1">
        <v>11012</v>
      </c>
      <c r="S115" s="1">
        <f t="shared" si="75"/>
        <v>0</v>
      </c>
      <c r="T115" s="1">
        <f t="shared" si="75"/>
        <v>0</v>
      </c>
      <c r="U115" s="1">
        <f t="shared" si="76"/>
        <v>10</v>
      </c>
      <c r="V115" s="1">
        <f t="shared" si="77"/>
        <v>80</v>
      </c>
      <c r="W115" s="1">
        <f t="shared" si="78"/>
        <v>0.125</v>
      </c>
      <c r="X115" s="1" t="str">
        <f t="shared" si="79"/>
        <v/>
      </c>
      <c r="Y115" s="1" t="b">
        <f t="shared" si="80"/>
        <v>0</v>
      </c>
      <c r="Z115" s="1" t="str">
        <f>IF(Y115, COUNTIF($Y$2:Y115, TRUE), "")</f>
        <v/>
      </c>
      <c r="AA115" s="1">
        <f t="shared" si="81"/>
        <v>10</v>
      </c>
      <c r="AB115" s="1">
        <f t="shared" si="82"/>
        <v>80</v>
      </c>
      <c r="AC115" s="1">
        <f t="shared" si="83"/>
        <v>0.125</v>
      </c>
      <c r="AD115" s="1" t="str">
        <f t="shared" si="84"/>
        <v/>
      </c>
      <c r="AE115" s="1" t="b">
        <f t="shared" si="85"/>
        <v>0</v>
      </c>
      <c r="AF115" s="1" t="b">
        <f t="shared" si="86"/>
        <v>0</v>
      </c>
      <c r="AG115" s="1" t="str">
        <f>IF(AF115, COUNTIF($AF$2:AF115, TRUE), "")</f>
        <v/>
      </c>
    </row>
    <row r="116" spans="1:33" ht="43.2" hidden="1" outlineLevel="1" x14ac:dyDescent="0.3">
      <c r="A116" s="1" t="s">
        <v>309</v>
      </c>
      <c r="B116" s="1" t="s">
        <v>34</v>
      </c>
      <c r="C116" s="1" t="s">
        <v>310</v>
      </c>
      <c r="D116" s="1" t="s">
        <v>311</v>
      </c>
      <c r="E116" s="1" t="s">
        <v>319</v>
      </c>
      <c r="F116" s="4" t="s">
        <v>320</v>
      </c>
      <c r="G116" s="5">
        <v>30</v>
      </c>
      <c r="H116" s="6"/>
      <c r="I116" s="3"/>
      <c r="J116" s="6" t="str">
        <f t="shared" si="74"/>
        <v/>
      </c>
      <c r="K116" s="7"/>
      <c r="L116" s="4"/>
      <c r="M116" s="1" t="str">
        <f>IFERROR(INDEX(__key!$D:$D,MATCH(O116&amp;"|"&amp;SUBSTITUTE(H116,",",";"), __key!$E:$E, 0)), "")</f>
        <v/>
      </c>
      <c r="N116" s="1" t="str">
        <f>IFERROR(INDEX(__key!$D:$D,MATCH(O116&amp;"|"&amp;SUBSTITUTE(J116,",",";"), __key!$E:$E, 0)), "")</f>
        <v/>
      </c>
      <c r="O116" s="1" t="s">
        <v>40</v>
      </c>
      <c r="P116" s="1"/>
      <c r="Q116" s="1" t="s">
        <v>315</v>
      </c>
      <c r="R116" s="1">
        <v>11013</v>
      </c>
      <c r="S116" s="1">
        <f t="shared" si="75"/>
        <v>0</v>
      </c>
      <c r="T116" s="1">
        <f t="shared" si="75"/>
        <v>0</v>
      </c>
      <c r="U116" s="1">
        <f t="shared" si="76"/>
        <v>30</v>
      </c>
      <c r="V116" s="1">
        <f t="shared" si="77"/>
        <v>80</v>
      </c>
      <c r="W116" s="1">
        <f t="shared" si="78"/>
        <v>0.375</v>
      </c>
      <c r="X116" s="1" t="str">
        <f t="shared" si="79"/>
        <v/>
      </c>
      <c r="Y116" s="1" t="b">
        <f t="shared" si="80"/>
        <v>0</v>
      </c>
      <c r="Z116" s="1" t="str">
        <f>IF(Y116, COUNTIF($Y$2:Y116, TRUE), "")</f>
        <v/>
      </c>
      <c r="AA116" s="1">
        <f t="shared" si="81"/>
        <v>30</v>
      </c>
      <c r="AB116" s="1">
        <f t="shared" si="82"/>
        <v>80</v>
      </c>
      <c r="AC116" s="1">
        <f t="shared" si="83"/>
        <v>0.375</v>
      </c>
      <c r="AD116" s="1" t="str">
        <f t="shared" si="84"/>
        <v/>
      </c>
      <c r="AE116" s="1" t="b">
        <f t="shared" si="85"/>
        <v>0</v>
      </c>
      <c r="AF116" s="1" t="b">
        <f t="shared" si="86"/>
        <v>0</v>
      </c>
      <c r="AG116" s="1" t="str">
        <f>IF(AF116, COUNTIF($AF$2:AF116, TRUE), "")</f>
        <v/>
      </c>
    </row>
    <row r="117" spans="1:33" ht="144" hidden="1" outlineLevel="1" x14ac:dyDescent="0.3">
      <c r="A117" s="1" t="s">
        <v>309</v>
      </c>
      <c r="B117" s="1" t="s">
        <v>34</v>
      </c>
      <c r="C117" s="1" t="s">
        <v>310</v>
      </c>
      <c r="D117" s="1" t="s">
        <v>311</v>
      </c>
      <c r="E117" s="1" t="s">
        <v>321</v>
      </c>
      <c r="F117" s="4" t="s">
        <v>322</v>
      </c>
      <c r="G117" s="5">
        <v>10</v>
      </c>
      <c r="H117" s="6"/>
      <c r="I117" s="3"/>
      <c r="J117" s="6" t="str">
        <f t="shared" si="74"/>
        <v/>
      </c>
      <c r="K117" s="7"/>
      <c r="L117" s="4" t="s">
        <v>323</v>
      </c>
      <c r="M117" s="1" t="str">
        <f>IFERROR(INDEX(__key!$D:$D,MATCH(O117&amp;"|"&amp;SUBSTITUTE(H117,",",";"), __key!$E:$E, 0)), "")</f>
        <v/>
      </c>
      <c r="N117" s="1" t="str">
        <f>IFERROR(INDEX(__key!$D:$D,MATCH(O117&amp;"|"&amp;SUBSTITUTE(J117,",",";"), __key!$E:$E, 0)), "")</f>
        <v/>
      </c>
      <c r="O117" s="1" t="s">
        <v>40</v>
      </c>
      <c r="P117" s="1"/>
      <c r="Q117" s="1" t="s">
        <v>315</v>
      </c>
      <c r="R117" s="1">
        <v>11014</v>
      </c>
      <c r="S117" s="1">
        <f t="shared" si="75"/>
        <v>0</v>
      </c>
      <c r="T117" s="1">
        <f t="shared" si="75"/>
        <v>0</v>
      </c>
      <c r="U117" s="1">
        <f t="shared" si="76"/>
        <v>10</v>
      </c>
      <c r="V117" s="1">
        <f t="shared" si="77"/>
        <v>80</v>
      </c>
      <c r="W117" s="1">
        <f t="shared" si="78"/>
        <v>0.125</v>
      </c>
      <c r="X117" s="1" t="str">
        <f t="shared" si="79"/>
        <v/>
      </c>
      <c r="Y117" s="1" t="b">
        <f t="shared" si="80"/>
        <v>0</v>
      </c>
      <c r="Z117" s="1" t="str">
        <f>IF(Y117, COUNTIF($Y$2:Y117, TRUE), "")</f>
        <v/>
      </c>
      <c r="AA117" s="1">
        <f t="shared" si="81"/>
        <v>10</v>
      </c>
      <c r="AB117" s="1">
        <f t="shared" si="82"/>
        <v>80</v>
      </c>
      <c r="AC117" s="1">
        <f t="shared" si="83"/>
        <v>0.125</v>
      </c>
      <c r="AD117" s="1" t="str">
        <f t="shared" si="84"/>
        <v/>
      </c>
      <c r="AE117" s="1" t="b">
        <f t="shared" si="85"/>
        <v>0</v>
      </c>
      <c r="AF117" s="1" t="b">
        <f t="shared" si="86"/>
        <v>0</v>
      </c>
      <c r="AG117" s="1" t="str">
        <f>IF(AF117, COUNTIF($AF$2:AF117, TRUE), "")</f>
        <v/>
      </c>
    </row>
    <row r="118" spans="1:33" ht="57.6" hidden="1" outlineLevel="1" x14ac:dyDescent="0.3">
      <c r="A118" s="1" t="s">
        <v>309</v>
      </c>
      <c r="B118" s="1" t="s">
        <v>34</v>
      </c>
      <c r="C118" s="1" t="s">
        <v>310</v>
      </c>
      <c r="D118" s="1" t="s">
        <v>311</v>
      </c>
      <c r="E118" s="1" t="s">
        <v>324</v>
      </c>
      <c r="F118" s="4" t="s">
        <v>325</v>
      </c>
      <c r="G118" s="5">
        <v>10</v>
      </c>
      <c r="H118" s="6"/>
      <c r="I118" s="3"/>
      <c r="J118" s="6" t="str">
        <f t="shared" si="74"/>
        <v/>
      </c>
      <c r="K118" s="7"/>
      <c r="L118" s="4" t="s">
        <v>326</v>
      </c>
      <c r="M118" s="1" t="str">
        <f>IFERROR(INDEX(__key!$D:$D,MATCH(O118&amp;"|"&amp;SUBSTITUTE(H118,",",";"), __key!$E:$E, 0)), "")</f>
        <v/>
      </c>
      <c r="N118" s="1" t="str">
        <f>IFERROR(INDEX(__key!$D:$D,MATCH(O118&amp;"|"&amp;SUBSTITUTE(J118,",",";"), __key!$E:$E, 0)), "")</f>
        <v/>
      </c>
      <c r="O118" s="1" t="s">
        <v>40</v>
      </c>
      <c r="P118" s="1"/>
      <c r="Q118" s="1" t="s">
        <v>315</v>
      </c>
      <c r="R118" s="1">
        <v>11015</v>
      </c>
      <c r="S118" s="1">
        <f t="shared" si="75"/>
        <v>0</v>
      </c>
      <c r="T118" s="1">
        <f t="shared" si="75"/>
        <v>0</v>
      </c>
      <c r="U118" s="1">
        <f t="shared" si="76"/>
        <v>10</v>
      </c>
      <c r="V118" s="1">
        <f t="shared" si="77"/>
        <v>80</v>
      </c>
      <c r="W118" s="1">
        <f t="shared" si="78"/>
        <v>0.125</v>
      </c>
      <c r="X118" s="1" t="str">
        <f t="shared" si="79"/>
        <v/>
      </c>
      <c r="Y118" s="1" t="b">
        <f t="shared" si="80"/>
        <v>0</v>
      </c>
      <c r="Z118" s="1" t="str">
        <f>IF(Y118, COUNTIF($Y$2:Y118, TRUE), "")</f>
        <v/>
      </c>
      <c r="AA118" s="1">
        <f t="shared" si="81"/>
        <v>10</v>
      </c>
      <c r="AB118" s="1">
        <f t="shared" si="82"/>
        <v>80</v>
      </c>
      <c r="AC118" s="1">
        <f t="shared" si="83"/>
        <v>0.125</v>
      </c>
      <c r="AD118" s="1" t="str">
        <f t="shared" si="84"/>
        <v/>
      </c>
      <c r="AE118" s="1" t="b">
        <f t="shared" si="85"/>
        <v>0</v>
      </c>
      <c r="AF118" s="1" t="b">
        <f t="shared" si="86"/>
        <v>0</v>
      </c>
      <c r="AG118" s="1" t="str">
        <f>IF(AF118, COUNTIF($AF$2:AF118, TRUE), "")</f>
        <v/>
      </c>
    </row>
    <row r="119" spans="1:33" ht="57.6" hidden="1" outlineLevel="1" x14ac:dyDescent="0.3">
      <c r="A119" s="1" t="s">
        <v>309</v>
      </c>
      <c r="B119" s="1" t="s">
        <v>34</v>
      </c>
      <c r="C119" s="1" t="s">
        <v>310</v>
      </c>
      <c r="D119" s="1" t="s">
        <v>311</v>
      </c>
      <c r="E119" s="1" t="s">
        <v>327</v>
      </c>
      <c r="F119" s="4" t="s">
        <v>328</v>
      </c>
      <c r="G119" s="5">
        <v>5</v>
      </c>
      <c r="H119" s="6"/>
      <c r="I119" s="3"/>
      <c r="J119" s="6" t="str">
        <f t="shared" si="74"/>
        <v/>
      </c>
      <c r="K119" s="7"/>
      <c r="L119" s="4" t="s">
        <v>329</v>
      </c>
      <c r="M119" s="1" t="str">
        <f>IFERROR(INDEX(__key!$D:$D,MATCH(O119&amp;"|"&amp;SUBSTITUTE(H119,",",";"), __key!$E:$E, 0)), "")</f>
        <v/>
      </c>
      <c r="N119" s="1" t="str">
        <f>IFERROR(INDEX(__key!$D:$D,MATCH(O119&amp;"|"&amp;SUBSTITUTE(J119,",",";"), __key!$E:$E, 0)), "")</f>
        <v/>
      </c>
      <c r="O119" s="1" t="s">
        <v>40</v>
      </c>
      <c r="P119" s="1"/>
      <c r="Q119" s="1" t="s">
        <v>315</v>
      </c>
      <c r="R119" s="1">
        <v>11016</v>
      </c>
      <c r="S119" s="1">
        <f t="shared" si="75"/>
        <v>0</v>
      </c>
      <c r="T119" s="1">
        <f t="shared" si="75"/>
        <v>0</v>
      </c>
      <c r="U119" s="1">
        <f t="shared" si="76"/>
        <v>5</v>
      </c>
      <c r="V119" s="1">
        <f t="shared" si="77"/>
        <v>80</v>
      </c>
      <c r="W119" s="1">
        <f t="shared" si="78"/>
        <v>6.25E-2</v>
      </c>
      <c r="X119" s="1" t="str">
        <f t="shared" si="79"/>
        <v/>
      </c>
      <c r="Y119" s="1" t="b">
        <f t="shared" si="80"/>
        <v>0</v>
      </c>
      <c r="Z119" s="1" t="str">
        <f>IF(Y119, COUNTIF($Y$2:Y119, TRUE), "")</f>
        <v/>
      </c>
      <c r="AA119" s="1">
        <f t="shared" si="81"/>
        <v>5</v>
      </c>
      <c r="AB119" s="1">
        <f t="shared" si="82"/>
        <v>80</v>
      </c>
      <c r="AC119" s="1">
        <f t="shared" si="83"/>
        <v>6.25E-2</v>
      </c>
      <c r="AD119" s="1" t="str">
        <f t="shared" si="84"/>
        <v/>
      </c>
      <c r="AE119" s="1" t="b">
        <f t="shared" si="85"/>
        <v>0</v>
      </c>
      <c r="AF119" s="1" t="b">
        <f t="shared" si="86"/>
        <v>0</v>
      </c>
      <c r="AG119" s="1" t="str">
        <f>IF(AF119, COUNTIF($AF$2:AF119, TRUE), "")</f>
        <v/>
      </c>
    </row>
    <row r="120" spans="1:33" ht="72" hidden="1" outlineLevel="1" x14ac:dyDescent="0.3">
      <c r="A120" s="1" t="s">
        <v>309</v>
      </c>
      <c r="B120" s="1" t="s">
        <v>34</v>
      </c>
      <c r="C120" s="1" t="s">
        <v>310</v>
      </c>
      <c r="D120" s="1" t="s">
        <v>311</v>
      </c>
      <c r="E120" s="1" t="s">
        <v>330</v>
      </c>
      <c r="F120" s="4" t="s">
        <v>331</v>
      </c>
      <c r="G120" s="5">
        <v>5</v>
      </c>
      <c r="H120" s="6"/>
      <c r="I120" s="3"/>
      <c r="J120" s="6" t="str">
        <f t="shared" si="74"/>
        <v/>
      </c>
      <c r="K120" s="7"/>
      <c r="L120" s="4" t="s">
        <v>332</v>
      </c>
      <c r="M120" s="1" t="str">
        <f>IFERROR(INDEX(__key!$D:$D,MATCH(O120&amp;"|"&amp;SUBSTITUTE(H120,",",";"), __key!$E:$E, 0)), "")</f>
        <v/>
      </c>
      <c r="N120" s="1" t="str">
        <f>IFERROR(INDEX(__key!$D:$D,MATCH(O120&amp;"|"&amp;SUBSTITUTE(J120,",",";"), __key!$E:$E, 0)), "")</f>
        <v/>
      </c>
      <c r="O120" s="1" t="s">
        <v>40</v>
      </c>
      <c r="P120" s="1"/>
      <c r="Q120" s="1" t="s">
        <v>315</v>
      </c>
      <c r="R120" s="1">
        <v>11017</v>
      </c>
      <c r="S120" s="1">
        <f t="shared" si="75"/>
        <v>0</v>
      </c>
      <c r="T120" s="1">
        <f t="shared" si="75"/>
        <v>0</v>
      </c>
      <c r="U120" s="1">
        <f t="shared" si="76"/>
        <v>5</v>
      </c>
      <c r="V120" s="1">
        <f t="shared" si="77"/>
        <v>80</v>
      </c>
      <c r="W120" s="1">
        <f t="shared" si="78"/>
        <v>6.25E-2</v>
      </c>
      <c r="X120" s="1" t="str">
        <f t="shared" si="79"/>
        <v/>
      </c>
      <c r="Y120" s="1" t="b">
        <f t="shared" si="80"/>
        <v>0</v>
      </c>
      <c r="Z120" s="1" t="str">
        <f>IF(Y120, COUNTIF($Y$2:Y120, TRUE), "")</f>
        <v/>
      </c>
      <c r="AA120" s="1">
        <f t="shared" si="81"/>
        <v>5</v>
      </c>
      <c r="AB120" s="1">
        <f t="shared" si="82"/>
        <v>80</v>
      </c>
      <c r="AC120" s="1">
        <f t="shared" si="83"/>
        <v>6.25E-2</v>
      </c>
      <c r="AD120" s="1" t="str">
        <f t="shared" si="84"/>
        <v/>
      </c>
      <c r="AE120" s="1" t="b">
        <f t="shared" si="85"/>
        <v>0</v>
      </c>
      <c r="AF120" s="1" t="b">
        <f t="shared" si="86"/>
        <v>0</v>
      </c>
      <c r="AG120" s="1" t="str">
        <f>IF(AF120, COUNTIF($AF$2:AF120, TRUE), "")</f>
        <v/>
      </c>
    </row>
    <row r="121" spans="1:33" ht="30" customHeight="1" x14ac:dyDescent="0.3">
      <c r="A121" s="1"/>
      <c r="B121" s="1"/>
      <c r="C121" s="1"/>
      <c r="D121" s="1"/>
      <c r="E121" s="1"/>
      <c r="F121" s="14" t="s">
        <v>333</v>
      </c>
      <c r="G121" s="15"/>
      <c r="H121" s="14"/>
      <c r="I121" s="14"/>
      <c r="J121" s="14"/>
      <c r="K121" s="14"/>
      <c r="L121" s="14"/>
      <c r="M121" s="1"/>
      <c r="N121" s="1"/>
      <c r="O121" s="1"/>
      <c r="P121" s="1"/>
      <c r="Q121" s="1"/>
      <c r="R121" s="1"/>
      <c r="S121" s="1"/>
      <c r="T121" s="1"/>
      <c r="U121" s="1"/>
      <c r="V121" s="1"/>
      <c r="W121" s="1"/>
      <c r="X121" s="1"/>
      <c r="Y121" s="1"/>
      <c r="Z121" s="1"/>
      <c r="AA121" s="1"/>
      <c r="AB121" s="1"/>
      <c r="AC121" s="1"/>
      <c r="AD121" s="1"/>
      <c r="AE121" s="1"/>
      <c r="AF121" s="1"/>
      <c r="AG121" s="1"/>
    </row>
    <row r="122" spans="1:33" ht="72" outlineLevel="1" x14ac:dyDescent="0.3">
      <c r="A122" s="1" t="s">
        <v>333</v>
      </c>
      <c r="B122" s="1" t="s">
        <v>34</v>
      </c>
      <c r="C122" s="1" t="s">
        <v>334</v>
      </c>
      <c r="D122" s="1" t="s">
        <v>335</v>
      </c>
      <c r="E122" s="1" t="s">
        <v>336</v>
      </c>
      <c r="F122" s="4" t="s">
        <v>337</v>
      </c>
      <c r="G122" s="5">
        <v>5</v>
      </c>
      <c r="H122" s="6"/>
      <c r="I122" s="3"/>
      <c r="J122" s="6" t="str">
        <f t="shared" ref="J122:J129" si="87">IF(H122="","",H122)</f>
        <v/>
      </c>
      <c r="K122" s="7"/>
      <c r="L122" s="4" t="s">
        <v>338</v>
      </c>
      <c r="M122" s="1" t="str">
        <f>IFERROR(INDEX(__key!$D:$D,MATCH(O122&amp;"|"&amp;SUBSTITUTE(H122,",",";"), __key!$E:$E, 0)), "")</f>
        <v/>
      </c>
      <c r="N122" s="1" t="str">
        <f>IFERROR(INDEX(__key!$D:$D,MATCH(O122&amp;"|"&amp;SUBSTITUTE(J122,",",";"), __key!$E:$E, 0)), "")</f>
        <v/>
      </c>
      <c r="O122" s="1" t="s">
        <v>40</v>
      </c>
      <c r="P122" s="1"/>
      <c r="Q122" s="1" t="s">
        <v>333</v>
      </c>
      <c r="R122" s="1">
        <v>11111</v>
      </c>
      <c r="S122" s="1">
        <f t="shared" ref="S122:T129" si="88">IFERROR(1*M122,0)</f>
        <v>0</v>
      </c>
      <c r="T122" s="1">
        <f t="shared" si="88"/>
        <v>0</v>
      </c>
      <c r="U122" s="1">
        <f t="shared" ref="U122:U129" si="89">IFERROR(IF(ISNUMBER(SEARCH("Not Relevant",H122)),0,VALUE(G122)),"")</f>
        <v>5</v>
      </c>
      <c r="V122" s="1">
        <f t="shared" ref="V122:V129" si="90">IFERROR(SUMIF($D:$D,D122,$U:$U),"")</f>
        <v>40</v>
      </c>
      <c r="W122" s="1">
        <f t="shared" ref="W122:W129" si="91">IF(OR(V122=0,V122=""),"",U122/V122)</f>
        <v>0.125</v>
      </c>
      <c r="X122" s="1" t="str">
        <f t="shared" ref="X122:X129" si="92">IF(OR(M122="",W122=""),"",VALUE(M122)*W122)</f>
        <v/>
      </c>
      <c r="Y122" s="1" t="b">
        <f t="shared" ref="Y122:Y129" si="93">IFERROR(ISNUMBER(SEARCH("Not Relevant",H122)),FALSE)</f>
        <v>0</v>
      </c>
      <c r="Z122" s="1" t="str">
        <f>IF(Y122, COUNTIF($Y$2:Y122, TRUE), "")</f>
        <v/>
      </c>
      <c r="AA122" s="1">
        <f t="shared" ref="AA122:AA129" si="94">IFERROR(IF(ISNUMBER(SEARCH("Not Relevant",J122)),0,VALUE(G122)),"")</f>
        <v>5</v>
      </c>
      <c r="AB122" s="1">
        <f t="shared" ref="AB122:AB129" si="95">IFERROR(SUMIF($D:$D,D122,$AA:$AA),"")</f>
        <v>40</v>
      </c>
      <c r="AC122" s="1">
        <f t="shared" ref="AC122:AC129" si="96">IF(OR(AB122=0,AB122=""),"",AA122/AB122)</f>
        <v>0.125</v>
      </c>
      <c r="AD122" s="1" t="str">
        <f t="shared" ref="AD122:AD129" si="97">IF(OR(N122="",AC122=""),"",VALUE(N122)*AC122)</f>
        <v/>
      </c>
      <c r="AE122" s="1" t="b">
        <f t="shared" ref="AE122:AE129" si="98">IFERROR(ISNUMBER(SEARCH("Not Relevant",J122)),FALSE)</f>
        <v>0</v>
      </c>
      <c r="AF122" s="1" t="b">
        <f t="shared" ref="AF122:AF129" si="99">IF(OR(H122="",J122=""),FALSE,IF(H122&lt;&gt;J122,TRUE,FALSE))</f>
        <v>0</v>
      </c>
      <c r="AG122" s="1" t="str">
        <f>IF(AF122, COUNTIF($AF$2:AF122, TRUE), "")</f>
        <v/>
      </c>
    </row>
    <row r="123" spans="1:33" ht="28.8" outlineLevel="1" x14ac:dyDescent="0.3">
      <c r="A123" s="1" t="s">
        <v>333</v>
      </c>
      <c r="B123" s="1" t="s">
        <v>34</v>
      </c>
      <c r="C123" s="1" t="s">
        <v>334</v>
      </c>
      <c r="D123" s="1" t="s">
        <v>335</v>
      </c>
      <c r="E123" s="1" t="s">
        <v>339</v>
      </c>
      <c r="F123" s="4" t="s">
        <v>340</v>
      </c>
      <c r="G123" s="5">
        <v>5</v>
      </c>
      <c r="H123" s="6"/>
      <c r="I123" s="3"/>
      <c r="J123" s="6" t="str">
        <f t="shared" si="87"/>
        <v/>
      </c>
      <c r="K123" s="7"/>
      <c r="L123" s="4" t="s">
        <v>341</v>
      </c>
      <c r="M123" s="1" t="str">
        <f>IFERROR(INDEX(__key!$D:$D,MATCH(O123&amp;"|"&amp;SUBSTITUTE(H123,",",";"), __key!$E:$E, 0)), "")</f>
        <v/>
      </c>
      <c r="N123" s="1" t="str">
        <f>IFERROR(INDEX(__key!$D:$D,MATCH(O123&amp;"|"&amp;SUBSTITUTE(J123,",",";"), __key!$E:$E, 0)), "")</f>
        <v/>
      </c>
      <c r="O123" s="1" t="s">
        <v>40</v>
      </c>
      <c r="P123" s="1"/>
      <c r="Q123" s="1" t="s">
        <v>333</v>
      </c>
      <c r="R123" s="1">
        <v>11112</v>
      </c>
      <c r="S123" s="1">
        <f t="shared" si="88"/>
        <v>0</v>
      </c>
      <c r="T123" s="1">
        <f t="shared" si="88"/>
        <v>0</v>
      </c>
      <c r="U123" s="1">
        <f t="shared" si="89"/>
        <v>5</v>
      </c>
      <c r="V123" s="1">
        <f t="shared" si="90"/>
        <v>40</v>
      </c>
      <c r="W123" s="1">
        <f t="shared" si="91"/>
        <v>0.125</v>
      </c>
      <c r="X123" s="1" t="str">
        <f t="shared" si="92"/>
        <v/>
      </c>
      <c r="Y123" s="1" t="b">
        <f t="shared" si="93"/>
        <v>0</v>
      </c>
      <c r="Z123" s="1" t="str">
        <f>IF(Y123, COUNTIF($Y$2:Y123, TRUE), "")</f>
        <v/>
      </c>
      <c r="AA123" s="1">
        <f t="shared" si="94"/>
        <v>5</v>
      </c>
      <c r="AB123" s="1">
        <f t="shared" si="95"/>
        <v>40</v>
      </c>
      <c r="AC123" s="1">
        <f t="shared" si="96"/>
        <v>0.125</v>
      </c>
      <c r="AD123" s="1" t="str">
        <f t="shared" si="97"/>
        <v/>
      </c>
      <c r="AE123" s="1" t="b">
        <f t="shared" si="98"/>
        <v>0</v>
      </c>
      <c r="AF123" s="1" t="b">
        <f t="shared" si="99"/>
        <v>0</v>
      </c>
      <c r="AG123" s="1" t="str">
        <f>IF(AF123, COUNTIF($AF$2:AF123, TRUE), "")</f>
        <v/>
      </c>
    </row>
    <row r="124" spans="1:33" ht="57.6" outlineLevel="1" x14ac:dyDescent="0.3">
      <c r="A124" s="1" t="s">
        <v>333</v>
      </c>
      <c r="B124" s="1" t="s">
        <v>34</v>
      </c>
      <c r="C124" s="1" t="s">
        <v>334</v>
      </c>
      <c r="D124" s="1" t="s">
        <v>335</v>
      </c>
      <c r="E124" s="1" t="s">
        <v>342</v>
      </c>
      <c r="F124" s="4" t="s">
        <v>343</v>
      </c>
      <c r="G124" s="5">
        <v>5</v>
      </c>
      <c r="H124" s="6"/>
      <c r="I124" s="3"/>
      <c r="J124" s="6" t="str">
        <f t="shared" si="87"/>
        <v/>
      </c>
      <c r="K124" s="7"/>
      <c r="L124" s="4" t="s">
        <v>341</v>
      </c>
      <c r="M124" s="1" t="str">
        <f>IFERROR(INDEX(__key!$D:$D,MATCH(O124&amp;"|"&amp;SUBSTITUTE(H124,",",";"), __key!$E:$E, 0)), "")</f>
        <v/>
      </c>
      <c r="N124" s="1" t="str">
        <f>IFERROR(INDEX(__key!$D:$D,MATCH(O124&amp;"|"&amp;SUBSTITUTE(J124,",",";"), __key!$E:$E, 0)), "")</f>
        <v/>
      </c>
      <c r="O124" s="1" t="s">
        <v>40</v>
      </c>
      <c r="P124" s="1"/>
      <c r="Q124" s="1" t="s">
        <v>333</v>
      </c>
      <c r="R124" s="1">
        <v>11113</v>
      </c>
      <c r="S124" s="1">
        <f t="shared" si="88"/>
        <v>0</v>
      </c>
      <c r="T124" s="1">
        <f t="shared" si="88"/>
        <v>0</v>
      </c>
      <c r="U124" s="1">
        <f t="shared" si="89"/>
        <v>5</v>
      </c>
      <c r="V124" s="1">
        <f t="shared" si="90"/>
        <v>40</v>
      </c>
      <c r="W124" s="1">
        <f t="shared" si="91"/>
        <v>0.125</v>
      </c>
      <c r="X124" s="1" t="str">
        <f t="shared" si="92"/>
        <v/>
      </c>
      <c r="Y124" s="1" t="b">
        <f t="shared" si="93"/>
        <v>0</v>
      </c>
      <c r="Z124" s="1" t="str">
        <f>IF(Y124, COUNTIF($Y$2:Y124, TRUE), "")</f>
        <v/>
      </c>
      <c r="AA124" s="1">
        <f t="shared" si="94"/>
        <v>5</v>
      </c>
      <c r="AB124" s="1">
        <f t="shared" si="95"/>
        <v>40</v>
      </c>
      <c r="AC124" s="1">
        <f t="shared" si="96"/>
        <v>0.125</v>
      </c>
      <c r="AD124" s="1" t="str">
        <f t="shared" si="97"/>
        <v/>
      </c>
      <c r="AE124" s="1" t="b">
        <f t="shared" si="98"/>
        <v>0</v>
      </c>
      <c r="AF124" s="1" t="b">
        <f t="shared" si="99"/>
        <v>0</v>
      </c>
      <c r="AG124" s="1" t="str">
        <f>IF(AF124, COUNTIF($AF$2:AF124, TRUE), "")</f>
        <v/>
      </c>
    </row>
    <row r="125" spans="1:33" ht="57.6" outlineLevel="1" x14ac:dyDescent="0.3">
      <c r="A125" s="1" t="s">
        <v>333</v>
      </c>
      <c r="B125" s="1" t="s">
        <v>34</v>
      </c>
      <c r="C125" s="1" t="s">
        <v>334</v>
      </c>
      <c r="D125" s="1" t="s">
        <v>335</v>
      </c>
      <c r="E125" s="1" t="s">
        <v>344</v>
      </c>
      <c r="F125" s="4" t="s">
        <v>345</v>
      </c>
      <c r="G125" s="5">
        <v>5</v>
      </c>
      <c r="H125" s="6"/>
      <c r="I125" s="3"/>
      <c r="J125" s="6" t="str">
        <f t="shared" si="87"/>
        <v/>
      </c>
      <c r="K125" s="7"/>
      <c r="L125" s="4" t="s">
        <v>346</v>
      </c>
      <c r="M125" s="1" t="str">
        <f>IFERROR(INDEX(__key!$D:$D,MATCH(O125&amp;"|"&amp;SUBSTITUTE(H125,",",";"), __key!$E:$E, 0)), "")</f>
        <v/>
      </c>
      <c r="N125" s="1" t="str">
        <f>IFERROR(INDEX(__key!$D:$D,MATCH(O125&amp;"|"&amp;SUBSTITUTE(J125,",",";"), __key!$E:$E, 0)), "")</f>
        <v/>
      </c>
      <c r="O125" s="1" t="s">
        <v>40</v>
      </c>
      <c r="P125" s="1"/>
      <c r="Q125" s="1" t="s">
        <v>333</v>
      </c>
      <c r="R125" s="1">
        <v>11114</v>
      </c>
      <c r="S125" s="1">
        <f t="shared" si="88"/>
        <v>0</v>
      </c>
      <c r="T125" s="1">
        <f t="shared" si="88"/>
        <v>0</v>
      </c>
      <c r="U125" s="1">
        <f t="shared" si="89"/>
        <v>5</v>
      </c>
      <c r="V125" s="1">
        <f t="shared" si="90"/>
        <v>40</v>
      </c>
      <c r="W125" s="1">
        <f t="shared" si="91"/>
        <v>0.125</v>
      </c>
      <c r="X125" s="1" t="str">
        <f t="shared" si="92"/>
        <v/>
      </c>
      <c r="Y125" s="1" t="b">
        <f t="shared" si="93"/>
        <v>0</v>
      </c>
      <c r="Z125" s="1" t="str">
        <f>IF(Y125, COUNTIF($Y$2:Y125, TRUE), "")</f>
        <v/>
      </c>
      <c r="AA125" s="1">
        <f t="shared" si="94"/>
        <v>5</v>
      </c>
      <c r="AB125" s="1">
        <f t="shared" si="95"/>
        <v>40</v>
      </c>
      <c r="AC125" s="1">
        <f t="shared" si="96"/>
        <v>0.125</v>
      </c>
      <c r="AD125" s="1" t="str">
        <f t="shared" si="97"/>
        <v/>
      </c>
      <c r="AE125" s="1" t="b">
        <f t="shared" si="98"/>
        <v>0</v>
      </c>
      <c r="AF125" s="1" t="b">
        <f t="shared" si="99"/>
        <v>0</v>
      </c>
      <c r="AG125" s="1" t="str">
        <f>IF(AF125, COUNTIF($AF$2:AF125, TRUE), "")</f>
        <v/>
      </c>
    </row>
    <row r="126" spans="1:33" ht="72" outlineLevel="1" x14ac:dyDescent="0.3">
      <c r="A126" s="1" t="s">
        <v>333</v>
      </c>
      <c r="B126" s="1" t="s">
        <v>34</v>
      </c>
      <c r="C126" s="1" t="s">
        <v>334</v>
      </c>
      <c r="D126" s="1" t="s">
        <v>335</v>
      </c>
      <c r="E126" s="1" t="s">
        <v>347</v>
      </c>
      <c r="F126" s="4" t="s">
        <v>348</v>
      </c>
      <c r="G126" s="5">
        <v>5</v>
      </c>
      <c r="H126" s="6"/>
      <c r="I126" s="3"/>
      <c r="J126" s="6" t="str">
        <f t="shared" si="87"/>
        <v/>
      </c>
      <c r="K126" s="7"/>
      <c r="L126" s="4" t="s">
        <v>349</v>
      </c>
      <c r="M126" s="1" t="str">
        <f>IFERROR(INDEX(__key!$D:$D,MATCH(O126&amp;"|"&amp;SUBSTITUTE(H126,",",";"), __key!$E:$E, 0)), "")</f>
        <v/>
      </c>
      <c r="N126" s="1" t="str">
        <f>IFERROR(INDEX(__key!$D:$D,MATCH(O126&amp;"|"&amp;SUBSTITUTE(J126,",",";"), __key!$E:$E, 0)), "")</f>
        <v/>
      </c>
      <c r="O126" s="1" t="s">
        <v>40</v>
      </c>
      <c r="P126" s="1"/>
      <c r="Q126" s="1" t="s">
        <v>333</v>
      </c>
      <c r="R126" s="1">
        <v>11115</v>
      </c>
      <c r="S126" s="1">
        <f t="shared" si="88"/>
        <v>0</v>
      </c>
      <c r="T126" s="1">
        <f t="shared" si="88"/>
        <v>0</v>
      </c>
      <c r="U126" s="1">
        <f t="shared" si="89"/>
        <v>5</v>
      </c>
      <c r="V126" s="1">
        <f t="shared" si="90"/>
        <v>40</v>
      </c>
      <c r="W126" s="1">
        <f t="shared" si="91"/>
        <v>0.125</v>
      </c>
      <c r="X126" s="1" t="str">
        <f t="shared" si="92"/>
        <v/>
      </c>
      <c r="Y126" s="1" t="b">
        <f t="shared" si="93"/>
        <v>0</v>
      </c>
      <c r="Z126" s="1" t="str">
        <f>IF(Y126, COUNTIF($Y$2:Y126, TRUE), "")</f>
        <v/>
      </c>
      <c r="AA126" s="1">
        <f t="shared" si="94"/>
        <v>5</v>
      </c>
      <c r="AB126" s="1">
        <f t="shared" si="95"/>
        <v>40</v>
      </c>
      <c r="AC126" s="1">
        <f t="shared" si="96"/>
        <v>0.125</v>
      </c>
      <c r="AD126" s="1" t="str">
        <f t="shared" si="97"/>
        <v/>
      </c>
      <c r="AE126" s="1" t="b">
        <f t="shared" si="98"/>
        <v>0</v>
      </c>
      <c r="AF126" s="1" t="b">
        <f t="shared" si="99"/>
        <v>0</v>
      </c>
      <c r="AG126" s="1" t="str">
        <f>IF(AF126, COUNTIF($AF$2:AF126, TRUE), "")</f>
        <v/>
      </c>
    </row>
    <row r="127" spans="1:33" ht="55.05" customHeight="1" outlineLevel="1" x14ac:dyDescent="0.3">
      <c r="A127" s="1" t="s">
        <v>333</v>
      </c>
      <c r="B127" s="1" t="s">
        <v>34</v>
      </c>
      <c r="C127" s="1" t="s">
        <v>334</v>
      </c>
      <c r="D127" s="1" t="s">
        <v>335</v>
      </c>
      <c r="E127" s="1" t="s">
        <v>350</v>
      </c>
      <c r="F127" s="4" t="s">
        <v>351</v>
      </c>
      <c r="G127" s="5">
        <v>5</v>
      </c>
      <c r="H127" s="6" t="s">
        <v>378</v>
      </c>
      <c r="I127" s="3"/>
      <c r="J127" s="6" t="s">
        <v>363</v>
      </c>
      <c r="K127" s="7" t="s">
        <v>2123</v>
      </c>
      <c r="L127" s="4" t="s">
        <v>341</v>
      </c>
      <c r="M127" s="1" t="str">
        <f>IFERROR(INDEX(__key!$D:$D,MATCH(O127&amp;"|"&amp;SUBSTITUTE(H127,",",";"), __key!$E:$E, 0)), "")</f>
        <v>0</v>
      </c>
      <c r="N127" s="1" t="str">
        <f>IFERROR(INDEX(__key!$D:$D,MATCH(O127&amp;"|"&amp;SUBSTITUTE(J127,",",";"), __key!$E:$E, 0)), "")</f>
        <v>4</v>
      </c>
      <c r="O127" s="1" t="s">
        <v>40</v>
      </c>
      <c r="P127" s="1"/>
      <c r="Q127" s="1" t="s">
        <v>333</v>
      </c>
      <c r="R127" s="1">
        <v>11116</v>
      </c>
      <c r="S127" s="1">
        <f t="shared" si="88"/>
        <v>0</v>
      </c>
      <c r="T127" s="1">
        <f t="shared" si="88"/>
        <v>4</v>
      </c>
      <c r="U127" s="1">
        <f t="shared" si="89"/>
        <v>5</v>
      </c>
      <c r="V127" s="1">
        <f t="shared" si="90"/>
        <v>40</v>
      </c>
      <c r="W127" s="1">
        <f t="shared" si="91"/>
        <v>0.125</v>
      </c>
      <c r="X127" s="1">
        <f t="shared" si="92"/>
        <v>0</v>
      </c>
      <c r="Y127" s="1" t="b">
        <f t="shared" si="93"/>
        <v>0</v>
      </c>
      <c r="Z127" s="1" t="str">
        <f>IF(Y127, COUNTIF($Y$2:Y127, TRUE), "")</f>
        <v/>
      </c>
      <c r="AA127" s="1">
        <f t="shared" si="94"/>
        <v>5</v>
      </c>
      <c r="AB127" s="1">
        <f t="shared" si="95"/>
        <v>40</v>
      </c>
      <c r="AC127" s="1">
        <f t="shared" si="96"/>
        <v>0.125</v>
      </c>
      <c r="AD127" s="1">
        <f t="shared" si="97"/>
        <v>0.5</v>
      </c>
      <c r="AE127" s="1" t="b">
        <f t="shared" si="98"/>
        <v>0</v>
      </c>
      <c r="AF127" s="1" t="b">
        <f t="shared" si="99"/>
        <v>1</v>
      </c>
      <c r="AG127" s="1">
        <f>IF(AF127, COUNTIF($AF$2:AF127, TRUE), "")</f>
        <v>9</v>
      </c>
    </row>
    <row r="128" spans="1:33" ht="72" outlineLevel="1" x14ac:dyDescent="0.3">
      <c r="A128" s="1" t="s">
        <v>333</v>
      </c>
      <c r="B128" s="1" t="s">
        <v>34</v>
      </c>
      <c r="C128" s="1" t="s">
        <v>334</v>
      </c>
      <c r="D128" s="1" t="s">
        <v>335</v>
      </c>
      <c r="E128" s="1" t="s">
        <v>352</v>
      </c>
      <c r="F128" s="4" t="s">
        <v>353</v>
      </c>
      <c r="G128" s="5">
        <v>5</v>
      </c>
      <c r="H128" s="6"/>
      <c r="I128" s="3"/>
      <c r="J128" s="6" t="str">
        <f t="shared" si="87"/>
        <v/>
      </c>
      <c r="K128" s="7"/>
      <c r="L128" s="4" t="s">
        <v>354</v>
      </c>
      <c r="M128" s="1" t="str">
        <f>IFERROR(INDEX(__key!$D:$D,MATCH(O128&amp;"|"&amp;SUBSTITUTE(H128,",",";"), __key!$E:$E, 0)), "")</f>
        <v/>
      </c>
      <c r="N128" s="1" t="str">
        <f>IFERROR(INDEX(__key!$D:$D,MATCH(O128&amp;"|"&amp;SUBSTITUTE(J128,",",";"), __key!$E:$E, 0)), "")</f>
        <v/>
      </c>
      <c r="O128" s="1" t="s">
        <v>40</v>
      </c>
      <c r="P128" s="1"/>
      <c r="Q128" s="1" t="s">
        <v>333</v>
      </c>
      <c r="R128" s="1">
        <v>11117</v>
      </c>
      <c r="S128" s="1">
        <f t="shared" si="88"/>
        <v>0</v>
      </c>
      <c r="T128" s="1">
        <f t="shared" si="88"/>
        <v>0</v>
      </c>
      <c r="U128" s="1">
        <f t="shared" si="89"/>
        <v>5</v>
      </c>
      <c r="V128" s="1">
        <f t="shared" si="90"/>
        <v>40</v>
      </c>
      <c r="W128" s="1">
        <f t="shared" si="91"/>
        <v>0.125</v>
      </c>
      <c r="X128" s="1" t="str">
        <f t="shared" si="92"/>
        <v/>
      </c>
      <c r="Y128" s="1" t="b">
        <f t="shared" si="93"/>
        <v>0</v>
      </c>
      <c r="Z128" s="1" t="str">
        <f>IF(Y128, COUNTIF($Y$2:Y128, TRUE), "")</f>
        <v/>
      </c>
      <c r="AA128" s="1">
        <f t="shared" si="94"/>
        <v>5</v>
      </c>
      <c r="AB128" s="1">
        <f t="shared" si="95"/>
        <v>40</v>
      </c>
      <c r="AC128" s="1">
        <f t="shared" si="96"/>
        <v>0.125</v>
      </c>
      <c r="AD128" s="1" t="str">
        <f t="shared" si="97"/>
        <v/>
      </c>
      <c r="AE128" s="1" t="b">
        <f t="shared" si="98"/>
        <v>0</v>
      </c>
      <c r="AF128" s="1" t="b">
        <f t="shared" si="99"/>
        <v>0</v>
      </c>
      <c r="AG128" s="1" t="str">
        <f>IF(AF128, COUNTIF($AF$2:AF128, TRUE), "")</f>
        <v/>
      </c>
    </row>
    <row r="129" spans="1:33" ht="57.6" outlineLevel="1" x14ac:dyDescent="0.3">
      <c r="A129" s="1" t="s">
        <v>333</v>
      </c>
      <c r="B129" s="1" t="s">
        <v>34</v>
      </c>
      <c r="C129" s="1" t="s">
        <v>334</v>
      </c>
      <c r="D129" s="1" t="s">
        <v>335</v>
      </c>
      <c r="E129" s="1" t="s">
        <v>355</v>
      </c>
      <c r="F129" s="4" t="s">
        <v>356</v>
      </c>
      <c r="G129" s="5">
        <v>5</v>
      </c>
      <c r="H129" s="6"/>
      <c r="I129" s="3"/>
      <c r="J129" s="6" t="str">
        <f t="shared" si="87"/>
        <v/>
      </c>
      <c r="K129" s="7"/>
      <c r="L129" s="4" t="s">
        <v>357</v>
      </c>
      <c r="M129" s="1" t="str">
        <f>IFERROR(INDEX(__key!$D:$D,MATCH(O129&amp;"|"&amp;SUBSTITUTE(H129,",",";"), __key!$E:$E, 0)), "")</f>
        <v/>
      </c>
      <c r="N129" s="1" t="str">
        <f>IFERROR(INDEX(__key!$D:$D,MATCH(O129&amp;"|"&amp;SUBSTITUTE(J129,",",";"), __key!$E:$E, 0)), "")</f>
        <v/>
      </c>
      <c r="O129" s="1" t="s">
        <v>40</v>
      </c>
      <c r="P129" s="1"/>
      <c r="Q129" s="1" t="s">
        <v>333</v>
      </c>
      <c r="R129" s="1">
        <v>11118</v>
      </c>
      <c r="S129" s="1">
        <f t="shared" si="88"/>
        <v>0</v>
      </c>
      <c r="T129" s="1">
        <f t="shared" si="88"/>
        <v>0</v>
      </c>
      <c r="U129" s="1">
        <f t="shared" si="89"/>
        <v>5</v>
      </c>
      <c r="V129" s="1">
        <f t="shared" si="90"/>
        <v>40</v>
      </c>
      <c r="W129" s="1">
        <f t="shared" si="91"/>
        <v>0.125</v>
      </c>
      <c r="X129" s="1" t="str">
        <f t="shared" si="92"/>
        <v/>
      </c>
      <c r="Y129" s="1" t="b">
        <f t="shared" si="93"/>
        <v>0</v>
      </c>
      <c r="Z129" s="1" t="str">
        <f>IF(Y129, COUNTIF($Y$2:Y129, TRUE), "")</f>
        <v/>
      </c>
      <c r="AA129" s="1">
        <f t="shared" si="94"/>
        <v>5</v>
      </c>
      <c r="AB129" s="1">
        <f t="shared" si="95"/>
        <v>40</v>
      </c>
      <c r="AC129" s="1">
        <f t="shared" si="96"/>
        <v>0.125</v>
      </c>
      <c r="AD129" s="1" t="str">
        <f t="shared" si="97"/>
        <v/>
      </c>
      <c r="AE129" s="1" t="b">
        <f t="shared" si="98"/>
        <v>0</v>
      </c>
      <c r="AF129" s="1" t="b">
        <f t="shared" si="99"/>
        <v>0</v>
      </c>
      <c r="AG129" s="1" t="str">
        <f>IF(AF129, COUNTIF($AF$2:AF129, TRUE), "")</f>
        <v/>
      </c>
    </row>
  </sheetData>
  <mergeCells count="14">
    <mergeCell ref="F121:L121"/>
    <mergeCell ref="A1:J1"/>
    <mergeCell ref="F93:L93"/>
    <mergeCell ref="F58:L58"/>
    <mergeCell ref="F97:L97"/>
    <mergeCell ref="F3:L3"/>
    <mergeCell ref="F55:L55"/>
    <mergeCell ref="F87:L87"/>
    <mergeCell ref="F24:L24"/>
    <mergeCell ref="F48:L48"/>
    <mergeCell ref="F62:L62"/>
    <mergeCell ref="F42:L42"/>
    <mergeCell ref="F19:L19"/>
    <mergeCell ref="F113:L113"/>
  </mergeCells>
  <dataValidations count="2">
    <dataValidation type="list" allowBlank="1" showInputMessage="1" showErrorMessage="1" errorTitle="Invalid selection" error="Please choose a value from the drop-down list." promptTitle="Selection required" prompt="Please choose a value from the drop-down list (manual entry is not allowed)." sqref="H9 J39 H39 J37 H37 J35 H35 J33 H33 J31 H31 J29 H29 J9" xr:uid="{00000000-0002-0000-0000-00000A000000}">
      <formula1>"Fully - Within the last five years,Highly - Between the last 6 and 10 years,Broadly - Between the last 11 and 15 years,Partially - Between the last 16 and 20 years,Not aligned - More than 20 years or does not exist"</formula1>
    </dataValidation>
    <dataValidation type="list" allowBlank="1" showInputMessage="1" showErrorMessage="1" errorTitle="Invalid selection" error="Please choose a value from the drop-down list." promptTitle="Selection required" prompt="Please choose a value from the drop-down list (manual entry is not allowed)." sqref="H80:H86 J80:J86" xr:uid="{00000000-0002-0000-0000-000088000000}">
      <formula1>"Over 100,Between 76 and 99,Between 51 and 75,Between 26 and 50,Between 5 and 25,Less than 5"</formula1>
    </dataValidation>
  </dataValidations>
  <pageMargins left="0.05" right="0.05" top="0.05" bottom="0.05" header="0" footer="0"/>
  <extLst>
    <ext xmlns:x14="http://schemas.microsoft.com/office/spreadsheetml/2009/9/main" uri="{CCE6A557-97BC-4b89-ADB6-D9C93CAAB3DF}">
      <x14:dataValidations xmlns:xm="http://schemas.microsoft.com/office/excel/2006/main" count="7">
        <x14:dataValidation type="list" allowBlank="1" showInputMessage="1" showErrorMessage="1" errorTitle="Invalid selection" error="Please choose a value from the drop-down list." promptTitle="Selection required" prompt="Please choose a value from the drop-down list (manual entry is not allowed)." xr:uid="{00000000-0002-0000-0000-000000000000}">
          <x14:formula1>
            <xm:f>__lists!$B$2:$B$6</xm:f>
          </x14:formula1>
          <xm:sqref>J122:J129 H122:H129 J114:J120 H114:H120 J98:J112 H98:H112 J79 H79 J59:J61 H59:H61 J56:J57 H56:H57 J53 H53 J49:J51 H49:H51 J43:J46 H43:H46 J40:J41 H40:H41 J38 H38 J36 H36 J34 H34 J32 H32 J30 H30 J28 H28 J25:J26 H25:H26 J20:J23 H20:H23 J10:J18 H10:H18 H4:H8 J4:J8</xm:sqref>
        </x14:dataValidation>
        <x14:dataValidation type="list" allowBlank="1" showInputMessage="1" showErrorMessage="1" errorTitle="Invalid selection" error="Please choose a value from the drop-down list." promptTitle="Selection required" prompt="Please choose a value from the drop-down list (manual entry is not allowed)." xr:uid="{00000000-0002-0000-0000-00002A000000}">
          <x14:formula1>
            <xm:f>__lists!$C$2:$C$6</xm:f>
          </x14:formula1>
          <xm:sqref>H27 J27</xm:sqref>
        </x14:dataValidation>
        <x14:dataValidation type="list" allowBlank="1" showInputMessage="1" showErrorMessage="1" errorTitle="Invalid selection" error="Please choose a value from the drop-down list." promptTitle="Selection required" prompt="Please choose a value from the drop-down list (manual entry is not allowed)." xr:uid="{00000000-0002-0000-0000-000050000000}">
          <x14:formula1>
            <xm:f>__lists!$D$2:$D$6</xm:f>
          </x14:formula1>
          <xm:sqref>H47 J92 H92 J52 H52 J47</xm:sqref>
        </x14:dataValidation>
        <x14:dataValidation type="list" allowBlank="1" showInputMessage="1" showErrorMessage="1" errorTitle="Invalid selection" error="Please choose a value from the drop-down list." promptTitle="Selection required" prompt="Please choose a value from the drop-down list (manual entry is not allowed)." xr:uid="{00000000-0002-0000-0000-00005C000000}">
          <x14:formula1>
            <xm:f>__lists!$E$2:$E$7</xm:f>
          </x14:formula1>
          <xm:sqref>H54 J54</xm:sqref>
        </x14:dataValidation>
        <x14:dataValidation type="list" allowBlank="1" showInputMessage="1" showErrorMessage="1" errorTitle="Invalid selection" error="Please choose a value from the drop-down list." promptTitle="Selection required" prompt="Please choose a value from the drop-down list (manual entry is not allowed)." xr:uid="{00000000-0002-0000-0000-000068000000}">
          <x14:formula1>
            <xm:f>__lists!$F$2:$F$6</xm:f>
          </x14:formula1>
          <xm:sqref>J94:J96 H94:H96 J88:J91 H88:H91 J76:J77 H76:H77 H64:H65 J64:J65</xm:sqref>
        </x14:dataValidation>
        <x14:dataValidation type="list" allowBlank="1" showInputMessage="1" showErrorMessage="1" errorTitle="Invalid selection" error="Please choose a value from the drop-down list." promptTitle="Selection required" prompt="Please choose a value from the drop-down list (manual entry is not allowed)." xr:uid="{00000000-0002-0000-0000-00006C000000}">
          <x14:formula1>
            <xm:f>__lists!$G$2:$G$7</xm:f>
          </x14:formula1>
          <xm:sqref>H66:H75 J66:J75</xm:sqref>
        </x14:dataValidation>
        <x14:dataValidation type="list" allowBlank="1" showInputMessage="1" showErrorMessage="1" errorTitle="Invalid selection" error="Please choose a value from the drop-down list." promptTitle="Selection required" prompt="Please choose a value from the drop-down list (manual entry is not allowed)." xr:uid="{00000000-0002-0000-0000-000084000000}">
          <x14:formula1>
            <xm:f>__lists!$H$2:$H$6</xm:f>
          </x14:formula1>
          <xm:sqref>H78 J78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H7"/>
  <sheetViews>
    <sheetView workbookViewId="0"/>
  </sheetViews>
  <sheetFormatPr defaultRowHeight="14.4" x14ac:dyDescent="0.3"/>
  <sheetData>
    <row r="2" spans="2:8" x14ac:dyDescent="0.3">
      <c r="B2" t="s">
        <v>358</v>
      </c>
      <c r="C2" t="s">
        <v>359</v>
      </c>
      <c r="D2" t="s">
        <v>360</v>
      </c>
      <c r="E2" t="s">
        <v>358</v>
      </c>
      <c r="F2" t="s">
        <v>361</v>
      </c>
      <c r="G2" t="s">
        <v>361</v>
      </c>
      <c r="H2" t="s">
        <v>362</v>
      </c>
    </row>
    <row r="3" spans="2:8" x14ac:dyDescent="0.3">
      <c r="B3" t="s">
        <v>363</v>
      </c>
      <c r="C3" t="s">
        <v>364</v>
      </c>
      <c r="D3" t="s">
        <v>365</v>
      </c>
      <c r="E3" t="s">
        <v>363</v>
      </c>
      <c r="F3" t="s">
        <v>366</v>
      </c>
      <c r="G3" t="s">
        <v>366</v>
      </c>
      <c r="H3" t="s">
        <v>367</v>
      </c>
    </row>
    <row r="4" spans="2:8" x14ac:dyDescent="0.3">
      <c r="B4" t="s">
        <v>368</v>
      </c>
      <c r="C4" t="s">
        <v>369</v>
      </c>
      <c r="D4" t="s">
        <v>370</v>
      </c>
      <c r="E4" t="s">
        <v>368</v>
      </c>
      <c r="F4" t="s">
        <v>371</v>
      </c>
      <c r="G4" t="s">
        <v>371</v>
      </c>
      <c r="H4" t="s">
        <v>372</v>
      </c>
    </row>
    <row r="5" spans="2:8" x14ac:dyDescent="0.3">
      <c r="B5" t="s">
        <v>373</v>
      </c>
      <c r="C5" t="s">
        <v>374</v>
      </c>
      <c r="D5" t="s">
        <v>375</v>
      </c>
      <c r="E5" t="s">
        <v>373</v>
      </c>
      <c r="F5" t="s">
        <v>376</v>
      </c>
      <c r="G5" t="s">
        <v>376</v>
      </c>
      <c r="H5" t="s">
        <v>377</v>
      </c>
    </row>
    <row r="6" spans="2:8" x14ac:dyDescent="0.3">
      <c r="B6" t="s">
        <v>378</v>
      </c>
      <c r="C6" t="s">
        <v>379</v>
      </c>
      <c r="D6" t="s">
        <v>380</v>
      </c>
      <c r="E6" t="s">
        <v>378</v>
      </c>
      <c r="F6" t="s">
        <v>381</v>
      </c>
      <c r="G6" t="s">
        <v>381</v>
      </c>
      <c r="H6" t="s">
        <v>382</v>
      </c>
    </row>
    <row r="7" spans="2:8" x14ac:dyDescent="0.3">
      <c r="E7" t="s">
        <v>383</v>
      </c>
      <c r="G7" t="s">
        <v>384</v>
      </c>
    </row>
  </sheetData>
  <sheetProtection sheet="1"/>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50"/>
  <sheetViews>
    <sheetView workbookViewId="0"/>
  </sheetViews>
  <sheetFormatPr defaultRowHeight="14.4" x14ac:dyDescent="0.3"/>
  <sheetData>
    <row r="1" spans="1:5" x14ac:dyDescent="0.3">
      <c r="A1" t="s">
        <v>385</v>
      </c>
      <c r="B1" t="s">
        <v>386</v>
      </c>
      <c r="C1" t="s">
        <v>387</v>
      </c>
      <c r="D1" t="s">
        <v>27</v>
      </c>
      <c r="E1" t="s">
        <v>388</v>
      </c>
    </row>
    <row r="2" spans="1:5" x14ac:dyDescent="0.3">
      <c r="A2" t="s">
        <v>40</v>
      </c>
      <c r="B2" t="s">
        <v>358</v>
      </c>
      <c r="C2" t="s">
        <v>358</v>
      </c>
      <c r="D2" t="s">
        <v>389</v>
      </c>
      <c r="E2" t="s">
        <v>390</v>
      </c>
    </row>
    <row r="3" spans="1:5" x14ac:dyDescent="0.3">
      <c r="A3" t="s">
        <v>40</v>
      </c>
      <c r="B3" t="s">
        <v>363</v>
      </c>
      <c r="C3" t="s">
        <v>363</v>
      </c>
      <c r="D3" t="s">
        <v>391</v>
      </c>
      <c r="E3" t="s">
        <v>392</v>
      </c>
    </row>
    <row r="4" spans="1:5" x14ac:dyDescent="0.3">
      <c r="A4" t="s">
        <v>40</v>
      </c>
      <c r="B4" t="s">
        <v>368</v>
      </c>
      <c r="C4" t="s">
        <v>368</v>
      </c>
      <c r="D4" t="s">
        <v>393</v>
      </c>
      <c r="E4" t="s">
        <v>394</v>
      </c>
    </row>
    <row r="5" spans="1:5" x14ac:dyDescent="0.3">
      <c r="A5" t="s">
        <v>40</v>
      </c>
      <c r="B5" t="s">
        <v>373</v>
      </c>
      <c r="C5" t="s">
        <v>373</v>
      </c>
      <c r="D5" t="s">
        <v>395</v>
      </c>
      <c r="E5" t="s">
        <v>396</v>
      </c>
    </row>
    <row r="6" spans="1:5" x14ac:dyDescent="0.3">
      <c r="A6" t="s">
        <v>40</v>
      </c>
      <c r="B6" t="s">
        <v>378</v>
      </c>
      <c r="C6" t="s">
        <v>378</v>
      </c>
      <c r="D6" t="s">
        <v>397</v>
      </c>
      <c r="E6" t="s">
        <v>398</v>
      </c>
    </row>
    <row r="7" spans="1:5" x14ac:dyDescent="0.3">
      <c r="A7" t="s">
        <v>172</v>
      </c>
      <c r="B7" t="s">
        <v>358</v>
      </c>
      <c r="C7" t="s">
        <v>358</v>
      </c>
      <c r="D7" t="s">
        <v>389</v>
      </c>
      <c r="E7" t="s">
        <v>399</v>
      </c>
    </row>
    <row r="8" spans="1:5" x14ac:dyDescent="0.3">
      <c r="A8" t="s">
        <v>172</v>
      </c>
      <c r="B8" t="s">
        <v>363</v>
      </c>
      <c r="C8" t="s">
        <v>363</v>
      </c>
      <c r="D8" t="s">
        <v>391</v>
      </c>
      <c r="E8" t="s">
        <v>400</v>
      </c>
    </row>
    <row r="9" spans="1:5" x14ac:dyDescent="0.3">
      <c r="A9" t="s">
        <v>172</v>
      </c>
      <c r="B9" t="s">
        <v>368</v>
      </c>
      <c r="C9" t="s">
        <v>368</v>
      </c>
      <c r="D9" t="s">
        <v>393</v>
      </c>
      <c r="E9" t="s">
        <v>401</v>
      </c>
    </row>
    <row r="10" spans="1:5" x14ac:dyDescent="0.3">
      <c r="A10" t="s">
        <v>172</v>
      </c>
      <c r="B10" t="s">
        <v>373</v>
      </c>
      <c r="C10" t="s">
        <v>373</v>
      </c>
      <c r="D10" t="s">
        <v>395</v>
      </c>
      <c r="E10" t="s">
        <v>402</v>
      </c>
    </row>
    <row r="11" spans="1:5" x14ac:dyDescent="0.3">
      <c r="A11" t="s">
        <v>172</v>
      </c>
      <c r="B11" t="s">
        <v>378</v>
      </c>
      <c r="C11" t="s">
        <v>378</v>
      </c>
      <c r="D11" t="s">
        <v>397</v>
      </c>
      <c r="E11" t="s">
        <v>403</v>
      </c>
    </row>
    <row r="12" spans="1:5" x14ac:dyDescent="0.3">
      <c r="A12" t="s">
        <v>172</v>
      </c>
      <c r="B12" t="s">
        <v>383</v>
      </c>
      <c r="C12" t="s">
        <v>383</v>
      </c>
      <c r="E12" t="s">
        <v>404</v>
      </c>
    </row>
    <row r="13" spans="1:5" x14ac:dyDescent="0.3">
      <c r="A13" t="s">
        <v>405</v>
      </c>
      <c r="B13" t="s">
        <v>406</v>
      </c>
      <c r="C13" t="s">
        <v>407</v>
      </c>
      <c r="D13" t="s">
        <v>389</v>
      </c>
      <c r="E13" t="s">
        <v>408</v>
      </c>
    </row>
    <row r="14" spans="1:5" x14ac:dyDescent="0.3">
      <c r="A14" t="s">
        <v>405</v>
      </c>
      <c r="B14" t="s">
        <v>409</v>
      </c>
      <c r="C14" t="s">
        <v>410</v>
      </c>
      <c r="D14" t="s">
        <v>391</v>
      </c>
      <c r="E14" t="s">
        <v>411</v>
      </c>
    </row>
    <row r="15" spans="1:5" x14ac:dyDescent="0.3">
      <c r="A15" t="s">
        <v>405</v>
      </c>
      <c r="B15" t="s">
        <v>412</v>
      </c>
      <c r="C15" t="s">
        <v>413</v>
      </c>
      <c r="D15" t="s">
        <v>393</v>
      </c>
      <c r="E15" t="s">
        <v>414</v>
      </c>
    </row>
    <row r="16" spans="1:5" x14ac:dyDescent="0.3">
      <c r="A16" t="s">
        <v>405</v>
      </c>
      <c r="B16" t="s">
        <v>415</v>
      </c>
      <c r="C16" t="s">
        <v>416</v>
      </c>
      <c r="D16" t="s">
        <v>395</v>
      </c>
      <c r="E16" t="s">
        <v>417</v>
      </c>
    </row>
    <row r="17" spans="1:5" x14ac:dyDescent="0.3">
      <c r="A17" t="s">
        <v>405</v>
      </c>
      <c r="B17" t="s">
        <v>418</v>
      </c>
      <c r="C17" t="s">
        <v>419</v>
      </c>
      <c r="D17" t="s">
        <v>397</v>
      </c>
      <c r="E17" t="s">
        <v>420</v>
      </c>
    </row>
    <row r="18" spans="1:5" x14ac:dyDescent="0.3">
      <c r="A18" t="s">
        <v>405</v>
      </c>
      <c r="B18" t="s">
        <v>421</v>
      </c>
      <c r="C18" t="s">
        <v>422</v>
      </c>
      <c r="E18" t="s">
        <v>423</v>
      </c>
    </row>
    <row r="19" spans="1:5" x14ac:dyDescent="0.3">
      <c r="A19" t="s">
        <v>424</v>
      </c>
      <c r="B19" t="s">
        <v>425</v>
      </c>
      <c r="C19" t="s">
        <v>425</v>
      </c>
      <c r="D19" t="s">
        <v>389</v>
      </c>
      <c r="E19" t="s">
        <v>426</v>
      </c>
    </row>
    <row r="20" spans="1:5" x14ac:dyDescent="0.3">
      <c r="A20" t="s">
        <v>424</v>
      </c>
      <c r="B20" t="s">
        <v>427</v>
      </c>
      <c r="C20" t="s">
        <v>427</v>
      </c>
      <c r="D20" t="s">
        <v>391</v>
      </c>
      <c r="E20" t="s">
        <v>428</v>
      </c>
    </row>
    <row r="21" spans="1:5" x14ac:dyDescent="0.3">
      <c r="A21" t="s">
        <v>424</v>
      </c>
      <c r="B21" t="s">
        <v>429</v>
      </c>
      <c r="C21" t="s">
        <v>429</v>
      </c>
      <c r="D21" t="s">
        <v>393</v>
      </c>
      <c r="E21" t="s">
        <v>430</v>
      </c>
    </row>
    <row r="22" spans="1:5" x14ac:dyDescent="0.3">
      <c r="A22" t="s">
        <v>424</v>
      </c>
      <c r="B22" t="s">
        <v>431</v>
      </c>
      <c r="C22" t="s">
        <v>431</v>
      </c>
      <c r="D22" t="s">
        <v>395</v>
      </c>
      <c r="E22" t="s">
        <v>432</v>
      </c>
    </row>
    <row r="23" spans="1:5" x14ac:dyDescent="0.3">
      <c r="A23" t="s">
        <v>424</v>
      </c>
      <c r="B23" t="s">
        <v>433</v>
      </c>
      <c r="C23" t="s">
        <v>433</v>
      </c>
      <c r="D23" t="s">
        <v>34</v>
      </c>
      <c r="E23" t="s">
        <v>434</v>
      </c>
    </row>
    <row r="24" spans="1:5" x14ac:dyDescent="0.3">
      <c r="A24" t="s">
        <v>435</v>
      </c>
      <c r="B24" t="s">
        <v>436</v>
      </c>
      <c r="C24" t="s">
        <v>437</v>
      </c>
      <c r="D24" t="s">
        <v>389</v>
      </c>
      <c r="E24" t="s">
        <v>438</v>
      </c>
    </row>
    <row r="25" spans="1:5" x14ac:dyDescent="0.3">
      <c r="A25" t="s">
        <v>435</v>
      </c>
      <c r="B25" t="s">
        <v>439</v>
      </c>
      <c r="C25" t="s">
        <v>440</v>
      </c>
      <c r="D25" t="s">
        <v>391</v>
      </c>
      <c r="E25" t="s">
        <v>441</v>
      </c>
    </row>
    <row r="26" spans="1:5" x14ac:dyDescent="0.3">
      <c r="A26" t="s">
        <v>435</v>
      </c>
      <c r="B26" t="s">
        <v>442</v>
      </c>
      <c r="C26" t="s">
        <v>443</v>
      </c>
      <c r="D26" t="s">
        <v>393</v>
      </c>
      <c r="E26" t="s">
        <v>444</v>
      </c>
    </row>
    <row r="27" spans="1:5" x14ac:dyDescent="0.3">
      <c r="A27" t="s">
        <v>435</v>
      </c>
      <c r="B27" t="s">
        <v>445</v>
      </c>
      <c r="C27" t="s">
        <v>446</v>
      </c>
      <c r="D27" t="s">
        <v>395</v>
      </c>
      <c r="E27" t="s">
        <v>447</v>
      </c>
    </row>
    <row r="28" spans="1:5" x14ac:dyDescent="0.3">
      <c r="A28" t="s">
        <v>435</v>
      </c>
      <c r="B28" t="s">
        <v>448</v>
      </c>
      <c r="C28" t="s">
        <v>449</v>
      </c>
      <c r="D28" t="s">
        <v>397</v>
      </c>
      <c r="E28" t="s">
        <v>450</v>
      </c>
    </row>
    <row r="29" spans="1:5" x14ac:dyDescent="0.3">
      <c r="A29" t="s">
        <v>232</v>
      </c>
      <c r="B29" t="s">
        <v>362</v>
      </c>
      <c r="C29" t="s">
        <v>362</v>
      </c>
      <c r="D29" t="s">
        <v>389</v>
      </c>
      <c r="E29" t="s">
        <v>451</v>
      </c>
    </row>
    <row r="30" spans="1:5" x14ac:dyDescent="0.3">
      <c r="A30" t="s">
        <v>232</v>
      </c>
      <c r="B30" t="s">
        <v>367</v>
      </c>
      <c r="C30" t="s">
        <v>367</v>
      </c>
      <c r="D30" t="s">
        <v>391</v>
      </c>
      <c r="E30" t="s">
        <v>452</v>
      </c>
    </row>
    <row r="31" spans="1:5" x14ac:dyDescent="0.3">
      <c r="A31" t="s">
        <v>232</v>
      </c>
      <c r="B31" t="s">
        <v>372</v>
      </c>
      <c r="C31" t="s">
        <v>372</v>
      </c>
      <c r="D31" t="s">
        <v>393</v>
      </c>
      <c r="E31" t="s">
        <v>453</v>
      </c>
    </row>
    <row r="32" spans="1:5" x14ac:dyDescent="0.3">
      <c r="A32" t="s">
        <v>232</v>
      </c>
      <c r="B32" t="s">
        <v>377</v>
      </c>
      <c r="C32" t="s">
        <v>377</v>
      </c>
      <c r="D32" t="s">
        <v>395</v>
      </c>
      <c r="E32" t="s">
        <v>454</v>
      </c>
    </row>
    <row r="33" spans="1:5" x14ac:dyDescent="0.3">
      <c r="A33" t="s">
        <v>232</v>
      </c>
      <c r="B33" t="s">
        <v>382</v>
      </c>
      <c r="C33" t="s">
        <v>382</v>
      </c>
      <c r="D33" t="s">
        <v>397</v>
      </c>
      <c r="E33" t="s">
        <v>455</v>
      </c>
    </row>
    <row r="34" spans="1:5" x14ac:dyDescent="0.3">
      <c r="A34" t="s">
        <v>456</v>
      </c>
      <c r="B34" t="s">
        <v>457</v>
      </c>
      <c r="C34" t="s">
        <v>457</v>
      </c>
      <c r="D34" t="s">
        <v>389</v>
      </c>
      <c r="E34" t="s">
        <v>458</v>
      </c>
    </row>
    <row r="35" spans="1:5" x14ac:dyDescent="0.3">
      <c r="A35" t="s">
        <v>456</v>
      </c>
      <c r="B35" t="s">
        <v>459</v>
      </c>
      <c r="C35" t="s">
        <v>459</v>
      </c>
      <c r="D35" t="s">
        <v>391</v>
      </c>
      <c r="E35" t="s">
        <v>460</v>
      </c>
    </row>
    <row r="36" spans="1:5" x14ac:dyDescent="0.3">
      <c r="A36" t="s">
        <v>456</v>
      </c>
      <c r="B36" t="s">
        <v>461</v>
      </c>
      <c r="C36" t="s">
        <v>461</v>
      </c>
      <c r="D36" t="s">
        <v>393</v>
      </c>
      <c r="E36" t="s">
        <v>462</v>
      </c>
    </row>
    <row r="37" spans="1:5" x14ac:dyDescent="0.3">
      <c r="A37" t="s">
        <v>456</v>
      </c>
      <c r="B37" t="s">
        <v>463</v>
      </c>
      <c r="C37" t="s">
        <v>463</v>
      </c>
      <c r="D37" t="s">
        <v>395</v>
      </c>
      <c r="E37" t="s">
        <v>464</v>
      </c>
    </row>
    <row r="38" spans="1:5" x14ac:dyDescent="0.3">
      <c r="A38" t="s">
        <v>456</v>
      </c>
      <c r="B38" t="s">
        <v>465</v>
      </c>
      <c r="C38" t="s">
        <v>465</v>
      </c>
      <c r="D38" t="s">
        <v>34</v>
      </c>
      <c r="E38" t="s">
        <v>466</v>
      </c>
    </row>
    <row r="39" spans="1:5" x14ac:dyDescent="0.3">
      <c r="A39" t="s">
        <v>467</v>
      </c>
      <c r="B39" t="s">
        <v>468</v>
      </c>
      <c r="C39" t="s">
        <v>469</v>
      </c>
      <c r="D39" t="s">
        <v>389</v>
      </c>
      <c r="E39" t="s">
        <v>470</v>
      </c>
    </row>
    <row r="40" spans="1:5" x14ac:dyDescent="0.3">
      <c r="A40" t="s">
        <v>467</v>
      </c>
      <c r="B40" t="s">
        <v>471</v>
      </c>
      <c r="C40" t="s">
        <v>472</v>
      </c>
      <c r="D40" t="s">
        <v>391</v>
      </c>
      <c r="E40" t="s">
        <v>473</v>
      </c>
    </row>
    <row r="41" spans="1:5" x14ac:dyDescent="0.3">
      <c r="A41" t="s">
        <v>467</v>
      </c>
      <c r="B41" t="s">
        <v>474</v>
      </c>
      <c r="C41" t="s">
        <v>475</v>
      </c>
      <c r="D41" t="s">
        <v>393</v>
      </c>
      <c r="E41" t="s">
        <v>476</v>
      </c>
    </row>
    <row r="42" spans="1:5" x14ac:dyDescent="0.3">
      <c r="A42" t="s">
        <v>467</v>
      </c>
      <c r="B42" t="s">
        <v>477</v>
      </c>
      <c r="C42" t="s">
        <v>478</v>
      </c>
      <c r="D42" t="s">
        <v>395</v>
      </c>
      <c r="E42" t="s">
        <v>479</v>
      </c>
    </row>
    <row r="43" spans="1:5" x14ac:dyDescent="0.3">
      <c r="A43" t="s">
        <v>467</v>
      </c>
      <c r="B43" t="s">
        <v>480</v>
      </c>
      <c r="C43" t="s">
        <v>481</v>
      </c>
      <c r="D43" t="s">
        <v>397</v>
      </c>
      <c r="E43" t="s">
        <v>482</v>
      </c>
    </row>
    <row r="44" spans="1:5" x14ac:dyDescent="0.3">
      <c r="A44" t="s">
        <v>467</v>
      </c>
      <c r="B44" t="s">
        <v>483</v>
      </c>
      <c r="C44" t="s">
        <v>484</v>
      </c>
      <c r="E44" t="s">
        <v>485</v>
      </c>
    </row>
    <row r="45" spans="1:5" x14ac:dyDescent="0.3">
      <c r="A45" t="s">
        <v>486</v>
      </c>
      <c r="B45" t="s">
        <v>487</v>
      </c>
      <c r="C45" t="s">
        <v>487</v>
      </c>
      <c r="D45" t="s">
        <v>389</v>
      </c>
      <c r="E45" t="s">
        <v>488</v>
      </c>
    </row>
    <row r="46" spans="1:5" x14ac:dyDescent="0.3">
      <c r="A46" t="s">
        <v>486</v>
      </c>
      <c r="B46" t="s">
        <v>489</v>
      </c>
      <c r="C46" t="s">
        <v>489</v>
      </c>
      <c r="D46" t="s">
        <v>391</v>
      </c>
      <c r="E46" t="s">
        <v>490</v>
      </c>
    </row>
    <row r="47" spans="1:5" x14ac:dyDescent="0.3">
      <c r="A47" t="s">
        <v>486</v>
      </c>
      <c r="B47" t="s">
        <v>491</v>
      </c>
      <c r="C47" t="s">
        <v>491</v>
      </c>
      <c r="D47" t="s">
        <v>393</v>
      </c>
      <c r="E47" t="s">
        <v>492</v>
      </c>
    </row>
    <row r="48" spans="1:5" x14ac:dyDescent="0.3">
      <c r="A48" t="s">
        <v>486</v>
      </c>
      <c r="B48" t="s">
        <v>493</v>
      </c>
      <c r="C48" t="s">
        <v>493</v>
      </c>
      <c r="D48" t="s">
        <v>395</v>
      </c>
      <c r="E48" t="s">
        <v>494</v>
      </c>
    </row>
    <row r="49" spans="1:5" x14ac:dyDescent="0.3">
      <c r="A49" t="s">
        <v>486</v>
      </c>
      <c r="B49" t="s">
        <v>495</v>
      </c>
      <c r="C49" t="s">
        <v>495</v>
      </c>
      <c r="D49" t="s">
        <v>397</v>
      </c>
      <c r="E49" t="s">
        <v>496</v>
      </c>
    </row>
    <row r="50" spans="1:5" x14ac:dyDescent="0.3">
      <c r="A50" t="s">
        <v>497</v>
      </c>
      <c r="B50" t="s">
        <v>498</v>
      </c>
      <c r="C50" t="s">
        <v>499</v>
      </c>
      <c r="D50" t="s">
        <v>389</v>
      </c>
      <c r="E50" t="s">
        <v>500</v>
      </c>
    </row>
    <row r="51" spans="1:5" x14ac:dyDescent="0.3">
      <c r="A51" t="s">
        <v>497</v>
      </c>
      <c r="B51" t="s">
        <v>501</v>
      </c>
      <c r="C51" t="s">
        <v>502</v>
      </c>
      <c r="D51" t="s">
        <v>391</v>
      </c>
      <c r="E51" t="s">
        <v>503</v>
      </c>
    </row>
    <row r="52" spans="1:5" x14ac:dyDescent="0.3">
      <c r="A52" t="s">
        <v>497</v>
      </c>
      <c r="B52" t="s">
        <v>504</v>
      </c>
      <c r="C52" t="s">
        <v>505</v>
      </c>
      <c r="D52" t="s">
        <v>393</v>
      </c>
      <c r="E52" t="s">
        <v>506</v>
      </c>
    </row>
    <row r="53" spans="1:5" x14ac:dyDescent="0.3">
      <c r="A53" t="s">
        <v>497</v>
      </c>
      <c r="B53" t="s">
        <v>507</v>
      </c>
      <c r="C53" t="s">
        <v>508</v>
      </c>
      <c r="D53" t="s">
        <v>395</v>
      </c>
      <c r="E53" t="s">
        <v>509</v>
      </c>
    </row>
    <row r="54" spans="1:5" x14ac:dyDescent="0.3">
      <c r="A54" t="s">
        <v>497</v>
      </c>
      <c r="B54" t="s">
        <v>510</v>
      </c>
      <c r="C54" t="s">
        <v>511</v>
      </c>
      <c r="D54" t="s">
        <v>397</v>
      </c>
      <c r="E54" t="s">
        <v>512</v>
      </c>
    </row>
    <row r="55" spans="1:5" x14ac:dyDescent="0.3">
      <c r="A55" t="s">
        <v>513</v>
      </c>
      <c r="B55" t="s">
        <v>498</v>
      </c>
      <c r="C55" t="s">
        <v>499</v>
      </c>
      <c r="D55" t="s">
        <v>389</v>
      </c>
      <c r="E55" t="s">
        <v>514</v>
      </c>
    </row>
    <row r="56" spans="1:5" x14ac:dyDescent="0.3">
      <c r="A56" t="s">
        <v>513</v>
      </c>
      <c r="B56" t="s">
        <v>501</v>
      </c>
      <c r="C56" t="s">
        <v>502</v>
      </c>
      <c r="D56" t="s">
        <v>391</v>
      </c>
      <c r="E56" t="s">
        <v>515</v>
      </c>
    </row>
    <row r="57" spans="1:5" x14ac:dyDescent="0.3">
      <c r="A57" t="s">
        <v>513</v>
      </c>
      <c r="B57" t="s">
        <v>504</v>
      </c>
      <c r="C57" t="s">
        <v>505</v>
      </c>
      <c r="D57" t="s">
        <v>393</v>
      </c>
      <c r="E57" t="s">
        <v>516</v>
      </c>
    </row>
    <row r="58" spans="1:5" x14ac:dyDescent="0.3">
      <c r="A58" t="s">
        <v>513</v>
      </c>
      <c r="B58" t="s">
        <v>507</v>
      </c>
      <c r="C58" t="s">
        <v>508</v>
      </c>
      <c r="D58" t="s">
        <v>395</v>
      </c>
      <c r="E58" t="s">
        <v>517</v>
      </c>
    </row>
    <row r="59" spans="1:5" x14ac:dyDescent="0.3">
      <c r="A59" t="s">
        <v>513</v>
      </c>
      <c r="B59" t="s">
        <v>510</v>
      </c>
      <c r="C59" t="s">
        <v>511</v>
      </c>
      <c r="D59" t="s">
        <v>397</v>
      </c>
      <c r="E59" t="s">
        <v>518</v>
      </c>
    </row>
    <row r="60" spans="1:5" x14ac:dyDescent="0.3">
      <c r="A60" t="s">
        <v>513</v>
      </c>
      <c r="B60" t="s">
        <v>421</v>
      </c>
      <c r="C60" t="s">
        <v>422</v>
      </c>
      <c r="E60" t="s">
        <v>519</v>
      </c>
    </row>
    <row r="61" spans="1:5" x14ac:dyDescent="0.3">
      <c r="A61" t="s">
        <v>104</v>
      </c>
      <c r="B61" t="s">
        <v>359</v>
      </c>
      <c r="C61" t="s">
        <v>359</v>
      </c>
      <c r="D61" t="s">
        <v>389</v>
      </c>
      <c r="E61" t="s">
        <v>520</v>
      </c>
    </row>
    <row r="62" spans="1:5" x14ac:dyDescent="0.3">
      <c r="A62" t="s">
        <v>104</v>
      </c>
      <c r="B62" t="s">
        <v>364</v>
      </c>
      <c r="C62" t="s">
        <v>364</v>
      </c>
      <c r="D62" t="s">
        <v>391</v>
      </c>
      <c r="E62" t="s">
        <v>521</v>
      </c>
    </row>
    <row r="63" spans="1:5" x14ac:dyDescent="0.3">
      <c r="A63" t="s">
        <v>104</v>
      </c>
      <c r="B63" t="s">
        <v>369</v>
      </c>
      <c r="C63" t="s">
        <v>369</v>
      </c>
      <c r="D63" t="s">
        <v>393</v>
      </c>
      <c r="E63" t="s">
        <v>522</v>
      </c>
    </row>
    <row r="64" spans="1:5" x14ac:dyDescent="0.3">
      <c r="A64" t="s">
        <v>104</v>
      </c>
      <c r="B64" t="s">
        <v>374</v>
      </c>
      <c r="C64" t="s">
        <v>374</v>
      </c>
      <c r="D64" t="s">
        <v>395</v>
      </c>
      <c r="E64" t="s">
        <v>523</v>
      </c>
    </row>
    <row r="65" spans="1:5" x14ac:dyDescent="0.3">
      <c r="A65" t="s">
        <v>104</v>
      </c>
      <c r="B65" t="s">
        <v>379</v>
      </c>
      <c r="C65" t="s">
        <v>379</v>
      </c>
      <c r="D65" t="s">
        <v>397</v>
      </c>
      <c r="E65" t="s">
        <v>524</v>
      </c>
    </row>
    <row r="66" spans="1:5" x14ac:dyDescent="0.3">
      <c r="A66" t="s">
        <v>525</v>
      </c>
      <c r="B66" t="s">
        <v>526</v>
      </c>
      <c r="C66" t="s">
        <v>527</v>
      </c>
      <c r="D66" t="s">
        <v>389</v>
      </c>
      <c r="E66" t="s">
        <v>528</v>
      </c>
    </row>
    <row r="67" spans="1:5" x14ac:dyDescent="0.3">
      <c r="A67" t="s">
        <v>525</v>
      </c>
      <c r="B67" t="s">
        <v>529</v>
      </c>
      <c r="C67" t="s">
        <v>530</v>
      </c>
      <c r="D67" t="s">
        <v>395</v>
      </c>
      <c r="E67" t="s">
        <v>531</v>
      </c>
    </row>
    <row r="68" spans="1:5" x14ac:dyDescent="0.3">
      <c r="A68" t="s">
        <v>525</v>
      </c>
      <c r="B68" t="s">
        <v>532</v>
      </c>
      <c r="C68" t="s">
        <v>533</v>
      </c>
      <c r="D68" t="s">
        <v>397</v>
      </c>
      <c r="E68" t="s">
        <v>534</v>
      </c>
    </row>
    <row r="69" spans="1:5" x14ac:dyDescent="0.3">
      <c r="A69" t="s">
        <v>535</v>
      </c>
      <c r="B69" t="s">
        <v>536</v>
      </c>
      <c r="C69" t="s">
        <v>537</v>
      </c>
      <c r="D69" t="s">
        <v>389</v>
      </c>
      <c r="E69" t="s">
        <v>538</v>
      </c>
    </row>
    <row r="70" spans="1:5" x14ac:dyDescent="0.3">
      <c r="A70" t="s">
        <v>535</v>
      </c>
      <c r="B70" t="s">
        <v>539</v>
      </c>
      <c r="C70" t="s">
        <v>539</v>
      </c>
      <c r="D70" t="s">
        <v>391</v>
      </c>
      <c r="E70" t="s">
        <v>540</v>
      </c>
    </row>
    <row r="71" spans="1:5" x14ac:dyDescent="0.3">
      <c r="A71" t="s">
        <v>535</v>
      </c>
      <c r="B71" t="s">
        <v>541</v>
      </c>
      <c r="C71" t="s">
        <v>541</v>
      </c>
      <c r="D71" t="s">
        <v>393</v>
      </c>
      <c r="E71" t="s">
        <v>542</v>
      </c>
    </row>
    <row r="72" spans="1:5" x14ac:dyDescent="0.3">
      <c r="A72" t="s">
        <v>535</v>
      </c>
      <c r="B72" t="s">
        <v>543</v>
      </c>
      <c r="C72" t="s">
        <v>543</v>
      </c>
      <c r="D72" t="s">
        <v>395</v>
      </c>
      <c r="E72" t="s">
        <v>544</v>
      </c>
    </row>
    <row r="73" spans="1:5" x14ac:dyDescent="0.3">
      <c r="A73" t="s">
        <v>535</v>
      </c>
      <c r="B73" t="s">
        <v>545</v>
      </c>
      <c r="C73" t="s">
        <v>545</v>
      </c>
      <c r="D73" t="s">
        <v>397</v>
      </c>
      <c r="E73" t="s">
        <v>546</v>
      </c>
    </row>
    <row r="74" spans="1:5" x14ac:dyDescent="0.3">
      <c r="A74" t="s">
        <v>547</v>
      </c>
      <c r="B74" t="s">
        <v>548</v>
      </c>
      <c r="C74" t="s">
        <v>548</v>
      </c>
      <c r="D74" t="s">
        <v>389</v>
      </c>
      <c r="E74" t="s">
        <v>549</v>
      </c>
    </row>
    <row r="75" spans="1:5" x14ac:dyDescent="0.3">
      <c r="A75" t="s">
        <v>547</v>
      </c>
      <c r="B75" t="s">
        <v>550</v>
      </c>
      <c r="C75" t="s">
        <v>550</v>
      </c>
      <c r="D75" t="s">
        <v>389</v>
      </c>
      <c r="E75" t="s">
        <v>551</v>
      </c>
    </row>
    <row r="76" spans="1:5" x14ac:dyDescent="0.3">
      <c r="A76" t="s">
        <v>547</v>
      </c>
      <c r="B76" t="s">
        <v>552</v>
      </c>
      <c r="C76" t="s">
        <v>552</v>
      </c>
      <c r="D76" t="s">
        <v>389</v>
      </c>
      <c r="E76" t="s">
        <v>553</v>
      </c>
    </row>
    <row r="77" spans="1:5" x14ac:dyDescent="0.3">
      <c r="A77" t="s">
        <v>547</v>
      </c>
      <c r="B77" t="s">
        <v>554</v>
      </c>
      <c r="C77" t="s">
        <v>554</v>
      </c>
      <c r="D77" t="s">
        <v>391</v>
      </c>
      <c r="E77" t="s">
        <v>555</v>
      </c>
    </row>
    <row r="78" spans="1:5" x14ac:dyDescent="0.3">
      <c r="A78" t="s">
        <v>547</v>
      </c>
      <c r="B78" t="s">
        <v>556</v>
      </c>
      <c r="C78" t="s">
        <v>556</v>
      </c>
      <c r="D78" t="s">
        <v>393</v>
      </c>
      <c r="E78" t="s">
        <v>557</v>
      </c>
    </row>
    <row r="79" spans="1:5" x14ac:dyDescent="0.3">
      <c r="A79" t="s">
        <v>547</v>
      </c>
      <c r="B79" t="s">
        <v>558</v>
      </c>
      <c r="C79" t="s">
        <v>558</v>
      </c>
      <c r="D79" t="s">
        <v>395</v>
      </c>
      <c r="E79" t="s">
        <v>559</v>
      </c>
    </row>
    <row r="80" spans="1:5" x14ac:dyDescent="0.3">
      <c r="A80" t="s">
        <v>547</v>
      </c>
      <c r="B80" t="s">
        <v>560</v>
      </c>
      <c r="C80" t="s">
        <v>560</v>
      </c>
      <c r="D80" t="s">
        <v>397</v>
      </c>
      <c r="E80" t="s">
        <v>561</v>
      </c>
    </row>
    <row r="81" spans="1:5" x14ac:dyDescent="0.3">
      <c r="A81" t="s">
        <v>562</v>
      </c>
      <c r="B81" t="s">
        <v>548</v>
      </c>
      <c r="C81" t="s">
        <v>548</v>
      </c>
      <c r="D81" t="s">
        <v>389</v>
      </c>
      <c r="E81" t="s">
        <v>563</v>
      </c>
    </row>
    <row r="82" spans="1:5" x14ac:dyDescent="0.3">
      <c r="A82" t="s">
        <v>562</v>
      </c>
      <c r="B82" t="s">
        <v>550</v>
      </c>
      <c r="C82" t="s">
        <v>550</v>
      </c>
      <c r="D82" t="s">
        <v>389</v>
      </c>
      <c r="E82" t="s">
        <v>564</v>
      </c>
    </row>
    <row r="83" spans="1:5" x14ac:dyDescent="0.3">
      <c r="A83" t="s">
        <v>562</v>
      </c>
      <c r="B83" t="s">
        <v>552</v>
      </c>
      <c r="C83" t="s">
        <v>552</v>
      </c>
      <c r="D83" t="s">
        <v>389</v>
      </c>
      <c r="E83" t="s">
        <v>565</v>
      </c>
    </row>
    <row r="84" spans="1:5" x14ac:dyDescent="0.3">
      <c r="A84" t="s">
        <v>562</v>
      </c>
      <c r="B84" t="s">
        <v>554</v>
      </c>
      <c r="C84" t="s">
        <v>554</v>
      </c>
      <c r="D84" t="s">
        <v>391</v>
      </c>
      <c r="E84" t="s">
        <v>566</v>
      </c>
    </row>
    <row r="85" spans="1:5" x14ac:dyDescent="0.3">
      <c r="A85" t="s">
        <v>562</v>
      </c>
      <c r="B85" t="s">
        <v>556</v>
      </c>
      <c r="C85" t="s">
        <v>556</v>
      </c>
      <c r="D85" t="s">
        <v>393</v>
      </c>
      <c r="E85" t="s">
        <v>567</v>
      </c>
    </row>
    <row r="86" spans="1:5" x14ac:dyDescent="0.3">
      <c r="A86" t="s">
        <v>562</v>
      </c>
      <c r="B86" t="s">
        <v>558</v>
      </c>
      <c r="C86" t="s">
        <v>558</v>
      </c>
      <c r="D86" t="s">
        <v>395</v>
      </c>
      <c r="E86" t="s">
        <v>568</v>
      </c>
    </row>
    <row r="87" spans="1:5" x14ac:dyDescent="0.3">
      <c r="A87" t="s">
        <v>562</v>
      </c>
      <c r="B87" t="s">
        <v>560</v>
      </c>
      <c r="C87" t="s">
        <v>560</v>
      </c>
      <c r="D87" t="s">
        <v>397</v>
      </c>
      <c r="E87" t="s">
        <v>569</v>
      </c>
    </row>
    <row r="88" spans="1:5" x14ac:dyDescent="0.3">
      <c r="A88" t="s">
        <v>562</v>
      </c>
      <c r="B88" t="s">
        <v>570</v>
      </c>
      <c r="C88" t="s">
        <v>570</v>
      </c>
      <c r="E88" t="s">
        <v>571</v>
      </c>
    </row>
    <row r="89" spans="1:5" x14ac:dyDescent="0.3">
      <c r="A89" t="s">
        <v>572</v>
      </c>
      <c r="B89" t="s">
        <v>548</v>
      </c>
      <c r="C89" t="s">
        <v>548</v>
      </c>
      <c r="D89" t="s">
        <v>389</v>
      </c>
      <c r="E89" t="s">
        <v>573</v>
      </c>
    </row>
    <row r="90" spans="1:5" x14ac:dyDescent="0.3">
      <c r="A90" t="s">
        <v>572</v>
      </c>
      <c r="B90" t="s">
        <v>550</v>
      </c>
      <c r="C90" t="s">
        <v>550</v>
      </c>
      <c r="D90" t="s">
        <v>389</v>
      </c>
      <c r="E90" t="s">
        <v>574</v>
      </c>
    </row>
    <row r="91" spans="1:5" x14ac:dyDescent="0.3">
      <c r="A91" t="s">
        <v>572</v>
      </c>
      <c r="B91" t="s">
        <v>552</v>
      </c>
      <c r="C91" t="s">
        <v>552</v>
      </c>
      <c r="D91" t="s">
        <v>391</v>
      </c>
      <c r="E91" t="s">
        <v>575</v>
      </c>
    </row>
    <row r="92" spans="1:5" x14ac:dyDescent="0.3">
      <c r="A92" t="s">
        <v>572</v>
      </c>
      <c r="B92" t="s">
        <v>554</v>
      </c>
      <c r="C92" t="s">
        <v>554</v>
      </c>
      <c r="D92" t="s">
        <v>393</v>
      </c>
      <c r="E92" t="s">
        <v>576</v>
      </c>
    </row>
    <row r="93" spans="1:5" x14ac:dyDescent="0.3">
      <c r="A93" t="s">
        <v>572</v>
      </c>
      <c r="B93" t="s">
        <v>556</v>
      </c>
      <c r="C93" t="s">
        <v>556</v>
      </c>
      <c r="D93" t="s">
        <v>395</v>
      </c>
      <c r="E93" t="s">
        <v>577</v>
      </c>
    </row>
    <row r="94" spans="1:5" x14ac:dyDescent="0.3">
      <c r="A94" t="s">
        <v>572</v>
      </c>
      <c r="B94" t="s">
        <v>558</v>
      </c>
      <c r="C94" t="s">
        <v>558</v>
      </c>
      <c r="D94" t="s">
        <v>34</v>
      </c>
      <c r="E94" t="s">
        <v>578</v>
      </c>
    </row>
    <row r="95" spans="1:5" x14ac:dyDescent="0.3">
      <c r="A95" t="s">
        <v>572</v>
      </c>
      <c r="B95" t="s">
        <v>560</v>
      </c>
      <c r="C95" t="s">
        <v>560</v>
      </c>
      <c r="D95" t="s">
        <v>397</v>
      </c>
      <c r="E95" t="s">
        <v>579</v>
      </c>
    </row>
    <row r="96" spans="1:5" x14ac:dyDescent="0.3">
      <c r="A96" t="s">
        <v>572</v>
      </c>
      <c r="B96" t="s">
        <v>570</v>
      </c>
      <c r="C96" t="s">
        <v>570</v>
      </c>
      <c r="E96" t="s">
        <v>580</v>
      </c>
    </row>
    <row r="97" spans="1:5" x14ac:dyDescent="0.3">
      <c r="A97" t="s">
        <v>581</v>
      </c>
      <c r="B97" t="s">
        <v>548</v>
      </c>
      <c r="C97" t="s">
        <v>548</v>
      </c>
      <c r="D97" t="s">
        <v>389</v>
      </c>
      <c r="E97" t="s">
        <v>582</v>
      </c>
    </row>
    <row r="98" spans="1:5" x14ac:dyDescent="0.3">
      <c r="A98" t="s">
        <v>581</v>
      </c>
      <c r="B98" t="s">
        <v>550</v>
      </c>
      <c r="C98" t="s">
        <v>550</v>
      </c>
      <c r="D98" t="s">
        <v>389</v>
      </c>
      <c r="E98" t="s">
        <v>583</v>
      </c>
    </row>
    <row r="99" spans="1:5" x14ac:dyDescent="0.3">
      <c r="A99" t="s">
        <v>581</v>
      </c>
      <c r="B99" t="s">
        <v>552</v>
      </c>
      <c r="C99" t="s">
        <v>552</v>
      </c>
      <c r="D99" t="s">
        <v>389</v>
      </c>
      <c r="E99" t="s">
        <v>584</v>
      </c>
    </row>
    <row r="100" spans="1:5" x14ac:dyDescent="0.3">
      <c r="A100" t="s">
        <v>581</v>
      </c>
      <c r="B100" t="s">
        <v>554</v>
      </c>
      <c r="C100" t="s">
        <v>554</v>
      </c>
      <c r="D100" t="s">
        <v>393</v>
      </c>
      <c r="E100" t="s">
        <v>585</v>
      </c>
    </row>
    <row r="101" spans="1:5" x14ac:dyDescent="0.3">
      <c r="A101" t="s">
        <v>581</v>
      </c>
      <c r="B101" t="s">
        <v>556</v>
      </c>
      <c r="C101" t="s">
        <v>556</v>
      </c>
      <c r="D101" t="s">
        <v>395</v>
      </c>
      <c r="E101" t="s">
        <v>586</v>
      </c>
    </row>
    <row r="102" spans="1:5" x14ac:dyDescent="0.3">
      <c r="A102" t="s">
        <v>581</v>
      </c>
      <c r="B102" t="s">
        <v>558</v>
      </c>
      <c r="C102" t="s">
        <v>558</v>
      </c>
      <c r="D102" t="s">
        <v>34</v>
      </c>
      <c r="E102" t="s">
        <v>587</v>
      </c>
    </row>
    <row r="103" spans="1:5" x14ac:dyDescent="0.3">
      <c r="A103" t="s">
        <v>581</v>
      </c>
      <c r="B103" t="s">
        <v>560</v>
      </c>
      <c r="C103" t="s">
        <v>560</v>
      </c>
      <c r="D103" t="s">
        <v>397</v>
      </c>
      <c r="E103" t="s">
        <v>588</v>
      </c>
    </row>
    <row r="104" spans="1:5" x14ac:dyDescent="0.3">
      <c r="A104" t="s">
        <v>581</v>
      </c>
      <c r="B104" t="s">
        <v>570</v>
      </c>
      <c r="C104" t="s">
        <v>570</v>
      </c>
      <c r="E104" t="s">
        <v>589</v>
      </c>
    </row>
    <row r="105" spans="1:5" x14ac:dyDescent="0.3">
      <c r="A105" t="s">
        <v>590</v>
      </c>
      <c r="B105" t="s">
        <v>591</v>
      </c>
      <c r="C105" t="s">
        <v>592</v>
      </c>
      <c r="D105" t="s">
        <v>389</v>
      </c>
      <c r="E105" t="s">
        <v>593</v>
      </c>
    </row>
    <row r="106" spans="1:5" x14ac:dyDescent="0.3">
      <c r="A106" t="s">
        <v>590</v>
      </c>
      <c r="B106" t="s">
        <v>594</v>
      </c>
      <c r="C106" t="s">
        <v>595</v>
      </c>
      <c r="D106" t="s">
        <v>391</v>
      </c>
      <c r="E106" t="s">
        <v>596</v>
      </c>
    </row>
    <row r="107" spans="1:5" x14ac:dyDescent="0.3">
      <c r="A107" t="s">
        <v>590</v>
      </c>
      <c r="B107" t="s">
        <v>597</v>
      </c>
      <c r="C107" t="s">
        <v>598</v>
      </c>
      <c r="D107" t="s">
        <v>393</v>
      </c>
      <c r="E107" t="s">
        <v>599</v>
      </c>
    </row>
    <row r="108" spans="1:5" x14ac:dyDescent="0.3">
      <c r="A108" t="s">
        <v>590</v>
      </c>
      <c r="B108" t="s">
        <v>600</v>
      </c>
      <c r="C108" t="s">
        <v>601</v>
      </c>
      <c r="D108" t="s">
        <v>395</v>
      </c>
      <c r="E108" t="s">
        <v>602</v>
      </c>
    </row>
    <row r="109" spans="1:5" x14ac:dyDescent="0.3">
      <c r="A109" t="s">
        <v>590</v>
      </c>
      <c r="B109" t="s">
        <v>603</v>
      </c>
      <c r="C109" t="s">
        <v>604</v>
      </c>
      <c r="D109" t="s">
        <v>397</v>
      </c>
      <c r="E109" t="s">
        <v>605</v>
      </c>
    </row>
    <row r="110" spans="1:5" x14ac:dyDescent="0.3">
      <c r="A110" t="s">
        <v>606</v>
      </c>
      <c r="B110" t="s">
        <v>607</v>
      </c>
      <c r="C110" t="s">
        <v>607</v>
      </c>
      <c r="D110" t="s">
        <v>389</v>
      </c>
      <c r="E110" t="s">
        <v>608</v>
      </c>
    </row>
    <row r="111" spans="1:5" x14ac:dyDescent="0.3">
      <c r="A111" t="s">
        <v>606</v>
      </c>
      <c r="B111" t="s">
        <v>609</v>
      </c>
      <c r="C111" t="s">
        <v>609</v>
      </c>
      <c r="D111" t="s">
        <v>389</v>
      </c>
      <c r="E111" t="s">
        <v>610</v>
      </c>
    </row>
    <row r="112" spans="1:5" x14ac:dyDescent="0.3">
      <c r="A112" t="s">
        <v>606</v>
      </c>
      <c r="B112" t="s">
        <v>611</v>
      </c>
      <c r="C112" t="s">
        <v>611</v>
      </c>
      <c r="D112" t="s">
        <v>389</v>
      </c>
      <c r="E112" t="s">
        <v>612</v>
      </c>
    </row>
    <row r="113" spans="1:5" x14ac:dyDescent="0.3">
      <c r="A113" t="s">
        <v>606</v>
      </c>
      <c r="B113" t="s">
        <v>613</v>
      </c>
      <c r="C113" t="s">
        <v>613</v>
      </c>
      <c r="D113" t="s">
        <v>397</v>
      </c>
      <c r="E113" t="s">
        <v>614</v>
      </c>
    </row>
    <row r="114" spans="1:5" x14ac:dyDescent="0.3">
      <c r="A114" t="s">
        <v>606</v>
      </c>
      <c r="B114" t="s">
        <v>615</v>
      </c>
      <c r="C114" t="s">
        <v>615</v>
      </c>
      <c r="D114" t="s">
        <v>397</v>
      </c>
      <c r="E114" t="s">
        <v>616</v>
      </c>
    </row>
    <row r="115" spans="1:5" x14ac:dyDescent="0.3">
      <c r="A115" t="s">
        <v>617</v>
      </c>
      <c r="B115" t="s">
        <v>618</v>
      </c>
      <c r="C115" t="s">
        <v>619</v>
      </c>
      <c r="D115" t="s">
        <v>389</v>
      </c>
      <c r="E115" t="s">
        <v>620</v>
      </c>
    </row>
    <row r="116" spans="1:5" x14ac:dyDescent="0.3">
      <c r="A116" t="s">
        <v>617</v>
      </c>
      <c r="B116" t="s">
        <v>621</v>
      </c>
      <c r="C116" t="s">
        <v>622</v>
      </c>
      <c r="D116" t="s">
        <v>391</v>
      </c>
      <c r="E116" t="s">
        <v>623</v>
      </c>
    </row>
    <row r="117" spans="1:5" x14ac:dyDescent="0.3">
      <c r="A117" t="s">
        <v>617</v>
      </c>
      <c r="B117" t="s">
        <v>624</v>
      </c>
      <c r="C117" t="s">
        <v>625</v>
      </c>
      <c r="D117" t="s">
        <v>393</v>
      </c>
      <c r="E117" t="s">
        <v>626</v>
      </c>
    </row>
    <row r="118" spans="1:5" x14ac:dyDescent="0.3">
      <c r="A118" t="s">
        <v>617</v>
      </c>
      <c r="B118" t="s">
        <v>627</v>
      </c>
      <c r="C118" t="s">
        <v>628</v>
      </c>
      <c r="D118" t="s">
        <v>395</v>
      </c>
      <c r="E118" t="s">
        <v>629</v>
      </c>
    </row>
    <row r="119" spans="1:5" x14ac:dyDescent="0.3">
      <c r="A119" t="s">
        <v>617</v>
      </c>
      <c r="B119" t="s">
        <v>630</v>
      </c>
      <c r="C119" t="s">
        <v>631</v>
      </c>
      <c r="D119" t="s">
        <v>397</v>
      </c>
      <c r="E119" t="s">
        <v>632</v>
      </c>
    </row>
    <row r="120" spans="1:5" x14ac:dyDescent="0.3">
      <c r="A120" t="s">
        <v>633</v>
      </c>
      <c r="B120" t="s">
        <v>634</v>
      </c>
      <c r="C120" t="s">
        <v>634</v>
      </c>
      <c r="D120" t="s">
        <v>389</v>
      </c>
      <c r="E120" t="s">
        <v>635</v>
      </c>
    </row>
    <row r="121" spans="1:5" x14ac:dyDescent="0.3">
      <c r="A121" t="s">
        <v>633</v>
      </c>
      <c r="B121" t="s">
        <v>636</v>
      </c>
      <c r="C121" t="s">
        <v>636</v>
      </c>
      <c r="D121" t="s">
        <v>393</v>
      </c>
      <c r="E121" t="s">
        <v>637</v>
      </c>
    </row>
    <row r="122" spans="1:5" x14ac:dyDescent="0.3">
      <c r="A122" t="s">
        <v>633</v>
      </c>
      <c r="B122" t="s">
        <v>638</v>
      </c>
      <c r="C122" t="s">
        <v>638</v>
      </c>
      <c r="D122" t="s">
        <v>34</v>
      </c>
      <c r="E122" t="s">
        <v>639</v>
      </c>
    </row>
    <row r="123" spans="1:5" x14ac:dyDescent="0.3">
      <c r="A123" t="s">
        <v>202</v>
      </c>
      <c r="B123" t="s">
        <v>361</v>
      </c>
      <c r="C123" t="s">
        <v>361</v>
      </c>
      <c r="D123" t="s">
        <v>389</v>
      </c>
      <c r="E123" t="s">
        <v>640</v>
      </c>
    </row>
    <row r="124" spans="1:5" x14ac:dyDescent="0.3">
      <c r="A124" t="s">
        <v>202</v>
      </c>
      <c r="B124" t="s">
        <v>366</v>
      </c>
      <c r="C124" t="s">
        <v>366</v>
      </c>
      <c r="D124" t="s">
        <v>391</v>
      </c>
      <c r="E124" t="s">
        <v>641</v>
      </c>
    </row>
    <row r="125" spans="1:5" x14ac:dyDescent="0.3">
      <c r="A125" t="s">
        <v>202</v>
      </c>
      <c r="B125" t="s">
        <v>371</v>
      </c>
      <c r="C125" t="s">
        <v>371</v>
      </c>
      <c r="D125" t="s">
        <v>393</v>
      </c>
      <c r="E125" t="s">
        <v>642</v>
      </c>
    </row>
    <row r="126" spans="1:5" x14ac:dyDescent="0.3">
      <c r="A126" t="s">
        <v>202</v>
      </c>
      <c r="B126" t="s">
        <v>376</v>
      </c>
      <c r="C126" t="s">
        <v>376</v>
      </c>
      <c r="D126" t="s">
        <v>395</v>
      </c>
      <c r="E126" t="s">
        <v>643</v>
      </c>
    </row>
    <row r="127" spans="1:5" x14ac:dyDescent="0.3">
      <c r="A127" t="s">
        <v>202</v>
      </c>
      <c r="B127" t="s">
        <v>381</v>
      </c>
      <c r="C127" t="s">
        <v>381</v>
      </c>
      <c r="D127" t="s">
        <v>34</v>
      </c>
      <c r="E127" t="s">
        <v>644</v>
      </c>
    </row>
    <row r="128" spans="1:5" x14ac:dyDescent="0.3">
      <c r="A128" t="s">
        <v>207</v>
      </c>
      <c r="B128" t="s">
        <v>361</v>
      </c>
      <c r="C128" t="s">
        <v>361</v>
      </c>
      <c r="D128" t="s">
        <v>389</v>
      </c>
      <c r="E128" t="s">
        <v>645</v>
      </c>
    </row>
    <row r="129" spans="1:5" x14ac:dyDescent="0.3">
      <c r="A129" t="s">
        <v>207</v>
      </c>
      <c r="B129" t="s">
        <v>366</v>
      </c>
      <c r="C129" t="s">
        <v>366</v>
      </c>
      <c r="D129" t="s">
        <v>391</v>
      </c>
      <c r="E129" t="s">
        <v>646</v>
      </c>
    </row>
    <row r="130" spans="1:5" x14ac:dyDescent="0.3">
      <c r="A130" t="s">
        <v>207</v>
      </c>
      <c r="B130" t="s">
        <v>371</v>
      </c>
      <c r="C130" t="s">
        <v>371</v>
      </c>
      <c r="D130" t="s">
        <v>393</v>
      </c>
      <c r="E130" t="s">
        <v>647</v>
      </c>
    </row>
    <row r="131" spans="1:5" x14ac:dyDescent="0.3">
      <c r="A131" t="s">
        <v>207</v>
      </c>
      <c r="B131" t="s">
        <v>376</v>
      </c>
      <c r="C131" t="s">
        <v>376</v>
      </c>
      <c r="D131" t="s">
        <v>395</v>
      </c>
      <c r="E131" t="s">
        <v>648</v>
      </c>
    </row>
    <row r="132" spans="1:5" x14ac:dyDescent="0.3">
      <c r="A132" t="s">
        <v>207</v>
      </c>
      <c r="B132" t="s">
        <v>381</v>
      </c>
      <c r="C132" t="s">
        <v>381</v>
      </c>
      <c r="D132" t="s">
        <v>34</v>
      </c>
      <c r="E132" t="s">
        <v>649</v>
      </c>
    </row>
    <row r="133" spans="1:5" x14ac:dyDescent="0.3">
      <c r="A133" t="s">
        <v>207</v>
      </c>
      <c r="B133" t="s">
        <v>384</v>
      </c>
      <c r="C133" t="s">
        <v>384</v>
      </c>
      <c r="E133" t="s">
        <v>650</v>
      </c>
    </row>
    <row r="134" spans="1:5" x14ac:dyDescent="0.3">
      <c r="A134" t="s">
        <v>651</v>
      </c>
      <c r="B134" t="s">
        <v>652</v>
      </c>
      <c r="C134" t="s">
        <v>652</v>
      </c>
      <c r="D134" t="s">
        <v>389</v>
      </c>
      <c r="E134" t="s">
        <v>653</v>
      </c>
    </row>
    <row r="135" spans="1:5" x14ac:dyDescent="0.3">
      <c r="A135" t="s">
        <v>651</v>
      </c>
      <c r="B135" t="s">
        <v>654</v>
      </c>
      <c r="C135" t="s">
        <v>654</v>
      </c>
      <c r="D135" t="s">
        <v>391</v>
      </c>
      <c r="E135" t="s">
        <v>655</v>
      </c>
    </row>
    <row r="136" spans="1:5" x14ac:dyDescent="0.3">
      <c r="A136" t="s">
        <v>651</v>
      </c>
      <c r="B136" t="s">
        <v>656</v>
      </c>
      <c r="C136" t="s">
        <v>656</v>
      </c>
      <c r="D136" t="s">
        <v>393</v>
      </c>
      <c r="E136" t="s">
        <v>657</v>
      </c>
    </row>
    <row r="137" spans="1:5" x14ac:dyDescent="0.3">
      <c r="A137" t="s">
        <v>651</v>
      </c>
      <c r="B137" t="s">
        <v>658</v>
      </c>
      <c r="C137" t="s">
        <v>658</v>
      </c>
      <c r="D137" t="s">
        <v>395</v>
      </c>
      <c r="E137" t="s">
        <v>659</v>
      </c>
    </row>
    <row r="138" spans="1:5" x14ac:dyDescent="0.3">
      <c r="A138" t="s">
        <v>651</v>
      </c>
      <c r="B138" t="s">
        <v>660</v>
      </c>
      <c r="C138" t="s">
        <v>660</v>
      </c>
      <c r="D138" t="s">
        <v>397</v>
      </c>
      <c r="E138" t="s">
        <v>661</v>
      </c>
    </row>
    <row r="139" spans="1:5" x14ac:dyDescent="0.3">
      <c r="A139" t="s">
        <v>662</v>
      </c>
      <c r="B139" t="s">
        <v>652</v>
      </c>
      <c r="C139" t="s">
        <v>652</v>
      </c>
      <c r="D139" t="s">
        <v>389</v>
      </c>
      <c r="E139" t="s">
        <v>663</v>
      </c>
    </row>
    <row r="140" spans="1:5" x14ac:dyDescent="0.3">
      <c r="A140" t="s">
        <v>662</v>
      </c>
      <c r="B140" t="s">
        <v>654</v>
      </c>
      <c r="C140" t="s">
        <v>654</v>
      </c>
      <c r="D140" t="s">
        <v>391</v>
      </c>
      <c r="E140" t="s">
        <v>664</v>
      </c>
    </row>
    <row r="141" spans="1:5" x14ac:dyDescent="0.3">
      <c r="A141" t="s">
        <v>662</v>
      </c>
      <c r="B141" t="s">
        <v>656</v>
      </c>
      <c r="C141" t="s">
        <v>656</v>
      </c>
      <c r="D141" t="s">
        <v>393</v>
      </c>
      <c r="E141" t="s">
        <v>665</v>
      </c>
    </row>
    <row r="142" spans="1:5" x14ac:dyDescent="0.3">
      <c r="A142" t="s">
        <v>662</v>
      </c>
      <c r="B142" t="s">
        <v>658</v>
      </c>
      <c r="C142" t="s">
        <v>658</v>
      </c>
      <c r="D142" t="s">
        <v>395</v>
      </c>
      <c r="E142" t="s">
        <v>666</v>
      </c>
    </row>
    <row r="143" spans="1:5" x14ac:dyDescent="0.3">
      <c r="A143" t="s">
        <v>662</v>
      </c>
      <c r="B143" t="s">
        <v>667</v>
      </c>
      <c r="C143" t="s">
        <v>667</v>
      </c>
      <c r="D143" t="s">
        <v>397</v>
      </c>
      <c r="E143" t="s">
        <v>668</v>
      </c>
    </row>
    <row r="144" spans="1:5" x14ac:dyDescent="0.3">
      <c r="A144" t="s">
        <v>662</v>
      </c>
      <c r="B144" t="s">
        <v>669</v>
      </c>
      <c r="C144" t="s">
        <v>669</v>
      </c>
      <c r="E144" t="s">
        <v>670</v>
      </c>
    </row>
    <row r="145" spans="1:5" x14ac:dyDescent="0.3">
      <c r="A145" t="s">
        <v>671</v>
      </c>
      <c r="B145" t="s">
        <v>672</v>
      </c>
      <c r="C145" t="s">
        <v>672</v>
      </c>
      <c r="D145" t="s">
        <v>389</v>
      </c>
      <c r="E145" t="s">
        <v>673</v>
      </c>
    </row>
    <row r="146" spans="1:5" x14ac:dyDescent="0.3">
      <c r="A146" t="s">
        <v>671</v>
      </c>
      <c r="B146" t="s">
        <v>674</v>
      </c>
      <c r="C146" t="s">
        <v>674</v>
      </c>
      <c r="D146" t="s">
        <v>389</v>
      </c>
      <c r="E146" t="s">
        <v>675</v>
      </c>
    </row>
    <row r="147" spans="1:5" x14ac:dyDescent="0.3">
      <c r="A147" t="s">
        <v>671</v>
      </c>
      <c r="B147" t="s">
        <v>676</v>
      </c>
      <c r="C147" t="s">
        <v>676</v>
      </c>
      <c r="D147" t="s">
        <v>389</v>
      </c>
      <c r="E147" t="s">
        <v>677</v>
      </c>
    </row>
    <row r="148" spans="1:5" x14ac:dyDescent="0.3">
      <c r="A148" t="s">
        <v>671</v>
      </c>
      <c r="B148" t="s">
        <v>678</v>
      </c>
      <c r="C148" t="s">
        <v>678</v>
      </c>
      <c r="D148" t="s">
        <v>391</v>
      </c>
      <c r="E148" t="s">
        <v>679</v>
      </c>
    </row>
    <row r="149" spans="1:5" x14ac:dyDescent="0.3">
      <c r="A149" t="s">
        <v>671</v>
      </c>
      <c r="B149" t="s">
        <v>680</v>
      </c>
      <c r="C149" t="s">
        <v>680</v>
      </c>
      <c r="D149" t="s">
        <v>393</v>
      </c>
      <c r="E149" t="s">
        <v>681</v>
      </c>
    </row>
    <row r="150" spans="1:5" x14ac:dyDescent="0.3">
      <c r="A150" t="s">
        <v>671</v>
      </c>
      <c r="B150" t="s">
        <v>682</v>
      </c>
      <c r="C150" t="s">
        <v>682</v>
      </c>
      <c r="D150" t="s">
        <v>395</v>
      </c>
      <c r="E150" t="s">
        <v>683</v>
      </c>
    </row>
    <row r="151" spans="1:5" x14ac:dyDescent="0.3">
      <c r="A151" t="s">
        <v>671</v>
      </c>
      <c r="B151" t="s">
        <v>684</v>
      </c>
      <c r="C151" t="s">
        <v>684</v>
      </c>
      <c r="D151" t="s">
        <v>397</v>
      </c>
      <c r="E151" t="s">
        <v>685</v>
      </c>
    </row>
    <row r="152" spans="1:5" x14ac:dyDescent="0.3">
      <c r="A152" t="s">
        <v>686</v>
      </c>
      <c r="B152" t="s">
        <v>672</v>
      </c>
      <c r="C152" t="s">
        <v>672</v>
      </c>
      <c r="D152" t="s">
        <v>389</v>
      </c>
      <c r="E152" t="s">
        <v>687</v>
      </c>
    </row>
    <row r="153" spans="1:5" x14ac:dyDescent="0.3">
      <c r="A153" t="s">
        <v>686</v>
      </c>
      <c r="B153" t="s">
        <v>674</v>
      </c>
      <c r="C153" t="s">
        <v>674</v>
      </c>
      <c r="D153" t="s">
        <v>389</v>
      </c>
      <c r="E153" t="s">
        <v>688</v>
      </c>
    </row>
    <row r="154" spans="1:5" x14ac:dyDescent="0.3">
      <c r="A154" t="s">
        <v>686</v>
      </c>
      <c r="B154" t="s">
        <v>676</v>
      </c>
      <c r="C154" t="s">
        <v>676</v>
      </c>
      <c r="D154" t="s">
        <v>389</v>
      </c>
      <c r="E154" t="s">
        <v>689</v>
      </c>
    </row>
    <row r="155" spans="1:5" x14ac:dyDescent="0.3">
      <c r="A155" t="s">
        <v>686</v>
      </c>
      <c r="B155" t="s">
        <v>678</v>
      </c>
      <c r="C155" t="s">
        <v>678</v>
      </c>
      <c r="D155" t="s">
        <v>391</v>
      </c>
      <c r="E155" t="s">
        <v>690</v>
      </c>
    </row>
    <row r="156" spans="1:5" x14ac:dyDescent="0.3">
      <c r="A156" t="s">
        <v>686</v>
      </c>
      <c r="B156" t="s">
        <v>680</v>
      </c>
      <c r="C156" t="s">
        <v>680</v>
      </c>
      <c r="D156" t="s">
        <v>393</v>
      </c>
      <c r="E156" t="s">
        <v>691</v>
      </c>
    </row>
    <row r="157" spans="1:5" x14ac:dyDescent="0.3">
      <c r="A157" t="s">
        <v>686</v>
      </c>
      <c r="B157" t="s">
        <v>682</v>
      </c>
      <c r="C157" t="s">
        <v>682</v>
      </c>
      <c r="D157" t="s">
        <v>395</v>
      </c>
      <c r="E157" t="s">
        <v>692</v>
      </c>
    </row>
    <row r="158" spans="1:5" x14ac:dyDescent="0.3">
      <c r="A158" t="s">
        <v>686</v>
      </c>
      <c r="B158" t="s">
        <v>684</v>
      </c>
      <c r="C158" t="s">
        <v>684</v>
      </c>
      <c r="D158" t="s">
        <v>397</v>
      </c>
      <c r="E158" t="s">
        <v>693</v>
      </c>
    </row>
    <row r="159" spans="1:5" x14ac:dyDescent="0.3">
      <c r="A159" t="s">
        <v>686</v>
      </c>
      <c r="B159" t="s">
        <v>669</v>
      </c>
      <c r="C159" t="s">
        <v>669</v>
      </c>
      <c r="E159" t="s">
        <v>694</v>
      </c>
    </row>
    <row r="160" spans="1:5" x14ac:dyDescent="0.3">
      <c r="A160" t="s">
        <v>695</v>
      </c>
      <c r="B160" t="s">
        <v>696</v>
      </c>
      <c r="C160" t="s">
        <v>697</v>
      </c>
      <c r="D160" t="s">
        <v>389</v>
      </c>
      <c r="E160" t="s">
        <v>698</v>
      </c>
    </row>
    <row r="161" spans="1:5" x14ac:dyDescent="0.3">
      <c r="A161" t="s">
        <v>695</v>
      </c>
      <c r="B161" t="s">
        <v>699</v>
      </c>
      <c r="C161" t="s">
        <v>699</v>
      </c>
      <c r="D161" t="s">
        <v>391</v>
      </c>
      <c r="E161" t="s">
        <v>700</v>
      </c>
    </row>
    <row r="162" spans="1:5" x14ac:dyDescent="0.3">
      <c r="A162" t="s">
        <v>695</v>
      </c>
      <c r="B162" t="s">
        <v>701</v>
      </c>
      <c r="C162" t="s">
        <v>701</v>
      </c>
      <c r="D162" t="s">
        <v>393</v>
      </c>
      <c r="E162" t="s">
        <v>702</v>
      </c>
    </row>
    <row r="163" spans="1:5" x14ac:dyDescent="0.3">
      <c r="A163" t="s">
        <v>695</v>
      </c>
      <c r="B163" t="s">
        <v>703</v>
      </c>
      <c r="C163" t="s">
        <v>704</v>
      </c>
      <c r="D163" t="s">
        <v>395</v>
      </c>
      <c r="E163" t="s">
        <v>705</v>
      </c>
    </row>
    <row r="164" spans="1:5" x14ac:dyDescent="0.3">
      <c r="A164" t="s">
        <v>695</v>
      </c>
      <c r="B164" t="s">
        <v>706</v>
      </c>
      <c r="C164" t="s">
        <v>706</v>
      </c>
      <c r="D164" t="s">
        <v>397</v>
      </c>
      <c r="E164" t="s">
        <v>707</v>
      </c>
    </row>
    <row r="165" spans="1:5" x14ac:dyDescent="0.3">
      <c r="A165" t="s">
        <v>708</v>
      </c>
      <c r="B165" t="s">
        <v>696</v>
      </c>
      <c r="C165" t="s">
        <v>697</v>
      </c>
      <c r="D165" t="s">
        <v>389</v>
      </c>
      <c r="E165" t="s">
        <v>709</v>
      </c>
    </row>
    <row r="166" spans="1:5" x14ac:dyDescent="0.3">
      <c r="A166" t="s">
        <v>708</v>
      </c>
      <c r="B166" t="s">
        <v>699</v>
      </c>
      <c r="C166" t="s">
        <v>699</v>
      </c>
      <c r="D166" t="s">
        <v>391</v>
      </c>
      <c r="E166" t="s">
        <v>710</v>
      </c>
    </row>
    <row r="167" spans="1:5" x14ac:dyDescent="0.3">
      <c r="A167" t="s">
        <v>708</v>
      </c>
      <c r="B167" t="s">
        <v>701</v>
      </c>
      <c r="C167" t="s">
        <v>701</v>
      </c>
      <c r="D167" t="s">
        <v>393</v>
      </c>
      <c r="E167" t="s">
        <v>711</v>
      </c>
    </row>
    <row r="168" spans="1:5" x14ac:dyDescent="0.3">
      <c r="A168" t="s">
        <v>708</v>
      </c>
      <c r="B168" t="s">
        <v>703</v>
      </c>
      <c r="C168" t="s">
        <v>704</v>
      </c>
      <c r="D168" t="s">
        <v>395</v>
      </c>
      <c r="E168" t="s">
        <v>712</v>
      </c>
    </row>
    <row r="169" spans="1:5" x14ac:dyDescent="0.3">
      <c r="A169" t="s">
        <v>708</v>
      </c>
      <c r="B169" t="s">
        <v>706</v>
      </c>
      <c r="C169" t="s">
        <v>706</v>
      </c>
      <c r="D169" t="s">
        <v>397</v>
      </c>
      <c r="E169" t="s">
        <v>713</v>
      </c>
    </row>
    <row r="170" spans="1:5" x14ac:dyDescent="0.3">
      <c r="A170" t="s">
        <v>708</v>
      </c>
      <c r="B170" t="s">
        <v>669</v>
      </c>
      <c r="C170" t="s">
        <v>669</v>
      </c>
      <c r="E170" t="s">
        <v>714</v>
      </c>
    </row>
    <row r="171" spans="1:5" x14ac:dyDescent="0.3">
      <c r="A171" t="s">
        <v>155</v>
      </c>
      <c r="B171" t="s">
        <v>360</v>
      </c>
      <c r="C171" t="s">
        <v>360</v>
      </c>
      <c r="D171" t="s">
        <v>389</v>
      </c>
      <c r="E171" t="s">
        <v>715</v>
      </c>
    </row>
    <row r="172" spans="1:5" x14ac:dyDescent="0.3">
      <c r="A172" t="s">
        <v>155</v>
      </c>
      <c r="B172" t="s">
        <v>365</v>
      </c>
      <c r="C172" t="s">
        <v>365</v>
      </c>
      <c r="D172" t="s">
        <v>391</v>
      </c>
      <c r="E172" t="s">
        <v>716</v>
      </c>
    </row>
    <row r="173" spans="1:5" x14ac:dyDescent="0.3">
      <c r="A173" t="s">
        <v>155</v>
      </c>
      <c r="B173" t="s">
        <v>370</v>
      </c>
      <c r="C173" t="s">
        <v>370</v>
      </c>
      <c r="D173" t="s">
        <v>393</v>
      </c>
      <c r="E173" t="s">
        <v>717</v>
      </c>
    </row>
    <row r="174" spans="1:5" x14ac:dyDescent="0.3">
      <c r="A174" t="s">
        <v>155</v>
      </c>
      <c r="B174" t="s">
        <v>375</v>
      </c>
      <c r="C174" t="s">
        <v>375</v>
      </c>
      <c r="D174" t="s">
        <v>395</v>
      </c>
      <c r="E174" t="s">
        <v>718</v>
      </c>
    </row>
    <row r="175" spans="1:5" x14ac:dyDescent="0.3">
      <c r="A175" t="s">
        <v>155</v>
      </c>
      <c r="B175" t="s">
        <v>380</v>
      </c>
      <c r="C175" t="s">
        <v>380</v>
      </c>
      <c r="D175" t="s">
        <v>397</v>
      </c>
      <c r="E175" t="s">
        <v>719</v>
      </c>
    </row>
    <row r="176" spans="1:5" x14ac:dyDescent="0.3">
      <c r="A176" t="s">
        <v>720</v>
      </c>
      <c r="B176" t="s">
        <v>721</v>
      </c>
      <c r="C176" t="s">
        <v>722</v>
      </c>
      <c r="D176" t="s">
        <v>389</v>
      </c>
      <c r="E176" t="s">
        <v>723</v>
      </c>
    </row>
    <row r="177" spans="1:5" x14ac:dyDescent="0.3">
      <c r="A177" t="s">
        <v>720</v>
      </c>
      <c r="B177" t="s">
        <v>724</v>
      </c>
      <c r="C177" t="s">
        <v>724</v>
      </c>
      <c r="D177" t="s">
        <v>391</v>
      </c>
      <c r="E177" t="s">
        <v>725</v>
      </c>
    </row>
    <row r="178" spans="1:5" x14ac:dyDescent="0.3">
      <c r="A178" t="s">
        <v>720</v>
      </c>
      <c r="B178" t="s">
        <v>726</v>
      </c>
      <c r="C178" t="s">
        <v>726</v>
      </c>
      <c r="D178" t="s">
        <v>393</v>
      </c>
      <c r="E178" t="s">
        <v>727</v>
      </c>
    </row>
    <row r="179" spans="1:5" x14ac:dyDescent="0.3">
      <c r="A179" t="s">
        <v>720</v>
      </c>
      <c r="B179" t="s">
        <v>728</v>
      </c>
      <c r="C179" t="s">
        <v>729</v>
      </c>
      <c r="D179" t="s">
        <v>395</v>
      </c>
      <c r="E179" t="s">
        <v>730</v>
      </c>
    </row>
    <row r="180" spans="1:5" x14ac:dyDescent="0.3">
      <c r="A180" t="s">
        <v>720</v>
      </c>
      <c r="B180" t="s">
        <v>731</v>
      </c>
      <c r="C180" t="s">
        <v>731</v>
      </c>
      <c r="D180" t="s">
        <v>397</v>
      </c>
      <c r="E180" t="s">
        <v>732</v>
      </c>
    </row>
    <row r="181" spans="1:5" x14ac:dyDescent="0.3">
      <c r="A181" t="s">
        <v>733</v>
      </c>
      <c r="B181" t="s">
        <v>734</v>
      </c>
      <c r="C181" t="s">
        <v>734</v>
      </c>
      <c r="D181" t="s">
        <v>389</v>
      </c>
      <c r="E181" t="s">
        <v>735</v>
      </c>
    </row>
    <row r="182" spans="1:5" x14ac:dyDescent="0.3">
      <c r="A182" t="s">
        <v>733</v>
      </c>
      <c r="B182" t="s">
        <v>736</v>
      </c>
      <c r="C182" t="s">
        <v>736</v>
      </c>
      <c r="D182" t="s">
        <v>391</v>
      </c>
      <c r="E182" t="s">
        <v>737</v>
      </c>
    </row>
    <row r="183" spans="1:5" x14ac:dyDescent="0.3">
      <c r="A183" t="s">
        <v>733</v>
      </c>
      <c r="B183" t="s">
        <v>738</v>
      </c>
      <c r="C183" t="s">
        <v>738</v>
      </c>
      <c r="D183" t="s">
        <v>393</v>
      </c>
      <c r="E183" t="s">
        <v>739</v>
      </c>
    </row>
    <row r="184" spans="1:5" x14ac:dyDescent="0.3">
      <c r="A184" t="s">
        <v>733</v>
      </c>
      <c r="B184" t="s">
        <v>740</v>
      </c>
      <c r="C184" t="s">
        <v>740</v>
      </c>
      <c r="D184" t="s">
        <v>395</v>
      </c>
      <c r="E184" t="s">
        <v>741</v>
      </c>
    </row>
    <row r="185" spans="1:5" x14ac:dyDescent="0.3">
      <c r="A185" t="s">
        <v>733</v>
      </c>
      <c r="B185" t="s">
        <v>742</v>
      </c>
      <c r="C185" t="s">
        <v>742</v>
      </c>
      <c r="D185" t="s">
        <v>397</v>
      </c>
      <c r="E185" t="s">
        <v>743</v>
      </c>
    </row>
    <row r="186" spans="1:5" x14ac:dyDescent="0.3">
      <c r="A186" t="s">
        <v>237</v>
      </c>
      <c r="B186" t="s">
        <v>744</v>
      </c>
      <c r="C186" t="s">
        <v>744</v>
      </c>
      <c r="D186" t="s">
        <v>389</v>
      </c>
      <c r="E186" t="s">
        <v>745</v>
      </c>
    </row>
    <row r="187" spans="1:5" x14ac:dyDescent="0.3">
      <c r="A187" t="s">
        <v>237</v>
      </c>
      <c r="B187" t="s">
        <v>746</v>
      </c>
      <c r="C187" t="s">
        <v>746</v>
      </c>
      <c r="D187" t="s">
        <v>389</v>
      </c>
      <c r="E187" t="s">
        <v>747</v>
      </c>
    </row>
    <row r="188" spans="1:5" x14ac:dyDescent="0.3">
      <c r="A188" t="s">
        <v>237</v>
      </c>
      <c r="B188" t="s">
        <v>748</v>
      </c>
      <c r="C188" t="s">
        <v>748</v>
      </c>
      <c r="D188" t="s">
        <v>389</v>
      </c>
      <c r="E188" t="s">
        <v>749</v>
      </c>
    </row>
    <row r="189" spans="1:5" x14ac:dyDescent="0.3">
      <c r="A189" t="s">
        <v>237</v>
      </c>
      <c r="B189" t="s">
        <v>750</v>
      </c>
      <c r="C189" t="s">
        <v>750</v>
      </c>
      <c r="D189" t="s">
        <v>389</v>
      </c>
      <c r="E189" t="s">
        <v>751</v>
      </c>
    </row>
    <row r="190" spans="1:5" x14ac:dyDescent="0.3">
      <c r="A190" t="s">
        <v>237</v>
      </c>
      <c r="B190" t="s">
        <v>752</v>
      </c>
      <c r="C190" t="s">
        <v>752</v>
      </c>
      <c r="D190" t="s">
        <v>389</v>
      </c>
      <c r="E190" t="s">
        <v>753</v>
      </c>
    </row>
    <row r="191" spans="1:5" x14ac:dyDescent="0.3">
      <c r="A191" t="s">
        <v>237</v>
      </c>
      <c r="B191" t="s">
        <v>754</v>
      </c>
      <c r="C191" t="s">
        <v>754</v>
      </c>
      <c r="D191" t="s">
        <v>389</v>
      </c>
      <c r="E191" t="s">
        <v>755</v>
      </c>
    </row>
    <row r="192" spans="1:5" x14ac:dyDescent="0.3">
      <c r="A192" t="s">
        <v>756</v>
      </c>
      <c r="B192" t="s">
        <v>757</v>
      </c>
      <c r="C192" t="s">
        <v>757</v>
      </c>
      <c r="D192" t="s">
        <v>389</v>
      </c>
      <c r="E192" t="s">
        <v>758</v>
      </c>
    </row>
    <row r="193" spans="1:5" x14ac:dyDescent="0.3">
      <c r="A193" t="s">
        <v>756</v>
      </c>
      <c r="B193" t="s">
        <v>759</v>
      </c>
      <c r="C193" t="s">
        <v>759</v>
      </c>
      <c r="D193" t="s">
        <v>391</v>
      </c>
      <c r="E193" t="s">
        <v>760</v>
      </c>
    </row>
    <row r="194" spans="1:5" x14ac:dyDescent="0.3">
      <c r="A194" t="s">
        <v>756</v>
      </c>
      <c r="B194" t="s">
        <v>761</v>
      </c>
      <c r="C194" t="s">
        <v>761</v>
      </c>
      <c r="D194" t="s">
        <v>393</v>
      </c>
      <c r="E194" t="s">
        <v>762</v>
      </c>
    </row>
    <row r="195" spans="1:5" x14ac:dyDescent="0.3">
      <c r="A195" t="s">
        <v>756</v>
      </c>
      <c r="B195" t="s">
        <v>763</v>
      </c>
      <c r="C195" t="s">
        <v>763</v>
      </c>
      <c r="D195" t="s">
        <v>395</v>
      </c>
      <c r="E195" t="s">
        <v>764</v>
      </c>
    </row>
    <row r="196" spans="1:5" x14ac:dyDescent="0.3">
      <c r="A196" t="s">
        <v>756</v>
      </c>
      <c r="B196" t="s">
        <v>765</v>
      </c>
      <c r="C196" t="s">
        <v>765</v>
      </c>
      <c r="D196" t="s">
        <v>395</v>
      </c>
      <c r="E196" t="s">
        <v>766</v>
      </c>
    </row>
    <row r="197" spans="1:5" x14ac:dyDescent="0.3">
      <c r="A197" t="s">
        <v>756</v>
      </c>
      <c r="B197" t="s">
        <v>767</v>
      </c>
      <c r="C197" t="s">
        <v>767</v>
      </c>
      <c r="D197" t="s">
        <v>395</v>
      </c>
      <c r="E197" t="s">
        <v>768</v>
      </c>
    </row>
    <row r="198" spans="1:5" x14ac:dyDescent="0.3">
      <c r="A198" t="s">
        <v>756</v>
      </c>
      <c r="B198" t="s">
        <v>769</v>
      </c>
      <c r="C198" t="s">
        <v>769</v>
      </c>
      <c r="D198" t="s">
        <v>395</v>
      </c>
      <c r="E198" t="s">
        <v>770</v>
      </c>
    </row>
    <row r="199" spans="1:5" x14ac:dyDescent="0.3">
      <c r="A199" t="s">
        <v>756</v>
      </c>
      <c r="B199" t="s">
        <v>771</v>
      </c>
      <c r="C199" t="s">
        <v>771</v>
      </c>
      <c r="D199" t="s">
        <v>395</v>
      </c>
      <c r="E199" t="s">
        <v>772</v>
      </c>
    </row>
    <row r="200" spans="1:5" x14ac:dyDescent="0.3">
      <c r="A200" t="s">
        <v>756</v>
      </c>
      <c r="B200" t="s">
        <v>773</v>
      </c>
      <c r="C200" t="s">
        <v>773</v>
      </c>
      <c r="D200" t="s">
        <v>34</v>
      </c>
      <c r="E200" t="s">
        <v>774</v>
      </c>
    </row>
    <row r="201" spans="1:5" x14ac:dyDescent="0.3">
      <c r="A201" t="s">
        <v>756</v>
      </c>
      <c r="B201" t="s">
        <v>775</v>
      </c>
      <c r="C201" t="s">
        <v>775</v>
      </c>
      <c r="D201" t="s">
        <v>34</v>
      </c>
      <c r="E201" t="s">
        <v>776</v>
      </c>
    </row>
    <row r="202" spans="1:5" x14ac:dyDescent="0.3">
      <c r="A202" t="s">
        <v>756</v>
      </c>
      <c r="B202" t="s">
        <v>777</v>
      </c>
      <c r="C202" t="s">
        <v>777</v>
      </c>
      <c r="D202" t="s">
        <v>34</v>
      </c>
      <c r="E202" t="s">
        <v>778</v>
      </c>
    </row>
    <row r="203" spans="1:5" x14ac:dyDescent="0.3">
      <c r="A203" t="s">
        <v>756</v>
      </c>
      <c r="B203" t="s">
        <v>560</v>
      </c>
      <c r="C203" t="s">
        <v>560</v>
      </c>
      <c r="D203" t="s">
        <v>34</v>
      </c>
      <c r="E203" t="s">
        <v>779</v>
      </c>
    </row>
    <row r="204" spans="1:5" x14ac:dyDescent="0.3">
      <c r="A204" t="s">
        <v>780</v>
      </c>
      <c r="B204" t="s">
        <v>757</v>
      </c>
      <c r="C204" t="s">
        <v>757</v>
      </c>
      <c r="D204" t="s">
        <v>389</v>
      </c>
      <c r="E204" t="s">
        <v>781</v>
      </c>
    </row>
    <row r="205" spans="1:5" x14ac:dyDescent="0.3">
      <c r="A205" t="s">
        <v>780</v>
      </c>
      <c r="B205" t="s">
        <v>759</v>
      </c>
      <c r="C205" t="s">
        <v>759</v>
      </c>
      <c r="D205" t="s">
        <v>391</v>
      </c>
      <c r="E205" t="s">
        <v>782</v>
      </c>
    </row>
    <row r="206" spans="1:5" x14ac:dyDescent="0.3">
      <c r="A206" t="s">
        <v>780</v>
      </c>
      <c r="B206" t="s">
        <v>761</v>
      </c>
      <c r="C206" t="s">
        <v>761</v>
      </c>
      <c r="D206" t="s">
        <v>393</v>
      </c>
      <c r="E206" t="s">
        <v>783</v>
      </c>
    </row>
    <row r="207" spans="1:5" x14ac:dyDescent="0.3">
      <c r="A207" t="s">
        <v>780</v>
      </c>
      <c r="B207" t="s">
        <v>763</v>
      </c>
      <c r="C207" t="s">
        <v>763</v>
      </c>
      <c r="D207" t="s">
        <v>395</v>
      </c>
      <c r="E207" t="s">
        <v>784</v>
      </c>
    </row>
    <row r="208" spans="1:5" x14ac:dyDescent="0.3">
      <c r="A208" t="s">
        <v>780</v>
      </c>
      <c r="B208" t="s">
        <v>765</v>
      </c>
      <c r="C208" t="s">
        <v>765</v>
      </c>
      <c r="D208" t="s">
        <v>395</v>
      </c>
      <c r="E208" t="s">
        <v>785</v>
      </c>
    </row>
    <row r="209" spans="1:5" x14ac:dyDescent="0.3">
      <c r="A209" t="s">
        <v>780</v>
      </c>
      <c r="B209" t="s">
        <v>767</v>
      </c>
      <c r="C209" t="s">
        <v>767</v>
      </c>
      <c r="D209" t="s">
        <v>395</v>
      </c>
      <c r="E209" t="s">
        <v>786</v>
      </c>
    </row>
    <row r="210" spans="1:5" x14ac:dyDescent="0.3">
      <c r="A210" t="s">
        <v>780</v>
      </c>
      <c r="B210" t="s">
        <v>769</v>
      </c>
      <c r="C210" t="s">
        <v>769</v>
      </c>
      <c r="D210" t="s">
        <v>395</v>
      </c>
      <c r="E210" t="s">
        <v>787</v>
      </c>
    </row>
    <row r="211" spans="1:5" x14ac:dyDescent="0.3">
      <c r="A211" t="s">
        <v>780</v>
      </c>
      <c r="B211" t="s">
        <v>771</v>
      </c>
      <c r="C211" t="s">
        <v>771</v>
      </c>
      <c r="D211" t="s">
        <v>395</v>
      </c>
      <c r="E211" t="s">
        <v>788</v>
      </c>
    </row>
    <row r="212" spans="1:5" x14ac:dyDescent="0.3">
      <c r="A212" t="s">
        <v>780</v>
      </c>
      <c r="B212" t="s">
        <v>773</v>
      </c>
      <c r="C212" t="s">
        <v>773</v>
      </c>
      <c r="D212" t="s">
        <v>34</v>
      </c>
      <c r="E212" t="s">
        <v>789</v>
      </c>
    </row>
    <row r="213" spans="1:5" x14ac:dyDescent="0.3">
      <c r="A213" t="s">
        <v>780</v>
      </c>
      <c r="B213" t="s">
        <v>775</v>
      </c>
      <c r="C213" t="s">
        <v>775</v>
      </c>
      <c r="D213" t="s">
        <v>34</v>
      </c>
      <c r="E213" t="s">
        <v>790</v>
      </c>
    </row>
    <row r="214" spans="1:5" x14ac:dyDescent="0.3">
      <c r="A214" t="s">
        <v>780</v>
      </c>
      <c r="B214" t="s">
        <v>777</v>
      </c>
      <c r="C214" t="s">
        <v>777</v>
      </c>
      <c r="D214" t="s">
        <v>34</v>
      </c>
      <c r="E214" t="s">
        <v>791</v>
      </c>
    </row>
    <row r="215" spans="1:5" x14ac:dyDescent="0.3">
      <c r="A215" t="s">
        <v>780</v>
      </c>
      <c r="B215" t="s">
        <v>560</v>
      </c>
      <c r="C215" t="s">
        <v>560</v>
      </c>
      <c r="D215" t="s">
        <v>34</v>
      </c>
      <c r="E215" t="s">
        <v>792</v>
      </c>
    </row>
    <row r="216" spans="1:5" x14ac:dyDescent="0.3">
      <c r="A216" t="s">
        <v>780</v>
      </c>
      <c r="B216" t="s">
        <v>570</v>
      </c>
      <c r="C216" t="s">
        <v>570</v>
      </c>
      <c r="E216" t="s">
        <v>793</v>
      </c>
    </row>
    <row r="217" spans="1:5" x14ac:dyDescent="0.3">
      <c r="A217" t="s">
        <v>794</v>
      </c>
      <c r="B217" t="s">
        <v>757</v>
      </c>
      <c r="C217" t="s">
        <v>757</v>
      </c>
      <c r="D217" t="s">
        <v>389</v>
      </c>
      <c r="E217" t="s">
        <v>795</v>
      </c>
    </row>
    <row r="218" spans="1:5" x14ac:dyDescent="0.3">
      <c r="A218" t="s">
        <v>794</v>
      </c>
      <c r="B218" t="s">
        <v>759</v>
      </c>
      <c r="C218" t="s">
        <v>759</v>
      </c>
      <c r="D218" t="s">
        <v>389</v>
      </c>
      <c r="E218" t="s">
        <v>796</v>
      </c>
    </row>
    <row r="219" spans="1:5" x14ac:dyDescent="0.3">
      <c r="A219" t="s">
        <v>794</v>
      </c>
      <c r="B219" t="s">
        <v>761</v>
      </c>
      <c r="C219" t="s">
        <v>761</v>
      </c>
      <c r="D219" t="s">
        <v>389</v>
      </c>
      <c r="E219" t="s">
        <v>797</v>
      </c>
    </row>
    <row r="220" spans="1:5" x14ac:dyDescent="0.3">
      <c r="A220" t="s">
        <v>794</v>
      </c>
      <c r="B220" t="s">
        <v>763</v>
      </c>
      <c r="C220" t="s">
        <v>763</v>
      </c>
      <c r="D220" t="s">
        <v>391</v>
      </c>
      <c r="E220" t="s">
        <v>798</v>
      </c>
    </row>
    <row r="221" spans="1:5" x14ac:dyDescent="0.3">
      <c r="A221" t="s">
        <v>794</v>
      </c>
      <c r="B221" t="s">
        <v>765</v>
      </c>
      <c r="C221" t="s">
        <v>765</v>
      </c>
      <c r="D221" t="s">
        <v>393</v>
      </c>
      <c r="E221" t="s">
        <v>799</v>
      </c>
    </row>
    <row r="222" spans="1:5" x14ac:dyDescent="0.3">
      <c r="A222" t="s">
        <v>794</v>
      </c>
      <c r="B222" t="s">
        <v>767</v>
      </c>
      <c r="C222" t="s">
        <v>767</v>
      </c>
      <c r="D222" t="s">
        <v>395</v>
      </c>
      <c r="E222" t="s">
        <v>800</v>
      </c>
    </row>
    <row r="223" spans="1:5" x14ac:dyDescent="0.3">
      <c r="A223" t="s">
        <v>794</v>
      </c>
      <c r="B223" t="s">
        <v>769</v>
      </c>
      <c r="C223" t="s">
        <v>769</v>
      </c>
      <c r="D223" t="s">
        <v>34</v>
      </c>
      <c r="E223" t="s">
        <v>801</v>
      </c>
    </row>
    <row r="224" spans="1:5" x14ac:dyDescent="0.3">
      <c r="A224" t="s">
        <v>794</v>
      </c>
      <c r="B224" t="s">
        <v>771</v>
      </c>
      <c r="C224" t="s">
        <v>771</v>
      </c>
      <c r="D224" t="s">
        <v>34</v>
      </c>
      <c r="E224" t="s">
        <v>802</v>
      </c>
    </row>
    <row r="225" spans="1:5" x14ac:dyDescent="0.3">
      <c r="A225" t="s">
        <v>794</v>
      </c>
      <c r="B225" t="s">
        <v>773</v>
      </c>
      <c r="C225" t="s">
        <v>773</v>
      </c>
      <c r="D225" t="s">
        <v>34</v>
      </c>
      <c r="E225" t="s">
        <v>803</v>
      </c>
    </row>
    <row r="226" spans="1:5" x14ac:dyDescent="0.3">
      <c r="A226" t="s">
        <v>794</v>
      </c>
      <c r="B226" t="s">
        <v>775</v>
      </c>
      <c r="C226" t="s">
        <v>775</v>
      </c>
      <c r="D226" t="s">
        <v>34</v>
      </c>
      <c r="E226" t="s">
        <v>804</v>
      </c>
    </row>
    <row r="227" spans="1:5" x14ac:dyDescent="0.3">
      <c r="A227" t="s">
        <v>794</v>
      </c>
      <c r="B227" t="s">
        <v>777</v>
      </c>
      <c r="C227" t="s">
        <v>777</v>
      </c>
      <c r="D227" t="s">
        <v>34</v>
      </c>
      <c r="E227" t="s">
        <v>805</v>
      </c>
    </row>
    <row r="228" spans="1:5" x14ac:dyDescent="0.3">
      <c r="A228" t="s">
        <v>794</v>
      </c>
      <c r="B228" t="s">
        <v>560</v>
      </c>
      <c r="C228" t="s">
        <v>560</v>
      </c>
      <c r="D228" t="s">
        <v>34</v>
      </c>
      <c r="E228" t="s">
        <v>806</v>
      </c>
    </row>
    <row r="229" spans="1:5" x14ac:dyDescent="0.3">
      <c r="A229" t="s">
        <v>794</v>
      </c>
      <c r="B229" t="s">
        <v>570</v>
      </c>
      <c r="C229" t="s">
        <v>570</v>
      </c>
      <c r="E229" t="s">
        <v>807</v>
      </c>
    </row>
    <row r="230" spans="1:5" x14ac:dyDescent="0.3">
      <c r="A230" t="s">
        <v>808</v>
      </c>
      <c r="B230" t="s">
        <v>757</v>
      </c>
      <c r="C230" t="s">
        <v>757</v>
      </c>
      <c r="D230" t="s">
        <v>389</v>
      </c>
      <c r="E230" t="s">
        <v>809</v>
      </c>
    </row>
    <row r="231" spans="1:5" x14ac:dyDescent="0.3">
      <c r="A231" t="s">
        <v>808</v>
      </c>
      <c r="B231" t="s">
        <v>759</v>
      </c>
      <c r="C231" t="s">
        <v>759</v>
      </c>
      <c r="D231" t="s">
        <v>389</v>
      </c>
      <c r="E231" t="s">
        <v>810</v>
      </c>
    </row>
    <row r="232" spans="1:5" x14ac:dyDescent="0.3">
      <c r="A232" t="s">
        <v>808</v>
      </c>
      <c r="B232" t="s">
        <v>761</v>
      </c>
      <c r="C232" t="s">
        <v>761</v>
      </c>
      <c r="D232" t="s">
        <v>389</v>
      </c>
      <c r="E232" t="s">
        <v>811</v>
      </c>
    </row>
    <row r="233" spans="1:5" x14ac:dyDescent="0.3">
      <c r="A233" t="s">
        <v>808</v>
      </c>
      <c r="B233" t="s">
        <v>763</v>
      </c>
      <c r="C233" t="s">
        <v>763</v>
      </c>
      <c r="D233" t="s">
        <v>389</v>
      </c>
      <c r="E233" t="s">
        <v>812</v>
      </c>
    </row>
    <row r="234" spans="1:5" x14ac:dyDescent="0.3">
      <c r="A234" t="s">
        <v>808</v>
      </c>
      <c r="B234" t="s">
        <v>765</v>
      </c>
      <c r="C234" t="s">
        <v>765</v>
      </c>
      <c r="D234" t="s">
        <v>389</v>
      </c>
      <c r="E234" t="s">
        <v>813</v>
      </c>
    </row>
    <row r="235" spans="1:5" x14ac:dyDescent="0.3">
      <c r="A235" t="s">
        <v>808</v>
      </c>
      <c r="B235" t="s">
        <v>767</v>
      </c>
      <c r="C235" t="s">
        <v>767</v>
      </c>
      <c r="D235" t="s">
        <v>391</v>
      </c>
      <c r="E235" t="s">
        <v>814</v>
      </c>
    </row>
    <row r="236" spans="1:5" x14ac:dyDescent="0.3">
      <c r="A236" t="s">
        <v>808</v>
      </c>
      <c r="B236" t="s">
        <v>769</v>
      </c>
      <c r="C236" t="s">
        <v>769</v>
      </c>
      <c r="D236" t="s">
        <v>393</v>
      </c>
      <c r="E236" t="s">
        <v>815</v>
      </c>
    </row>
    <row r="237" spans="1:5" x14ac:dyDescent="0.3">
      <c r="A237" t="s">
        <v>808</v>
      </c>
      <c r="B237" t="s">
        <v>771</v>
      </c>
      <c r="C237" t="s">
        <v>771</v>
      </c>
      <c r="D237" t="s">
        <v>395</v>
      </c>
      <c r="E237" t="s">
        <v>816</v>
      </c>
    </row>
    <row r="238" spans="1:5" x14ac:dyDescent="0.3">
      <c r="A238" t="s">
        <v>808</v>
      </c>
      <c r="B238" t="s">
        <v>773</v>
      </c>
      <c r="C238" t="s">
        <v>773</v>
      </c>
      <c r="D238" t="s">
        <v>34</v>
      </c>
      <c r="E238" t="s">
        <v>817</v>
      </c>
    </row>
    <row r="239" spans="1:5" x14ac:dyDescent="0.3">
      <c r="A239" t="s">
        <v>808</v>
      </c>
      <c r="B239" t="s">
        <v>775</v>
      </c>
      <c r="C239" t="s">
        <v>775</v>
      </c>
      <c r="D239" t="s">
        <v>34</v>
      </c>
      <c r="E239" t="s">
        <v>818</v>
      </c>
    </row>
    <row r="240" spans="1:5" x14ac:dyDescent="0.3">
      <c r="A240" t="s">
        <v>808</v>
      </c>
      <c r="B240" t="s">
        <v>777</v>
      </c>
      <c r="C240" t="s">
        <v>777</v>
      </c>
      <c r="D240" t="s">
        <v>34</v>
      </c>
      <c r="E240" t="s">
        <v>819</v>
      </c>
    </row>
    <row r="241" spans="1:5" x14ac:dyDescent="0.3">
      <c r="A241" t="s">
        <v>808</v>
      </c>
      <c r="B241" t="s">
        <v>560</v>
      </c>
      <c r="C241" t="s">
        <v>560</v>
      </c>
      <c r="D241" t="s">
        <v>34</v>
      </c>
      <c r="E241" t="s">
        <v>820</v>
      </c>
    </row>
    <row r="242" spans="1:5" x14ac:dyDescent="0.3">
      <c r="A242" t="s">
        <v>808</v>
      </c>
      <c r="B242" t="s">
        <v>570</v>
      </c>
      <c r="C242" t="s">
        <v>570</v>
      </c>
      <c r="E242" t="s">
        <v>821</v>
      </c>
    </row>
    <row r="243" spans="1:5" x14ac:dyDescent="0.3">
      <c r="A243" t="s">
        <v>56</v>
      </c>
      <c r="B243" t="s">
        <v>822</v>
      </c>
      <c r="C243" t="s">
        <v>822</v>
      </c>
      <c r="D243" t="s">
        <v>389</v>
      </c>
      <c r="E243" t="s">
        <v>823</v>
      </c>
    </row>
    <row r="244" spans="1:5" x14ac:dyDescent="0.3">
      <c r="A244" t="s">
        <v>56</v>
      </c>
      <c r="B244" t="s">
        <v>824</v>
      </c>
      <c r="C244" t="s">
        <v>824</v>
      </c>
      <c r="D244" t="s">
        <v>391</v>
      </c>
      <c r="E244" t="s">
        <v>825</v>
      </c>
    </row>
    <row r="245" spans="1:5" x14ac:dyDescent="0.3">
      <c r="A245" t="s">
        <v>56</v>
      </c>
      <c r="B245" t="s">
        <v>826</v>
      </c>
      <c r="C245" t="s">
        <v>826</v>
      </c>
      <c r="D245" t="s">
        <v>393</v>
      </c>
      <c r="E245" t="s">
        <v>827</v>
      </c>
    </row>
    <row r="246" spans="1:5" x14ac:dyDescent="0.3">
      <c r="A246" t="s">
        <v>56</v>
      </c>
      <c r="B246" t="s">
        <v>828</v>
      </c>
      <c r="C246" t="s">
        <v>828</v>
      </c>
      <c r="D246" t="s">
        <v>395</v>
      </c>
      <c r="E246" t="s">
        <v>829</v>
      </c>
    </row>
    <row r="247" spans="1:5" x14ac:dyDescent="0.3">
      <c r="A247" t="s">
        <v>56</v>
      </c>
      <c r="B247" t="s">
        <v>830</v>
      </c>
      <c r="C247" t="s">
        <v>830</v>
      </c>
      <c r="D247" t="s">
        <v>397</v>
      </c>
      <c r="E247" t="s">
        <v>831</v>
      </c>
    </row>
    <row r="248" spans="1:5" x14ac:dyDescent="0.3">
      <c r="A248" t="s">
        <v>832</v>
      </c>
      <c r="B248" t="s">
        <v>833</v>
      </c>
      <c r="C248" t="s">
        <v>833</v>
      </c>
      <c r="D248" t="s">
        <v>389</v>
      </c>
      <c r="E248" t="s">
        <v>834</v>
      </c>
    </row>
    <row r="249" spans="1:5" x14ac:dyDescent="0.3">
      <c r="A249" t="s">
        <v>832</v>
      </c>
      <c r="B249" t="s">
        <v>835</v>
      </c>
      <c r="C249" t="s">
        <v>835</v>
      </c>
      <c r="D249" t="s">
        <v>393</v>
      </c>
      <c r="E249" t="s">
        <v>836</v>
      </c>
    </row>
    <row r="250" spans="1:5" x14ac:dyDescent="0.3">
      <c r="A250" t="s">
        <v>832</v>
      </c>
      <c r="B250" t="s">
        <v>837</v>
      </c>
      <c r="C250" t="s">
        <v>837</v>
      </c>
      <c r="D250" t="s">
        <v>397</v>
      </c>
      <c r="E250" t="s">
        <v>838</v>
      </c>
    </row>
  </sheetData>
  <sheetProtection sheet="1"/>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70"/>
  <sheetViews>
    <sheetView workbookViewId="0"/>
  </sheetViews>
  <sheetFormatPr defaultRowHeight="14.4" x14ac:dyDescent="0.3"/>
  <sheetData>
    <row r="1" spans="1:2" x14ac:dyDescent="0.3">
      <c r="A1" t="s">
        <v>839</v>
      </c>
      <c r="B1" t="s">
        <v>840</v>
      </c>
    </row>
    <row r="2" spans="1:2" x14ac:dyDescent="0.3">
      <c r="A2" t="s">
        <v>311</v>
      </c>
      <c r="B2">
        <v>1</v>
      </c>
    </row>
    <row r="3" spans="1:2" x14ac:dyDescent="0.3">
      <c r="A3" t="s">
        <v>335</v>
      </c>
      <c r="B3">
        <v>1</v>
      </c>
    </row>
    <row r="4" spans="1:2" x14ac:dyDescent="0.3">
      <c r="A4" t="s">
        <v>36</v>
      </c>
      <c r="B4">
        <v>1</v>
      </c>
    </row>
    <row r="5" spans="1:2" x14ac:dyDescent="0.3">
      <c r="A5" t="s">
        <v>77</v>
      </c>
      <c r="B5">
        <v>1</v>
      </c>
    </row>
    <row r="6" spans="1:2" x14ac:dyDescent="0.3">
      <c r="A6" t="s">
        <v>93</v>
      </c>
      <c r="B6">
        <v>1</v>
      </c>
    </row>
    <row r="7" spans="1:2" x14ac:dyDescent="0.3">
      <c r="A7" t="s">
        <v>138</v>
      </c>
      <c r="B7">
        <v>0.38461538499999998</v>
      </c>
    </row>
    <row r="8" spans="1:2" x14ac:dyDescent="0.3">
      <c r="A8" t="s">
        <v>157</v>
      </c>
      <c r="B8">
        <v>0.46153846199999998</v>
      </c>
    </row>
    <row r="9" spans="1:2" x14ac:dyDescent="0.3">
      <c r="A9" t="s">
        <v>174</v>
      </c>
      <c r="B9">
        <v>0.15384615400000001</v>
      </c>
    </row>
    <row r="10" spans="1:2" x14ac:dyDescent="0.3">
      <c r="A10" t="s">
        <v>183</v>
      </c>
      <c r="B10">
        <v>1</v>
      </c>
    </row>
    <row r="11" spans="1:2" x14ac:dyDescent="0.3">
      <c r="A11" t="s">
        <v>194</v>
      </c>
      <c r="B11">
        <v>1</v>
      </c>
    </row>
    <row r="12" spans="1:2" x14ac:dyDescent="0.3">
      <c r="A12" t="s">
        <v>252</v>
      </c>
      <c r="B12">
        <v>1</v>
      </c>
    </row>
    <row r="13" spans="1:2" x14ac:dyDescent="0.3">
      <c r="A13" t="s">
        <v>266</v>
      </c>
      <c r="B13">
        <v>1</v>
      </c>
    </row>
    <row r="14" spans="1:2" x14ac:dyDescent="0.3">
      <c r="A14" t="s">
        <v>276</v>
      </c>
      <c r="B14">
        <v>1</v>
      </c>
    </row>
    <row r="15" spans="1:2" x14ac:dyDescent="0.3">
      <c r="A15" t="s">
        <v>841</v>
      </c>
      <c r="B15">
        <v>1</v>
      </c>
    </row>
    <row r="16" spans="1:2" x14ac:dyDescent="0.3">
      <c r="A16" t="s">
        <v>842</v>
      </c>
      <c r="B16">
        <v>0.25</v>
      </c>
    </row>
    <row r="17" spans="1:2" x14ac:dyDescent="0.3">
      <c r="A17" t="s">
        <v>843</v>
      </c>
      <c r="B17">
        <v>0.25</v>
      </c>
    </row>
    <row r="18" spans="1:2" x14ac:dyDescent="0.3">
      <c r="A18" t="s">
        <v>844</v>
      </c>
      <c r="B18">
        <v>0.25</v>
      </c>
    </row>
    <row r="19" spans="1:2" x14ac:dyDescent="0.3">
      <c r="A19" t="s">
        <v>845</v>
      </c>
      <c r="B19">
        <v>0.25</v>
      </c>
    </row>
    <row r="20" spans="1:2" x14ac:dyDescent="0.3">
      <c r="A20" t="s">
        <v>846</v>
      </c>
      <c r="B20">
        <v>1</v>
      </c>
    </row>
    <row r="21" spans="1:2" x14ac:dyDescent="0.3">
      <c r="A21" t="s">
        <v>847</v>
      </c>
      <c r="B21">
        <v>0.25</v>
      </c>
    </row>
    <row r="22" spans="1:2" x14ac:dyDescent="0.3">
      <c r="A22" t="s">
        <v>848</v>
      </c>
      <c r="B22">
        <v>0.25</v>
      </c>
    </row>
    <row r="23" spans="1:2" x14ac:dyDescent="0.3">
      <c r="A23" t="s">
        <v>849</v>
      </c>
      <c r="B23">
        <v>0.3</v>
      </c>
    </row>
    <row r="24" spans="1:2" x14ac:dyDescent="0.3">
      <c r="A24" t="s">
        <v>850</v>
      </c>
      <c r="B24">
        <v>0.2</v>
      </c>
    </row>
    <row r="25" spans="1:2" x14ac:dyDescent="0.3">
      <c r="A25" t="s">
        <v>851</v>
      </c>
      <c r="B25">
        <v>0.5</v>
      </c>
    </row>
    <row r="26" spans="1:2" x14ac:dyDescent="0.3">
      <c r="A26" t="s">
        <v>852</v>
      </c>
      <c r="B26">
        <v>0.5</v>
      </c>
    </row>
    <row r="27" spans="1:2" x14ac:dyDescent="0.3">
      <c r="A27" t="s">
        <v>853</v>
      </c>
      <c r="B27">
        <v>1</v>
      </c>
    </row>
    <row r="28" spans="1:2" x14ac:dyDescent="0.3">
      <c r="A28" t="s">
        <v>854</v>
      </c>
      <c r="B28">
        <v>1</v>
      </c>
    </row>
    <row r="29" spans="1:2" x14ac:dyDescent="0.3">
      <c r="A29" t="s">
        <v>855</v>
      </c>
      <c r="B29">
        <v>0.2</v>
      </c>
    </row>
    <row r="30" spans="1:2" x14ac:dyDescent="0.3">
      <c r="A30" t="s">
        <v>856</v>
      </c>
      <c r="B30">
        <v>0.15</v>
      </c>
    </row>
    <row r="31" spans="1:2" x14ac:dyDescent="0.3">
      <c r="A31" t="s">
        <v>857</v>
      </c>
      <c r="B31">
        <v>0.15</v>
      </c>
    </row>
    <row r="32" spans="1:2" x14ac:dyDescent="0.3">
      <c r="A32" t="s">
        <v>858</v>
      </c>
      <c r="B32">
        <v>0.1</v>
      </c>
    </row>
    <row r="33" spans="1:2" x14ac:dyDescent="0.3">
      <c r="A33" t="s">
        <v>859</v>
      </c>
      <c r="B33">
        <v>0.15</v>
      </c>
    </row>
    <row r="34" spans="1:2" x14ac:dyDescent="0.3">
      <c r="A34" t="s">
        <v>860</v>
      </c>
      <c r="B34">
        <v>0.1</v>
      </c>
    </row>
    <row r="35" spans="1:2" x14ac:dyDescent="0.3">
      <c r="A35" t="s">
        <v>861</v>
      </c>
      <c r="B35">
        <v>0.1</v>
      </c>
    </row>
    <row r="36" spans="1:2" x14ac:dyDescent="0.3">
      <c r="A36" t="s">
        <v>862</v>
      </c>
      <c r="B36">
        <v>0.05</v>
      </c>
    </row>
    <row r="37" spans="1:2" x14ac:dyDescent="0.3">
      <c r="A37" t="s">
        <v>863</v>
      </c>
      <c r="B37">
        <v>0.11119999999999999</v>
      </c>
    </row>
    <row r="38" spans="1:2" x14ac:dyDescent="0.3">
      <c r="A38" t="s">
        <v>864</v>
      </c>
      <c r="B38">
        <v>0.1111</v>
      </c>
    </row>
    <row r="39" spans="1:2" x14ac:dyDescent="0.3">
      <c r="A39" t="s">
        <v>865</v>
      </c>
      <c r="B39">
        <v>0.1111</v>
      </c>
    </row>
    <row r="40" spans="1:2" x14ac:dyDescent="0.3">
      <c r="A40" t="s">
        <v>866</v>
      </c>
      <c r="B40">
        <v>0.1111</v>
      </c>
    </row>
    <row r="41" spans="1:2" x14ac:dyDescent="0.3">
      <c r="A41" t="s">
        <v>867</v>
      </c>
      <c r="B41">
        <v>0.1111</v>
      </c>
    </row>
    <row r="42" spans="1:2" x14ac:dyDescent="0.3">
      <c r="A42" t="s">
        <v>868</v>
      </c>
      <c r="B42">
        <v>0.1111</v>
      </c>
    </row>
    <row r="43" spans="1:2" x14ac:dyDescent="0.3">
      <c r="A43" t="s">
        <v>869</v>
      </c>
      <c r="B43">
        <v>0.1111</v>
      </c>
    </row>
    <row r="44" spans="1:2" x14ac:dyDescent="0.3">
      <c r="A44" t="s">
        <v>870</v>
      </c>
      <c r="B44">
        <v>0.1111</v>
      </c>
    </row>
    <row r="45" spans="1:2" x14ac:dyDescent="0.3">
      <c r="A45" t="s">
        <v>871</v>
      </c>
      <c r="B45">
        <v>0.1111</v>
      </c>
    </row>
    <row r="46" spans="1:2" x14ac:dyDescent="0.3">
      <c r="A46" t="s">
        <v>872</v>
      </c>
      <c r="B46">
        <v>1</v>
      </c>
    </row>
    <row r="47" spans="1:2" x14ac:dyDescent="0.3">
      <c r="A47" t="s">
        <v>873</v>
      </c>
      <c r="B47">
        <v>0.25</v>
      </c>
    </row>
    <row r="48" spans="1:2" x14ac:dyDescent="0.3">
      <c r="A48" t="s">
        <v>874</v>
      </c>
      <c r="B48">
        <v>0.25</v>
      </c>
    </row>
    <row r="49" spans="1:2" x14ac:dyDescent="0.3">
      <c r="A49" t="s">
        <v>875</v>
      </c>
      <c r="B49">
        <v>0.25</v>
      </c>
    </row>
    <row r="50" spans="1:2" x14ac:dyDescent="0.3">
      <c r="A50" t="s">
        <v>876</v>
      </c>
      <c r="B50">
        <v>0.25</v>
      </c>
    </row>
    <row r="51" spans="1:2" x14ac:dyDescent="0.3">
      <c r="A51" t="s">
        <v>877</v>
      </c>
      <c r="B51">
        <v>0.5</v>
      </c>
    </row>
    <row r="52" spans="1:2" x14ac:dyDescent="0.3">
      <c r="A52" t="s">
        <v>878</v>
      </c>
      <c r="B52">
        <v>0.5</v>
      </c>
    </row>
    <row r="53" spans="1:2" x14ac:dyDescent="0.3">
      <c r="A53" t="s">
        <v>879</v>
      </c>
      <c r="B53">
        <v>1</v>
      </c>
    </row>
    <row r="54" spans="1:2" x14ac:dyDescent="0.3">
      <c r="A54" t="s">
        <v>880</v>
      </c>
      <c r="B54">
        <v>0.4</v>
      </c>
    </row>
    <row r="55" spans="1:2" x14ac:dyDescent="0.3">
      <c r="A55" t="s">
        <v>881</v>
      </c>
      <c r="B55">
        <v>0.2</v>
      </c>
    </row>
    <row r="56" spans="1:2" x14ac:dyDescent="0.3">
      <c r="A56" t="s">
        <v>882</v>
      </c>
      <c r="B56">
        <v>0.4</v>
      </c>
    </row>
    <row r="57" spans="1:2" x14ac:dyDescent="0.3">
      <c r="A57" t="s">
        <v>883</v>
      </c>
      <c r="B57">
        <v>1</v>
      </c>
    </row>
    <row r="58" spans="1:2" x14ac:dyDescent="0.3">
      <c r="A58" t="s">
        <v>884</v>
      </c>
      <c r="B58">
        <v>1</v>
      </c>
    </row>
    <row r="59" spans="1:2" x14ac:dyDescent="0.3">
      <c r="A59" t="s">
        <v>885</v>
      </c>
      <c r="B59">
        <v>0.25</v>
      </c>
    </row>
    <row r="60" spans="1:2" x14ac:dyDescent="0.3">
      <c r="A60" t="s">
        <v>886</v>
      </c>
      <c r="B60">
        <v>0.25</v>
      </c>
    </row>
    <row r="61" spans="1:2" x14ac:dyDescent="0.3">
      <c r="A61" t="s">
        <v>887</v>
      </c>
      <c r="B61">
        <v>0.25</v>
      </c>
    </row>
    <row r="62" spans="1:2" x14ac:dyDescent="0.3">
      <c r="A62" t="s">
        <v>888</v>
      </c>
      <c r="B62">
        <v>0.25</v>
      </c>
    </row>
    <row r="63" spans="1:2" x14ac:dyDescent="0.3">
      <c r="A63" t="s">
        <v>889</v>
      </c>
      <c r="B63">
        <v>0.2</v>
      </c>
    </row>
    <row r="64" spans="1:2" x14ac:dyDescent="0.3">
      <c r="A64" t="s">
        <v>890</v>
      </c>
      <c r="B64">
        <v>0.2</v>
      </c>
    </row>
    <row r="65" spans="1:2" x14ac:dyDescent="0.3">
      <c r="A65" t="s">
        <v>891</v>
      </c>
      <c r="B65">
        <v>0.2</v>
      </c>
    </row>
    <row r="66" spans="1:2" x14ac:dyDescent="0.3">
      <c r="A66" t="s">
        <v>892</v>
      </c>
      <c r="B66">
        <v>0.2</v>
      </c>
    </row>
    <row r="67" spans="1:2" x14ac:dyDescent="0.3">
      <c r="A67" t="s">
        <v>893</v>
      </c>
      <c r="B67">
        <v>0.2</v>
      </c>
    </row>
    <row r="68" spans="1:2" x14ac:dyDescent="0.3">
      <c r="A68" t="s">
        <v>894</v>
      </c>
      <c r="B68">
        <v>1</v>
      </c>
    </row>
    <row r="69" spans="1:2" x14ac:dyDescent="0.3">
      <c r="A69" t="s">
        <v>895</v>
      </c>
      <c r="B69">
        <v>0.5</v>
      </c>
    </row>
    <row r="70" spans="1:2" x14ac:dyDescent="0.3">
      <c r="A70" t="s">
        <v>896</v>
      </c>
      <c r="B70">
        <v>0.5</v>
      </c>
    </row>
  </sheetData>
  <sheetProtection sheet="1"/>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32"/>
  <sheetViews>
    <sheetView workbookViewId="0"/>
  </sheetViews>
  <sheetFormatPr defaultRowHeight="14.4" x14ac:dyDescent="0.3"/>
  <sheetData>
    <row r="1" spans="1:3" x14ac:dyDescent="0.3">
      <c r="A1" t="s">
        <v>839</v>
      </c>
      <c r="B1" t="s">
        <v>897</v>
      </c>
      <c r="C1" t="s">
        <v>840</v>
      </c>
    </row>
    <row r="2" spans="1:3" x14ac:dyDescent="0.3">
      <c r="A2" t="s">
        <v>35</v>
      </c>
      <c r="B2" t="s">
        <v>41</v>
      </c>
      <c r="C2">
        <v>0.1</v>
      </c>
    </row>
    <row r="3" spans="1:3" x14ac:dyDescent="0.3">
      <c r="A3" t="s">
        <v>76</v>
      </c>
      <c r="B3" t="s">
        <v>81</v>
      </c>
      <c r="C3">
        <v>0.2</v>
      </c>
    </row>
    <row r="4" spans="1:3" x14ac:dyDescent="0.3">
      <c r="A4" t="s">
        <v>92</v>
      </c>
      <c r="B4" t="s">
        <v>97</v>
      </c>
      <c r="C4">
        <v>0.15</v>
      </c>
    </row>
    <row r="5" spans="1:3" x14ac:dyDescent="0.3">
      <c r="A5" t="s">
        <v>137</v>
      </c>
      <c r="B5" t="s">
        <v>142</v>
      </c>
      <c r="C5">
        <v>0.1</v>
      </c>
    </row>
    <row r="6" spans="1:3" x14ac:dyDescent="0.3">
      <c r="A6" t="s">
        <v>182</v>
      </c>
      <c r="B6" t="s">
        <v>187</v>
      </c>
      <c r="C6">
        <v>0.1</v>
      </c>
    </row>
    <row r="7" spans="1:3" x14ac:dyDescent="0.3">
      <c r="A7" t="s">
        <v>193</v>
      </c>
      <c r="B7" t="s">
        <v>199</v>
      </c>
      <c r="C7">
        <v>0.15</v>
      </c>
    </row>
    <row r="8" spans="1:3" x14ac:dyDescent="0.3">
      <c r="A8" t="s">
        <v>251</v>
      </c>
      <c r="B8" t="s">
        <v>255</v>
      </c>
      <c r="C8">
        <v>0.05</v>
      </c>
    </row>
    <row r="9" spans="1:3" x14ac:dyDescent="0.3">
      <c r="A9" t="s">
        <v>265</v>
      </c>
      <c r="B9" t="s">
        <v>269</v>
      </c>
      <c r="C9">
        <v>0.05</v>
      </c>
    </row>
    <row r="10" spans="1:3" x14ac:dyDescent="0.3">
      <c r="A10" t="s">
        <v>275</v>
      </c>
      <c r="B10" t="s">
        <v>280</v>
      </c>
      <c r="C10">
        <v>0.05</v>
      </c>
    </row>
    <row r="11" spans="1:3" x14ac:dyDescent="0.3">
      <c r="A11" t="s">
        <v>310</v>
      </c>
      <c r="B11" t="s">
        <v>315</v>
      </c>
      <c r="C11">
        <v>2.5000000000000001E-2</v>
      </c>
    </row>
    <row r="12" spans="1:3" x14ac:dyDescent="0.3">
      <c r="A12" t="s">
        <v>334</v>
      </c>
      <c r="B12" t="s">
        <v>333</v>
      </c>
      <c r="C12">
        <v>2.5000000000000001E-2</v>
      </c>
    </row>
    <row r="13" spans="1:3" x14ac:dyDescent="0.3">
      <c r="A13" t="s">
        <v>898</v>
      </c>
      <c r="B13" t="s">
        <v>899</v>
      </c>
      <c r="C13">
        <v>0.6</v>
      </c>
    </row>
    <row r="14" spans="1:3" x14ac:dyDescent="0.3">
      <c r="A14" t="s">
        <v>900</v>
      </c>
      <c r="B14" t="s">
        <v>901</v>
      </c>
      <c r="C14">
        <v>0.3</v>
      </c>
    </row>
    <row r="15" spans="1:3" x14ac:dyDescent="0.3">
      <c r="A15" t="s">
        <v>902</v>
      </c>
      <c r="B15" t="s">
        <v>903</v>
      </c>
      <c r="C15">
        <v>0.1</v>
      </c>
    </row>
    <row r="16" spans="1:3" x14ac:dyDescent="0.3">
      <c r="A16" t="s">
        <v>904</v>
      </c>
      <c r="B16" t="s">
        <v>905</v>
      </c>
      <c r="C16">
        <v>0.15</v>
      </c>
    </row>
    <row r="17" spans="1:3" x14ac:dyDescent="0.3">
      <c r="A17" t="s">
        <v>906</v>
      </c>
      <c r="B17" t="s">
        <v>907</v>
      </c>
      <c r="C17">
        <v>0.1</v>
      </c>
    </row>
    <row r="18" spans="1:3" x14ac:dyDescent="0.3">
      <c r="A18" t="s">
        <v>908</v>
      </c>
      <c r="B18" t="s">
        <v>909</v>
      </c>
      <c r="C18">
        <v>0.1</v>
      </c>
    </row>
    <row r="19" spans="1:3" x14ac:dyDescent="0.3">
      <c r="A19" t="s">
        <v>910</v>
      </c>
      <c r="B19" t="s">
        <v>911</v>
      </c>
      <c r="C19">
        <v>0.15</v>
      </c>
    </row>
    <row r="20" spans="1:3" x14ac:dyDescent="0.3">
      <c r="A20" t="s">
        <v>912</v>
      </c>
      <c r="B20" t="s">
        <v>913</v>
      </c>
      <c r="C20">
        <v>0.5</v>
      </c>
    </row>
    <row r="21" spans="1:3" x14ac:dyDescent="0.3">
      <c r="A21" t="s">
        <v>914</v>
      </c>
      <c r="B21" t="s">
        <v>915</v>
      </c>
      <c r="C21">
        <v>0.4</v>
      </c>
    </row>
    <row r="22" spans="1:3" x14ac:dyDescent="0.3">
      <c r="A22" t="s">
        <v>916</v>
      </c>
      <c r="B22" t="s">
        <v>917</v>
      </c>
      <c r="C22">
        <v>0.05</v>
      </c>
    </row>
    <row r="23" spans="1:3" x14ac:dyDescent="0.3">
      <c r="A23" t="s">
        <v>918</v>
      </c>
      <c r="B23" t="s">
        <v>919</v>
      </c>
      <c r="C23">
        <v>0.1</v>
      </c>
    </row>
    <row r="24" spans="1:3" x14ac:dyDescent="0.3">
      <c r="A24" t="s">
        <v>920</v>
      </c>
      <c r="B24" t="s">
        <v>921</v>
      </c>
      <c r="C24">
        <v>0.1</v>
      </c>
    </row>
    <row r="25" spans="1:3" x14ac:dyDescent="0.3">
      <c r="A25" t="s">
        <v>922</v>
      </c>
      <c r="B25" t="s">
        <v>923</v>
      </c>
      <c r="C25">
        <v>0.05</v>
      </c>
    </row>
    <row r="26" spans="1:3" x14ac:dyDescent="0.3">
      <c r="A26" t="s">
        <v>924</v>
      </c>
      <c r="B26" t="s">
        <v>925</v>
      </c>
      <c r="C26">
        <v>0.3</v>
      </c>
    </row>
    <row r="27" spans="1:3" x14ac:dyDescent="0.3">
      <c r="A27" t="s">
        <v>926</v>
      </c>
      <c r="B27" t="s">
        <v>927</v>
      </c>
      <c r="C27">
        <v>0.3</v>
      </c>
    </row>
    <row r="28" spans="1:3" x14ac:dyDescent="0.3">
      <c r="A28" t="s">
        <v>928</v>
      </c>
      <c r="B28" t="s">
        <v>929</v>
      </c>
      <c r="C28">
        <v>0.3</v>
      </c>
    </row>
    <row r="29" spans="1:3" x14ac:dyDescent="0.3">
      <c r="A29" t="s">
        <v>930</v>
      </c>
      <c r="B29" t="s">
        <v>931</v>
      </c>
      <c r="C29">
        <v>0.05</v>
      </c>
    </row>
    <row r="30" spans="1:3" x14ac:dyDescent="0.3">
      <c r="A30" t="s">
        <v>932</v>
      </c>
      <c r="B30" t="s">
        <v>933</v>
      </c>
      <c r="C30">
        <v>0.1</v>
      </c>
    </row>
    <row r="31" spans="1:3" x14ac:dyDescent="0.3">
      <c r="A31" t="s">
        <v>934</v>
      </c>
      <c r="B31" t="s">
        <v>935</v>
      </c>
      <c r="C31">
        <v>0.2</v>
      </c>
    </row>
    <row r="32" spans="1:3" x14ac:dyDescent="0.3">
      <c r="A32" t="s">
        <v>936</v>
      </c>
      <c r="B32" t="s">
        <v>937</v>
      </c>
      <c r="C32">
        <v>0.05</v>
      </c>
    </row>
  </sheetData>
  <sheetProtection sheet="1"/>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636"/>
  <sheetViews>
    <sheetView workbookViewId="0"/>
  </sheetViews>
  <sheetFormatPr defaultRowHeight="14.4" x14ac:dyDescent="0.3"/>
  <sheetData>
    <row r="1" spans="1:2" x14ac:dyDescent="0.3">
      <c r="A1" t="s">
        <v>20</v>
      </c>
      <c r="B1" t="s">
        <v>938</v>
      </c>
    </row>
    <row r="2" spans="1:2" x14ac:dyDescent="0.3">
      <c r="A2" t="s">
        <v>37</v>
      </c>
      <c r="B2" t="s">
        <v>939</v>
      </c>
    </row>
    <row r="3" spans="1:2" x14ac:dyDescent="0.3">
      <c r="A3" t="s">
        <v>42</v>
      </c>
      <c r="B3" t="s">
        <v>940</v>
      </c>
    </row>
    <row r="4" spans="1:2" x14ac:dyDescent="0.3">
      <c r="A4" t="s">
        <v>44</v>
      </c>
      <c r="B4" t="s">
        <v>941</v>
      </c>
    </row>
    <row r="5" spans="1:2" x14ac:dyDescent="0.3">
      <c r="A5" t="s">
        <v>47</v>
      </c>
      <c r="B5" t="s">
        <v>942</v>
      </c>
    </row>
    <row r="6" spans="1:2" x14ac:dyDescent="0.3">
      <c r="A6" t="s">
        <v>50</v>
      </c>
      <c r="B6" t="s">
        <v>943</v>
      </c>
    </row>
    <row r="7" spans="1:2" x14ac:dyDescent="0.3">
      <c r="A7" t="s">
        <v>53</v>
      </c>
      <c r="B7" t="s">
        <v>944</v>
      </c>
    </row>
    <row r="8" spans="1:2" x14ac:dyDescent="0.3">
      <c r="A8" t="s">
        <v>57</v>
      </c>
      <c r="B8" t="s">
        <v>945</v>
      </c>
    </row>
    <row r="9" spans="1:2" x14ac:dyDescent="0.3">
      <c r="A9" t="s">
        <v>59</v>
      </c>
      <c r="B9" t="s">
        <v>946</v>
      </c>
    </row>
    <row r="10" spans="1:2" x14ac:dyDescent="0.3">
      <c r="A10" t="s">
        <v>61</v>
      </c>
      <c r="B10" t="s">
        <v>947</v>
      </c>
    </row>
    <row r="11" spans="1:2" x14ac:dyDescent="0.3">
      <c r="A11" t="s">
        <v>78</v>
      </c>
      <c r="B11" t="s">
        <v>948</v>
      </c>
    </row>
    <row r="12" spans="1:2" x14ac:dyDescent="0.3">
      <c r="A12" t="s">
        <v>82</v>
      </c>
      <c r="B12" t="s">
        <v>949</v>
      </c>
    </row>
    <row r="13" spans="1:2" x14ac:dyDescent="0.3">
      <c r="A13" t="s">
        <v>85</v>
      </c>
      <c r="B13" t="s">
        <v>950</v>
      </c>
    </row>
    <row r="14" spans="1:2" x14ac:dyDescent="0.3">
      <c r="A14" t="s">
        <v>88</v>
      </c>
      <c r="B14" t="s">
        <v>951</v>
      </c>
    </row>
    <row r="15" spans="1:2" x14ac:dyDescent="0.3">
      <c r="A15" t="s">
        <v>94</v>
      </c>
      <c r="B15" t="s">
        <v>952</v>
      </c>
    </row>
    <row r="16" spans="1:2" x14ac:dyDescent="0.3">
      <c r="A16" t="s">
        <v>98</v>
      </c>
      <c r="B16" t="s">
        <v>953</v>
      </c>
    </row>
    <row r="17" spans="1:2" x14ac:dyDescent="0.3">
      <c r="A17" t="s">
        <v>101</v>
      </c>
      <c r="B17" t="s">
        <v>954</v>
      </c>
    </row>
    <row r="18" spans="1:2" x14ac:dyDescent="0.3">
      <c r="A18" t="s">
        <v>105</v>
      </c>
      <c r="B18" t="s">
        <v>955</v>
      </c>
    </row>
    <row r="19" spans="1:2" x14ac:dyDescent="0.3">
      <c r="A19" t="s">
        <v>108</v>
      </c>
      <c r="B19" t="s">
        <v>956</v>
      </c>
    </row>
    <row r="20" spans="1:2" x14ac:dyDescent="0.3">
      <c r="A20" t="s">
        <v>110</v>
      </c>
      <c r="B20" t="s">
        <v>957</v>
      </c>
    </row>
    <row r="21" spans="1:2" x14ac:dyDescent="0.3">
      <c r="A21" t="s">
        <v>112</v>
      </c>
      <c r="B21" t="s">
        <v>958</v>
      </c>
    </row>
    <row r="22" spans="1:2" x14ac:dyDescent="0.3">
      <c r="A22" t="s">
        <v>114</v>
      </c>
      <c r="B22" t="s">
        <v>959</v>
      </c>
    </row>
    <row r="23" spans="1:2" x14ac:dyDescent="0.3">
      <c r="A23" t="s">
        <v>116</v>
      </c>
      <c r="B23" t="s">
        <v>960</v>
      </c>
    </row>
    <row r="24" spans="1:2" x14ac:dyDescent="0.3">
      <c r="A24" t="s">
        <v>139</v>
      </c>
      <c r="B24" t="s">
        <v>961</v>
      </c>
    </row>
    <row r="25" spans="1:2" x14ac:dyDescent="0.3">
      <c r="A25" t="s">
        <v>143</v>
      </c>
      <c r="B25" t="s">
        <v>962</v>
      </c>
    </row>
    <row r="26" spans="1:2" x14ac:dyDescent="0.3">
      <c r="A26" t="s">
        <v>146</v>
      </c>
      <c r="B26" t="s">
        <v>963</v>
      </c>
    </row>
    <row r="27" spans="1:2" x14ac:dyDescent="0.3">
      <c r="A27" t="s">
        <v>149</v>
      </c>
      <c r="B27" t="s">
        <v>964</v>
      </c>
    </row>
    <row r="28" spans="1:2" x14ac:dyDescent="0.3">
      <c r="A28" t="s">
        <v>152</v>
      </c>
      <c r="B28" t="s">
        <v>965</v>
      </c>
    </row>
    <row r="29" spans="1:2" x14ac:dyDescent="0.3">
      <c r="A29" t="s">
        <v>158</v>
      </c>
      <c r="B29" t="s">
        <v>966</v>
      </c>
    </row>
    <row r="30" spans="1:2" x14ac:dyDescent="0.3">
      <c r="A30" t="s">
        <v>161</v>
      </c>
      <c r="B30" t="s">
        <v>967</v>
      </c>
    </row>
    <row r="31" spans="1:2" x14ac:dyDescent="0.3">
      <c r="A31" t="s">
        <v>163</v>
      </c>
      <c r="B31" t="s">
        <v>968</v>
      </c>
    </row>
    <row r="32" spans="1:2" x14ac:dyDescent="0.3">
      <c r="A32" t="s">
        <v>165</v>
      </c>
      <c r="B32" t="s">
        <v>969</v>
      </c>
    </row>
    <row r="33" spans="1:2" x14ac:dyDescent="0.3">
      <c r="A33" t="s">
        <v>167</v>
      </c>
      <c r="B33" t="s">
        <v>970</v>
      </c>
    </row>
    <row r="34" spans="1:2" x14ac:dyDescent="0.3">
      <c r="A34" t="s">
        <v>169</v>
      </c>
      <c r="B34" t="s">
        <v>971</v>
      </c>
    </row>
    <row r="35" spans="1:2" x14ac:dyDescent="0.3">
      <c r="A35" t="s">
        <v>175</v>
      </c>
      <c r="B35" t="s">
        <v>972</v>
      </c>
    </row>
    <row r="36" spans="1:2" x14ac:dyDescent="0.3">
      <c r="A36" t="s">
        <v>178</v>
      </c>
      <c r="B36" t="s">
        <v>973</v>
      </c>
    </row>
    <row r="37" spans="1:2" x14ac:dyDescent="0.3">
      <c r="A37" t="s">
        <v>184</v>
      </c>
      <c r="B37" t="s">
        <v>974</v>
      </c>
    </row>
    <row r="38" spans="1:2" x14ac:dyDescent="0.3">
      <c r="A38" t="s">
        <v>188</v>
      </c>
      <c r="B38" t="s">
        <v>975</v>
      </c>
    </row>
    <row r="39" spans="1:2" x14ac:dyDescent="0.3">
      <c r="A39" t="s">
        <v>190</v>
      </c>
      <c r="B39" t="s">
        <v>976</v>
      </c>
    </row>
    <row r="40" spans="1:2" x14ac:dyDescent="0.3">
      <c r="A40" t="s">
        <v>195</v>
      </c>
      <c r="B40" t="s">
        <v>977</v>
      </c>
    </row>
    <row r="41" spans="1:2" x14ac:dyDescent="0.3">
      <c r="A41" t="s">
        <v>200</v>
      </c>
      <c r="B41" t="s">
        <v>978</v>
      </c>
    </row>
    <row r="42" spans="1:2" x14ac:dyDescent="0.3">
      <c r="A42" t="s">
        <v>203</v>
      </c>
      <c r="B42" t="s">
        <v>979</v>
      </c>
    </row>
    <row r="43" spans="1:2" x14ac:dyDescent="0.3">
      <c r="A43" t="s">
        <v>205</v>
      </c>
      <c r="B43" t="s">
        <v>980</v>
      </c>
    </row>
    <row r="44" spans="1:2" x14ac:dyDescent="0.3">
      <c r="A44" t="s">
        <v>208</v>
      </c>
      <c r="B44" t="s">
        <v>981</v>
      </c>
    </row>
    <row r="45" spans="1:2" x14ac:dyDescent="0.3">
      <c r="A45" t="s">
        <v>210</v>
      </c>
      <c r="B45" t="s">
        <v>982</v>
      </c>
    </row>
    <row r="46" spans="1:2" x14ac:dyDescent="0.3">
      <c r="A46" t="s">
        <v>212</v>
      </c>
      <c r="B46" t="s">
        <v>983</v>
      </c>
    </row>
    <row r="47" spans="1:2" x14ac:dyDescent="0.3">
      <c r="A47" t="s">
        <v>214</v>
      </c>
      <c r="B47" t="s">
        <v>984</v>
      </c>
    </row>
    <row r="48" spans="1:2" x14ac:dyDescent="0.3">
      <c r="A48" t="s">
        <v>216</v>
      </c>
      <c r="B48" t="s">
        <v>985</v>
      </c>
    </row>
    <row r="49" spans="1:2" x14ac:dyDescent="0.3">
      <c r="A49" t="s">
        <v>253</v>
      </c>
      <c r="B49" t="s">
        <v>986</v>
      </c>
    </row>
    <row r="50" spans="1:2" x14ac:dyDescent="0.3">
      <c r="A50" t="s">
        <v>256</v>
      </c>
      <c r="B50" t="s">
        <v>987</v>
      </c>
    </row>
    <row r="51" spans="1:2" x14ac:dyDescent="0.3">
      <c r="A51" t="s">
        <v>258</v>
      </c>
      <c r="B51" t="s">
        <v>988</v>
      </c>
    </row>
    <row r="52" spans="1:2" x14ac:dyDescent="0.3">
      <c r="A52" t="s">
        <v>260</v>
      </c>
      <c r="B52" t="s">
        <v>989</v>
      </c>
    </row>
    <row r="53" spans="1:2" x14ac:dyDescent="0.3">
      <c r="A53" t="s">
        <v>262</v>
      </c>
      <c r="B53" t="s">
        <v>990</v>
      </c>
    </row>
    <row r="54" spans="1:2" x14ac:dyDescent="0.3">
      <c r="A54" t="s">
        <v>267</v>
      </c>
      <c r="B54" t="s">
        <v>991</v>
      </c>
    </row>
    <row r="55" spans="1:2" x14ac:dyDescent="0.3">
      <c r="A55" t="s">
        <v>270</v>
      </c>
      <c r="B55" t="s">
        <v>992</v>
      </c>
    </row>
    <row r="56" spans="1:2" x14ac:dyDescent="0.3">
      <c r="A56" t="s">
        <v>272</v>
      </c>
      <c r="B56" t="s">
        <v>993</v>
      </c>
    </row>
    <row r="57" spans="1:2" x14ac:dyDescent="0.3">
      <c r="A57" t="s">
        <v>277</v>
      </c>
      <c r="B57" t="s">
        <v>994</v>
      </c>
    </row>
    <row r="58" spans="1:2" x14ac:dyDescent="0.3">
      <c r="A58" t="s">
        <v>281</v>
      </c>
      <c r="B58" t="s">
        <v>995</v>
      </c>
    </row>
    <row r="59" spans="1:2" x14ac:dyDescent="0.3">
      <c r="A59" t="s">
        <v>283</v>
      </c>
      <c r="B59" t="s">
        <v>996</v>
      </c>
    </row>
    <row r="60" spans="1:2" x14ac:dyDescent="0.3">
      <c r="A60" t="s">
        <v>285</v>
      </c>
      <c r="B60" t="s">
        <v>997</v>
      </c>
    </row>
    <row r="61" spans="1:2" x14ac:dyDescent="0.3">
      <c r="A61" t="s">
        <v>287</v>
      </c>
      <c r="B61" t="s">
        <v>998</v>
      </c>
    </row>
    <row r="62" spans="1:2" x14ac:dyDescent="0.3">
      <c r="A62" t="s">
        <v>289</v>
      </c>
      <c r="B62" t="s">
        <v>999</v>
      </c>
    </row>
    <row r="63" spans="1:2" x14ac:dyDescent="0.3">
      <c r="A63" t="s">
        <v>291</v>
      </c>
      <c r="B63" t="s">
        <v>1000</v>
      </c>
    </row>
    <row r="64" spans="1:2" x14ac:dyDescent="0.3">
      <c r="A64" t="s">
        <v>293</v>
      </c>
      <c r="B64" t="s">
        <v>1001</v>
      </c>
    </row>
    <row r="65" spans="1:2" x14ac:dyDescent="0.3">
      <c r="A65" t="s">
        <v>295</v>
      </c>
      <c r="B65" t="s">
        <v>1002</v>
      </c>
    </row>
    <row r="66" spans="1:2" x14ac:dyDescent="0.3">
      <c r="A66" t="s">
        <v>1003</v>
      </c>
      <c r="B66" t="s">
        <v>1004</v>
      </c>
    </row>
    <row r="67" spans="1:2" x14ac:dyDescent="0.3">
      <c r="A67" t="s">
        <v>1005</v>
      </c>
      <c r="B67" t="s">
        <v>1006</v>
      </c>
    </row>
    <row r="68" spans="1:2" x14ac:dyDescent="0.3">
      <c r="A68" t="s">
        <v>1007</v>
      </c>
      <c r="B68" t="s">
        <v>1008</v>
      </c>
    </row>
    <row r="69" spans="1:2" x14ac:dyDescent="0.3">
      <c r="A69" t="s">
        <v>1009</v>
      </c>
      <c r="B69" t="s">
        <v>1010</v>
      </c>
    </row>
    <row r="70" spans="1:2" x14ac:dyDescent="0.3">
      <c r="A70" t="s">
        <v>1011</v>
      </c>
      <c r="B70" t="s">
        <v>1012</v>
      </c>
    </row>
    <row r="71" spans="1:2" x14ac:dyDescent="0.3">
      <c r="A71" t="s">
        <v>1013</v>
      </c>
      <c r="B71" t="s">
        <v>1014</v>
      </c>
    </row>
    <row r="72" spans="1:2" x14ac:dyDescent="0.3">
      <c r="A72" t="s">
        <v>1015</v>
      </c>
      <c r="B72" t="s">
        <v>1016</v>
      </c>
    </row>
    <row r="73" spans="1:2" x14ac:dyDescent="0.3">
      <c r="A73" t="s">
        <v>1017</v>
      </c>
      <c r="B73" t="s">
        <v>1018</v>
      </c>
    </row>
    <row r="74" spans="1:2" x14ac:dyDescent="0.3">
      <c r="A74" t="s">
        <v>1019</v>
      </c>
      <c r="B74" t="s">
        <v>1020</v>
      </c>
    </row>
    <row r="75" spans="1:2" x14ac:dyDescent="0.3">
      <c r="A75" t="s">
        <v>1021</v>
      </c>
      <c r="B75" t="s">
        <v>1022</v>
      </c>
    </row>
    <row r="76" spans="1:2" x14ac:dyDescent="0.3">
      <c r="A76" t="s">
        <v>1023</v>
      </c>
      <c r="B76" t="s">
        <v>1024</v>
      </c>
    </row>
    <row r="77" spans="1:2" x14ac:dyDescent="0.3">
      <c r="A77" t="s">
        <v>1025</v>
      </c>
      <c r="B77" t="s">
        <v>1026</v>
      </c>
    </row>
    <row r="78" spans="1:2" x14ac:dyDescent="0.3">
      <c r="A78" t="s">
        <v>1027</v>
      </c>
      <c r="B78" t="s">
        <v>1028</v>
      </c>
    </row>
    <row r="79" spans="1:2" x14ac:dyDescent="0.3">
      <c r="A79" t="s">
        <v>1029</v>
      </c>
      <c r="B79" t="s">
        <v>1030</v>
      </c>
    </row>
    <row r="80" spans="1:2" x14ac:dyDescent="0.3">
      <c r="A80" t="s">
        <v>1031</v>
      </c>
      <c r="B80" t="s">
        <v>1032</v>
      </c>
    </row>
    <row r="81" spans="1:2" x14ac:dyDescent="0.3">
      <c r="A81" t="s">
        <v>1033</v>
      </c>
      <c r="B81" t="s">
        <v>1034</v>
      </c>
    </row>
    <row r="82" spans="1:2" x14ac:dyDescent="0.3">
      <c r="A82" t="s">
        <v>1035</v>
      </c>
      <c r="B82" t="s">
        <v>1036</v>
      </c>
    </row>
    <row r="83" spans="1:2" x14ac:dyDescent="0.3">
      <c r="A83" t="s">
        <v>1037</v>
      </c>
      <c r="B83" t="s">
        <v>1038</v>
      </c>
    </row>
    <row r="84" spans="1:2" x14ac:dyDescent="0.3">
      <c r="A84" t="s">
        <v>1039</v>
      </c>
      <c r="B84" t="s">
        <v>1040</v>
      </c>
    </row>
    <row r="85" spans="1:2" x14ac:dyDescent="0.3">
      <c r="A85" t="s">
        <v>1041</v>
      </c>
      <c r="B85" t="s">
        <v>1042</v>
      </c>
    </row>
    <row r="86" spans="1:2" x14ac:dyDescent="0.3">
      <c r="A86" t="s">
        <v>1043</v>
      </c>
      <c r="B86" t="s">
        <v>1044</v>
      </c>
    </row>
    <row r="87" spans="1:2" x14ac:dyDescent="0.3">
      <c r="A87" t="s">
        <v>1045</v>
      </c>
      <c r="B87" t="s">
        <v>1046</v>
      </c>
    </row>
    <row r="88" spans="1:2" x14ac:dyDescent="0.3">
      <c r="A88" t="s">
        <v>1047</v>
      </c>
      <c r="B88" t="s">
        <v>1048</v>
      </c>
    </row>
    <row r="89" spans="1:2" x14ac:dyDescent="0.3">
      <c r="A89" t="s">
        <v>1049</v>
      </c>
      <c r="B89" t="s">
        <v>1050</v>
      </c>
    </row>
    <row r="90" spans="1:2" x14ac:dyDescent="0.3">
      <c r="A90" t="s">
        <v>1051</v>
      </c>
      <c r="B90" t="s">
        <v>1052</v>
      </c>
    </row>
    <row r="91" spans="1:2" x14ac:dyDescent="0.3">
      <c r="A91" t="s">
        <v>1053</v>
      </c>
      <c r="B91" t="s">
        <v>1054</v>
      </c>
    </row>
    <row r="92" spans="1:2" x14ac:dyDescent="0.3">
      <c r="A92" t="s">
        <v>1055</v>
      </c>
      <c r="B92" t="s">
        <v>1056</v>
      </c>
    </row>
    <row r="93" spans="1:2" x14ac:dyDescent="0.3">
      <c r="A93" t="s">
        <v>1057</v>
      </c>
      <c r="B93" t="s">
        <v>1058</v>
      </c>
    </row>
    <row r="94" spans="1:2" x14ac:dyDescent="0.3">
      <c r="A94" t="s">
        <v>1059</v>
      </c>
      <c r="B94" t="s">
        <v>1060</v>
      </c>
    </row>
    <row r="95" spans="1:2" x14ac:dyDescent="0.3">
      <c r="A95" t="s">
        <v>1061</v>
      </c>
      <c r="B95" t="s">
        <v>1062</v>
      </c>
    </row>
    <row r="96" spans="1:2" x14ac:dyDescent="0.3">
      <c r="A96" t="s">
        <v>1063</v>
      </c>
      <c r="B96" t="s">
        <v>1064</v>
      </c>
    </row>
    <row r="97" spans="1:2" x14ac:dyDescent="0.3">
      <c r="A97" t="s">
        <v>1065</v>
      </c>
      <c r="B97" t="s">
        <v>1066</v>
      </c>
    </row>
    <row r="98" spans="1:2" x14ac:dyDescent="0.3">
      <c r="A98" t="s">
        <v>1067</v>
      </c>
      <c r="B98" t="s">
        <v>1068</v>
      </c>
    </row>
    <row r="99" spans="1:2" x14ac:dyDescent="0.3">
      <c r="A99" t="s">
        <v>1069</v>
      </c>
      <c r="B99" t="s">
        <v>1070</v>
      </c>
    </row>
    <row r="100" spans="1:2" x14ac:dyDescent="0.3">
      <c r="A100" t="s">
        <v>1071</v>
      </c>
      <c r="B100" t="s">
        <v>1072</v>
      </c>
    </row>
    <row r="101" spans="1:2" x14ac:dyDescent="0.3">
      <c r="A101" t="s">
        <v>1073</v>
      </c>
      <c r="B101" t="s">
        <v>1074</v>
      </c>
    </row>
    <row r="102" spans="1:2" x14ac:dyDescent="0.3">
      <c r="A102" t="s">
        <v>1075</v>
      </c>
      <c r="B102" t="s">
        <v>1076</v>
      </c>
    </row>
    <row r="103" spans="1:2" x14ac:dyDescent="0.3">
      <c r="A103" t="s">
        <v>1077</v>
      </c>
      <c r="B103" t="s">
        <v>1078</v>
      </c>
    </row>
    <row r="104" spans="1:2" x14ac:dyDescent="0.3">
      <c r="A104" t="s">
        <v>1079</v>
      </c>
      <c r="B104" t="s">
        <v>1080</v>
      </c>
    </row>
    <row r="105" spans="1:2" x14ac:dyDescent="0.3">
      <c r="A105" t="s">
        <v>1081</v>
      </c>
      <c r="B105" t="s">
        <v>1082</v>
      </c>
    </row>
    <row r="106" spans="1:2" x14ac:dyDescent="0.3">
      <c r="A106" t="s">
        <v>1083</v>
      </c>
      <c r="B106" t="s">
        <v>1084</v>
      </c>
    </row>
    <row r="107" spans="1:2" x14ac:dyDescent="0.3">
      <c r="A107" t="s">
        <v>1085</v>
      </c>
      <c r="B107" t="s">
        <v>1086</v>
      </c>
    </row>
    <row r="108" spans="1:2" x14ac:dyDescent="0.3">
      <c r="A108" t="s">
        <v>1087</v>
      </c>
      <c r="B108" t="s">
        <v>1088</v>
      </c>
    </row>
    <row r="109" spans="1:2" x14ac:dyDescent="0.3">
      <c r="A109" t="s">
        <v>1089</v>
      </c>
      <c r="B109" t="s">
        <v>1090</v>
      </c>
    </row>
    <row r="110" spans="1:2" x14ac:dyDescent="0.3">
      <c r="A110" t="s">
        <v>1091</v>
      </c>
      <c r="B110" t="s">
        <v>1092</v>
      </c>
    </row>
    <row r="111" spans="1:2" x14ac:dyDescent="0.3">
      <c r="A111" t="s">
        <v>1093</v>
      </c>
      <c r="B111" t="s">
        <v>1094</v>
      </c>
    </row>
    <row r="112" spans="1:2" x14ac:dyDescent="0.3">
      <c r="A112" t="s">
        <v>1095</v>
      </c>
      <c r="B112" t="s">
        <v>1096</v>
      </c>
    </row>
    <row r="113" spans="1:2" x14ac:dyDescent="0.3">
      <c r="A113" t="s">
        <v>1097</v>
      </c>
      <c r="B113" t="s">
        <v>1098</v>
      </c>
    </row>
    <row r="114" spans="1:2" x14ac:dyDescent="0.3">
      <c r="A114" t="s">
        <v>1099</v>
      </c>
      <c r="B114" t="s">
        <v>1100</v>
      </c>
    </row>
    <row r="115" spans="1:2" x14ac:dyDescent="0.3">
      <c r="A115" t="s">
        <v>1101</v>
      </c>
      <c r="B115" t="s">
        <v>1102</v>
      </c>
    </row>
    <row r="116" spans="1:2" x14ac:dyDescent="0.3">
      <c r="A116" t="s">
        <v>1103</v>
      </c>
      <c r="B116" t="s">
        <v>1104</v>
      </c>
    </row>
    <row r="117" spans="1:2" x14ac:dyDescent="0.3">
      <c r="A117" t="s">
        <v>1105</v>
      </c>
      <c r="B117" t="s">
        <v>1106</v>
      </c>
    </row>
    <row r="118" spans="1:2" x14ac:dyDescent="0.3">
      <c r="A118" t="s">
        <v>1107</v>
      </c>
      <c r="B118" t="s">
        <v>1108</v>
      </c>
    </row>
    <row r="119" spans="1:2" x14ac:dyDescent="0.3">
      <c r="A119" t="s">
        <v>1109</v>
      </c>
      <c r="B119" t="s">
        <v>1110</v>
      </c>
    </row>
    <row r="120" spans="1:2" x14ac:dyDescent="0.3">
      <c r="A120" t="s">
        <v>1111</v>
      </c>
      <c r="B120" t="s">
        <v>1112</v>
      </c>
    </row>
    <row r="121" spans="1:2" x14ac:dyDescent="0.3">
      <c r="A121" t="s">
        <v>1113</v>
      </c>
      <c r="B121" t="s">
        <v>1114</v>
      </c>
    </row>
    <row r="122" spans="1:2" x14ac:dyDescent="0.3">
      <c r="A122" t="s">
        <v>1115</v>
      </c>
      <c r="B122" t="s">
        <v>1116</v>
      </c>
    </row>
    <row r="123" spans="1:2" x14ac:dyDescent="0.3">
      <c r="A123" t="s">
        <v>1117</v>
      </c>
      <c r="B123" t="s">
        <v>1118</v>
      </c>
    </row>
    <row r="124" spans="1:2" x14ac:dyDescent="0.3">
      <c r="A124" t="s">
        <v>1119</v>
      </c>
      <c r="B124" t="s">
        <v>1120</v>
      </c>
    </row>
    <row r="125" spans="1:2" x14ac:dyDescent="0.3">
      <c r="A125" t="s">
        <v>1121</v>
      </c>
      <c r="B125" t="s">
        <v>1122</v>
      </c>
    </row>
    <row r="126" spans="1:2" x14ac:dyDescent="0.3">
      <c r="A126" t="s">
        <v>1123</v>
      </c>
      <c r="B126" t="s">
        <v>1124</v>
      </c>
    </row>
    <row r="127" spans="1:2" x14ac:dyDescent="0.3">
      <c r="A127" t="s">
        <v>1125</v>
      </c>
      <c r="B127" t="s">
        <v>1126</v>
      </c>
    </row>
    <row r="128" spans="1:2" x14ac:dyDescent="0.3">
      <c r="A128" t="s">
        <v>1127</v>
      </c>
      <c r="B128" t="s">
        <v>1128</v>
      </c>
    </row>
    <row r="129" spans="1:2" x14ac:dyDescent="0.3">
      <c r="A129" t="s">
        <v>1129</v>
      </c>
      <c r="B129" t="s">
        <v>1130</v>
      </c>
    </row>
    <row r="130" spans="1:2" x14ac:dyDescent="0.3">
      <c r="A130" t="s">
        <v>1131</v>
      </c>
      <c r="B130" t="s">
        <v>1132</v>
      </c>
    </row>
    <row r="131" spans="1:2" x14ac:dyDescent="0.3">
      <c r="A131" t="s">
        <v>1133</v>
      </c>
      <c r="B131" t="s">
        <v>1134</v>
      </c>
    </row>
    <row r="132" spans="1:2" x14ac:dyDescent="0.3">
      <c r="A132" t="s">
        <v>1135</v>
      </c>
      <c r="B132" t="s">
        <v>1136</v>
      </c>
    </row>
    <row r="133" spans="1:2" x14ac:dyDescent="0.3">
      <c r="A133" t="s">
        <v>1137</v>
      </c>
      <c r="B133" t="s">
        <v>1138</v>
      </c>
    </row>
    <row r="134" spans="1:2" x14ac:dyDescent="0.3">
      <c r="A134" t="s">
        <v>1139</v>
      </c>
      <c r="B134" t="s">
        <v>1140</v>
      </c>
    </row>
    <row r="135" spans="1:2" x14ac:dyDescent="0.3">
      <c r="A135" t="s">
        <v>1141</v>
      </c>
      <c r="B135" t="s">
        <v>1142</v>
      </c>
    </row>
    <row r="136" spans="1:2" x14ac:dyDescent="0.3">
      <c r="A136" t="s">
        <v>1143</v>
      </c>
      <c r="B136" t="s">
        <v>1144</v>
      </c>
    </row>
    <row r="137" spans="1:2" x14ac:dyDescent="0.3">
      <c r="A137" t="s">
        <v>1145</v>
      </c>
      <c r="B137" t="s">
        <v>1146</v>
      </c>
    </row>
    <row r="138" spans="1:2" x14ac:dyDescent="0.3">
      <c r="A138" t="s">
        <v>1147</v>
      </c>
      <c r="B138" t="s">
        <v>1148</v>
      </c>
    </row>
    <row r="139" spans="1:2" x14ac:dyDescent="0.3">
      <c r="A139" t="s">
        <v>1149</v>
      </c>
      <c r="B139" t="s">
        <v>1150</v>
      </c>
    </row>
    <row r="140" spans="1:2" x14ac:dyDescent="0.3">
      <c r="A140" t="s">
        <v>1151</v>
      </c>
      <c r="B140" t="s">
        <v>1152</v>
      </c>
    </row>
    <row r="141" spans="1:2" x14ac:dyDescent="0.3">
      <c r="A141" t="s">
        <v>1153</v>
      </c>
      <c r="B141" t="s">
        <v>1154</v>
      </c>
    </row>
    <row r="142" spans="1:2" x14ac:dyDescent="0.3">
      <c r="A142" t="s">
        <v>1155</v>
      </c>
      <c r="B142" t="s">
        <v>1156</v>
      </c>
    </row>
    <row r="143" spans="1:2" x14ac:dyDescent="0.3">
      <c r="A143" t="s">
        <v>1157</v>
      </c>
      <c r="B143" t="s">
        <v>1158</v>
      </c>
    </row>
    <row r="144" spans="1:2" x14ac:dyDescent="0.3">
      <c r="A144" t="s">
        <v>1159</v>
      </c>
      <c r="B144" t="s">
        <v>1160</v>
      </c>
    </row>
    <row r="145" spans="1:2" x14ac:dyDescent="0.3">
      <c r="A145" t="s">
        <v>1161</v>
      </c>
      <c r="B145" t="s">
        <v>1162</v>
      </c>
    </row>
    <row r="146" spans="1:2" x14ac:dyDescent="0.3">
      <c r="A146" t="s">
        <v>1163</v>
      </c>
      <c r="B146" t="s">
        <v>1164</v>
      </c>
    </row>
    <row r="147" spans="1:2" x14ac:dyDescent="0.3">
      <c r="A147" t="s">
        <v>1165</v>
      </c>
      <c r="B147" t="s">
        <v>1166</v>
      </c>
    </row>
    <row r="148" spans="1:2" x14ac:dyDescent="0.3">
      <c r="A148" t="s">
        <v>1167</v>
      </c>
      <c r="B148" t="s">
        <v>1168</v>
      </c>
    </row>
    <row r="149" spans="1:2" x14ac:dyDescent="0.3">
      <c r="A149" t="s">
        <v>1169</v>
      </c>
      <c r="B149" t="s">
        <v>1170</v>
      </c>
    </row>
    <row r="150" spans="1:2" x14ac:dyDescent="0.3">
      <c r="A150" t="s">
        <v>1171</v>
      </c>
      <c r="B150" t="s">
        <v>1172</v>
      </c>
    </row>
    <row r="151" spans="1:2" x14ac:dyDescent="0.3">
      <c r="A151" t="s">
        <v>1173</v>
      </c>
      <c r="B151" t="s">
        <v>1174</v>
      </c>
    </row>
    <row r="152" spans="1:2" x14ac:dyDescent="0.3">
      <c r="A152" t="s">
        <v>1175</v>
      </c>
      <c r="B152" t="s">
        <v>1176</v>
      </c>
    </row>
    <row r="153" spans="1:2" x14ac:dyDescent="0.3">
      <c r="A153" t="s">
        <v>1177</v>
      </c>
      <c r="B153" t="s">
        <v>1178</v>
      </c>
    </row>
    <row r="154" spans="1:2" x14ac:dyDescent="0.3">
      <c r="A154" t="s">
        <v>1179</v>
      </c>
      <c r="B154" t="s">
        <v>1180</v>
      </c>
    </row>
    <row r="155" spans="1:2" x14ac:dyDescent="0.3">
      <c r="A155" t="s">
        <v>1181</v>
      </c>
      <c r="B155" t="s">
        <v>1182</v>
      </c>
    </row>
    <row r="156" spans="1:2" x14ac:dyDescent="0.3">
      <c r="A156" t="s">
        <v>1183</v>
      </c>
      <c r="B156" t="s">
        <v>1184</v>
      </c>
    </row>
    <row r="157" spans="1:2" x14ac:dyDescent="0.3">
      <c r="A157" t="s">
        <v>1185</v>
      </c>
      <c r="B157" t="s">
        <v>1186</v>
      </c>
    </row>
    <row r="158" spans="1:2" x14ac:dyDescent="0.3">
      <c r="A158" t="s">
        <v>1187</v>
      </c>
      <c r="B158" t="s">
        <v>1188</v>
      </c>
    </row>
    <row r="159" spans="1:2" x14ac:dyDescent="0.3">
      <c r="A159" t="s">
        <v>1189</v>
      </c>
      <c r="B159" t="s">
        <v>1190</v>
      </c>
    </row>
    <row r="160" spans="1:2" x14ac:dyDescent="0.3">
      <c r="A160" t="s">
        <v>1191</v>
      </c>
      <c r="B160" t="s">
        <v>1192</v>
      </c>
    </row>
    <row r="161" spans="1:2" x14ac:dyDescent="0.3">
      <c r="A161" t="s">
        <v>1193</v>
      </c>
      <c r="B161" t="s">
        <v>1194</v>
      </c>
    </row>
    <row r="162" spans="1:2" x14ac:dyDescent="0.3">
      <c r="A162" t="s">
        <v>1195</v>
      </c>
      <c r="B162" t="s">
        <v>1196</v>
      </c>
    </row>
    <row r="163" spans="1:2" x14ac:dyDescent="0.3">
      <c r="A163" t="s">
        <v>1197</v>
      </c>
      <c r="B163" t="s">
        <v>1198</v>
      </c>
    </row>
    <row r="164" spans="1:2" x14ac:dyDescent="0.3">
      <c r="A164" t="s">
        <v>1199</v>
      </c>
      <c r="B164" t="s">
        <v>1200</v>
      </c>
    </row>
    <row r="165" spans="1:2" x14ac:dyDescent="0.3">
      <c r="A165" t="s">
        <v>1201</v>
      </c>
      <c r="B165" t="s">
        <v>1202</v>
      </c>
    </row>
    <row r="166" spans="1:2" x14ac:dyDescent="0.3">
      <c r="A166" t="s">
        <v>1203</v>
      </c>
      <c r="B166" t="s">
        <v>1204</v>
      </c>
    </row>
    <row r="167" spans="1:2" x14ac:dyDescent="0.3">
      <c r="A167" t="s">
        <v>1205</v>
      </c>
      <c r="B167" t="s">
        <v>1206</v>
      </c>
    </row>
    <row r="168" spans="1:2" x14ac:dyDescent="0.3">
      <c r="A168" t="s">
        <v>1207</v>
      </c>
      <c r="B168" t="s">
        <v>1208</v>
      </c>
    </row>
    <row r="169" spans="1:2" x14ac:dyDescent="0.3">
      <c r="A169" t="s">
        <v>1209</v>
      </c>
      <c r="B169" t="s">
        <v>1210</v>
      </c>
    </row>
    <row r="170" spans="1:2" x14ac:dyDescent="0.3">
      <c r="A170" t="s">
        <v>1211</v>
      </c>
      <c r="B170" t="s">
        <v>1212</v>
      </c>
    </row>
    <row r="171" spans="1:2" x14ac:dyDescent="0.3">
      <c r="A171" t="s">
        <v>1213</v>
      </c>
      <c r="B171" t="s">
        <v>1214</v>
      </c>
    </row>
    <row r="172" spans="1:2" x14ac:dyDescent="0.3">
      <c r="A172" t="s">
        <v>1215</v>
      </c>
      <c r="B172" t="s">
        <v>1216</v>
      </c>
    </row>
    <row r="173" spans="1:2" x14ac:dyDescent="0.3">
      <c r="A173" t="s">
        <v>1217</v>
      </c>
      <c r="B173" t="s">
        <v>1218</v>
      </c>
    </row>
    <row r="174" spans="1:2" x14ac:dyDescent="0.3">
      <c r="A174" t="s">
        <v>1219</v>
      </c>
      <c r="B174" t="s">
        <v>1220</v>
      </c>
    </row>
    <row r="175" spans="1:2" x14ac:dyDescent="0.3">
      <c r="A175" t="s">
        <v>1221</v>
      </c>
      <c r="B175" t="s">
        <v>1222</v>
      </c>
    </row>
    <row r="176" spans="1:2" x14ac:dyDescent="0.3">
      <c r="A176" t="s">
        <v>1223</v>
      </c>
      <c r="B176" t="s">
        <v>1224</v>
      </c>
    </row>
    <row r="177" spans="1:2" x14ac:dyDescent="0.3">
      <c r="A177" t="s">
        <v>1225</v>
      </c>
      <c r="B177" t="s">
        <v>1226</v>
      </c>
    </row>
    <row r="178" spans="1:2" x14ac:dyDescent="0.3">
      <c r="A178" t="s">
        <v>1227</v>
      </c>
      <c r="B178" t="s">
        <v>1228</v>
      </c>
    </row>
    <row r="179" spans="1:2" x14ac:dyDescent="0.3">
      <c r="A179" t="s">
        <v>1229</v>
      </c>
      <c r="B179" t="s">
        <v>1230</v>
      </c>
    </row>
    <row r="180" spans="1:2" x14ac:dyDescent="0.3">
      <c r="A180" t="s">
        <v>1231</v>
      </c>
      <c r="B180" t="s">
        <v>1232</v>
      </c>
    </row>
    <row r="181" spans="1:2" x14ac:dyDescent="0.3">
      <c r="A181" t="s">
        <v>1233</v>
      </c>
      <c r="B181" t="s">
        <v>1234</v>
      </c>
    </row>
    <row r="182" spans="1:2" x14ac:dyDescent="0.3">
      <c r="A182" t="s">
        <v>1235</v>
      </c>
      <c r="B182" t="s">
        <v>1236</v>
      </c>
    </row>
    <row r="183" spans="1:2" x14ac:dyDescent="0.3">
      <c r="A183" t="s">
        <v>1237</v>
      </c>
      <c r="B183" t="s">
        <v>1238</v>
      </c>
    </row>
    <row r="184" spans="1:2" x14ac:dyDescent="0.3">
      <c r="A184" t="s">
        <v>1239</v>
      </c>
      <c r="B184" t="s">
        <v>1240</v>
      </c>
    </row>
    <row r="185" spans="1:2" x14ac:dyDescent="0.3">
      <c r="A185" t="s">
        <v>1241</v>
      </c>
      <c r="B185" t="s">
        <v>1242</v>
      </c>
    </row>
    <row r="186" spans="1:2" x14ac:dyDescent="0.3">
      <c r="A186" t="s">
        <v>1243</v>
      </c>
      <c r="B186" t="s">
        <v>1244</v>
      </c>
    </row>
    <row r="187" spans="1:2" x14ac:dyDescent="0.3">
      <c r="A187" t="s">
        <v>1245</v>
      </c>
      <c r="B187" t="s">
        <v>1246</v>
      </c>
    </row>
    <row r="188" spans="1:2" x14ac:dyDescent="0.3">
      <c r="A188" t="s">
        <v>1247</v>
      </c>
      <c r="B188" t="s">
        <v>1248</v>
      </c>
    </row>
    <row r="189" spans="1:2" x14ac:dyDescent="0.3">
      <c r="A189" t="s">
        <v>1249</v>
      </c>
      <c r="B189" t="s">
        <v>1250</v>
      </c>
    </row>
    <row r="190" spans="1:2" x14ac:dyDescent="0.3">
      <c r="A190" t="s">
        <v>1251</v>
      </c>
      <c r="B190" t="s">
        <v>1252</v>
      </c>
    </row>
    <row r="191" spans="1:2" x14ac:dyDescent="0.3">
      <c r="A191" t="s">
        <v>1253</v>
      </c>
      <c r="B191" t="s">
        <v>1254</v>
      </c>
    </row>
    <row r="192" spans="1:2" x14ac:dyDescent="0.3">
      <c r="A192" t="s">
        <v>1255</v>
      </c>
      <c r="B192" t="s">
        <v>1256</v>
      </c>
    </row>
    <row r="193" spans="1:2" x14ac:dyDescent="0.3">
      <c r="A193" t="s">
        <v>1257</v>
      </c>
      <c r="B193" t="s">
        <v>1258</v>
      </c>
    </row>
    <row r="194" spans="1:2" x14ac:dyDescent="0.3">
      <c r="A194" t="s">
        <v>1259</v>
      </c>
      <c r="B194" t="s">
        <v>1260</v>
      </c>
    </row>
    <row r="195" spans="1:2" x14ac:dyDescent="0.3">
      <c r="A195" t="s">
        <v>1261</v>
      </c>
      <c r="B195" t="s">
        <v>1262</v>
      </c>
    </row>
    <row r="196" spans="1:2" x14ac:dyDescent="0.3">
      <c r="A196" t="s">
        <v>1263</v>
      </c>
      <c r="B196" t="s">
        <v>1264</v>
      </c>
    </row>
    <row r="197" spans="1:2" x14ac:dyDescent="0.3">
      <c r="A197" t="s">
        <v>1265</v>
      </c>
      <c r="B197" t="s">
        <v>1266</v>
      </c>
    </row>
    <row r="198" spans="1:2" x14ac:dyDescent="0.3">
      <c r="A198" t="s">
        <v>1267</v>
      </c>
      <c r="B198" t="s">
        <v>1268</v>
      </c>
    </row>
    <row r="199" spans="1:2" x14ac:dyDescent="0.3">
      <c r="A199" t="s">
        <v>1269</v>
      </c>
      <c r="B199" t="s">
        <v>1270</v>
      </c>
    </row>
    <row r="200" spans="1:2" x14ac:dyDescent="0.3">
      <c r="A200" t="s">
        <v>1271</v>
      </c>
      <c r="B200" t="s">
        <v>1272</v>
      </c>
    </row>
    <row r="201" spans="1:2" x14ac:dyDescent="0.3">
      <c r="A201" t="s">
        <v>1273</v>
      </c>
      <c r="B201" t="s">
        <v>1274</v>
      </c>
    </row>
    <row r="202" spans="1:2" x14ac:dyDescent="0.3">
      <c r="A202" t="s">
        <v>1275</v>
      </c>
      <c r="B202" t="s">
        <v>1276</v>
      </c>
    </row>
    <row r="203" spans="1:2" x14ac:dyDescent="0.3">
      <c r="A203" t="s">
        <v>1277</v>
      </c>
      <c r="B203" t="s">
        <v>1278</v>
      </c>
    </row>
    <row r="204" spans="1:2" x14ac:dyDescent="0.3">
      <c r="A204" t="s">
        <v>1279</v>
      </c>
      <c r="B204" t="s">
        <v>1280</v>
      </c>
    </row>
    <row r="205" spans="1:2" x14ac:dyDescent="0.3">
      <c r="A205" t="s">
        <v>1281</v>
      </c>
      <c r="B205" t="s">
        <v>1282</v>
      </c>
    </row>
    <row r="206" spans="1:2" x14ac:dyDescent="0.3">
      <c r="A206" t="s">
        <v>1283</v>
      </c>
      <c r="B206" t="s">
        <v>1284</v>
      </c>
    </row>
    <row r="207" spans="1:2" x14ac:dyDescent="0.3">
      <c r="A207" t="s">
        <v>1285</v>
      </c>
      <c r="B207" t="s">
        <v>1286</v>
      </c>
    </row>
    <row r="208" spans="1:2" x14ac:dyDescent="0.3">
      <c r="A208" t="s">
        <v>1287</v>
      </c>
      <c r="B208" t="s">
        <v>1288</v>
      </c>
    </row>
    <row r="209" spans="1:2" x14ac:dyDescent="0.3">
      <c r="A209" t="s">
        <v>1289</v>
      </c>
      <c r="B209" t="s">
        <v>1290</v>
      </c>
    </row>
    <row r="210" spans="1:2" x14ac:dyDescent="0.3">
      <c r="A210" t="s">
        <v>1291</v>
      </c>
      <c r="B210" t="s">
        <v>1292</v>
      </c>
    </row>
    <row r="211" spans="1:2" x14ac:dyDescent="0.3">
      <c r="A211" t="s">
        <v>1293</v>
      </c>
      <c r="B211" t="s">
        <v>1294</v>
      </c>
    </row>
    <row r="212" spans="1:2" x14ac:dyDescent="0.3">
      <c r="A212" t="s">
        <v>1295</v>
      </c>
      <c r="B212" t="s">
        <v>1296</v>
      </c>
    </row>
    <row r="213" spans="1:2" x14ac:dyDescent="0.3">
      <c r="A213" t="s">
        <v>1297</v>
      </c>
      <c r="B213" t="s">
        <v>1298</v>
      </c>
    </row>
    <row r="214" spans="1:2" x14ac:dyDescent="0.3">
      <c r="A214" t="s">
        <v>1299</v>
      </c>
      <c r="B214" t="s">
        <v>1300</v>
      </c>
    </row>
    <row r="215" spans="1:2" x14ac:dyDescent="0.3">
      <c r="A215" t="s">
        <v>1301</v>
      </c>
      <c r="B215" t="s">
        <v>1302</v>
      </c>
    </row>
    <row r="216" spans="1:2" x14ac:dyDescent="0.3">
      <c r="A216" t="s">
        <v>1303</v>
      </c>
      <c r="B216" t="s">
        <v>1304</v>
      </c>
    </row>
    <row r="217" spans="1:2" x14ac:dyDescent="0.3">
      <c r="A217" t="s">
        <v>1305</v>
      </c>
      <c r="B217" t="s">
        <v>1306</v>
      </c>
    </row>
    <row r="218" spans="1:2" x14ac:dyDescent="0.3">
      <c r="A218" t="s">
        <v>1307</v>
      </c>
      <c r="B218" t="s">
        <v>1308</v>
      </c>
    </row>
    <row r="219" spans="1:2" x14ac:dyDescent="0.3">
      <c r="A219" t="s">
        <v>1309</v>
      </c>
      <c r="B219" t="s">
        <v>1310</v>
      </c>
    </row>
    <row r="220" spans="1:2" x14ac:dyDescent="0.3">
      <c r="A220" t="s">
        <v>1311</v>
      </c>
      <c r="B220" t="s">
        <v>1312</v>
      </c>
    </row>
    <row r="221" spans="1:2" x14ac:dyDescent="0.3">
      <c r="A221" t="s">
        <v>1313</v>
      </c>
      <c r="B221" t="s">
        <v>1314</v>
      </c>
    </row>
    <row r="222" spans="1:2" x14ac:dyDescent="0.3">
      <c r="A222" t="s">
        <v>1315</v>
      </c>
      <c r="B222" t="s">
        <v>1316</v>
      </c>
    </row>
    <row r="223" spans="1:2" x14ac:dyDescent="0.3">
      <c r="A223" t="s">
        <v>1317</v>
      </c>
      <c r="B223" t="s">
        <v>1318</v>
      </c>
    </row>
    <row r="224" spans="1:2" x14ac:dyDescent="0.3">
      <c r="A224" t="s">
        <v>1319</v>
      </c>
      <c r="B224" t="s">
        <v>1320</v>
      </c>
    </row>
    <row r="225" spans="1:2" x14ac:dyDescent="0.3">
      <c r="A225" t="s">
        <v>1321</v>
      </c>
      <c r="B225" t="s">
        <v>1322</v>
      </c>
    </row>
    <row r="226" spans="1:2" x14ac:dyDescent="0.3">
      <c r="A226" t="s">
        <v>1323</v>
      </c>
      <c r="B226" t="s">
        <v>1324</v>
      </c>
    </row>
    <row r="227" spans="1:2" x14ac:dyDescent="0.3">
      <c r="A227" t="s">
        <v>1325</v>
      </c>
      <c r="B227" t="s">
        <v>1326</v>
      </c>
    </row>
    <row r="228" spans="1:2" x14ac:dyDescent="0.3">
      <c r="A228" t="s">
        <v>1327</v>
      </c>
      <c r="B228" t="s">
        <v>1328</v>
      </c>
    </row>
    <row r="229" spans="1:2" x14ac:dyDescent="0.3">
      <c r="A229" t="s">
        <v>1329</v>
      </c>
      <c r="B229" t="s">
        <v>1330</v>
      </c>
    </row>
    <row r="230" spans="1:2" x14ac:dyDescent="0.3">
      <c r="A230" t="s">
        <v>1331</v>
      </c>
      <c r="B230" t="s">
        <v>1332</v>
      </c>
    </row>
    <row r="231" spans="1:2" x14ac:dyDescent="0.3">
      <c r="A231" t="s">
        <v>1333</v>
      </c>
      <c r="B231" t="s">
        <v>1334</v>
      </c>
    </row>
    <row r="232" spans="1:2" x14ac:dyDescent="0.3">
      <c r="A232" t="s">
        <v>1335</v>
      </c>
      <c r="B232" t="s">
        <v>1336</v>
      </c>
    </row>
    <row r="233" spans="1:2" x14ac:dyDescent="0.3">
      <c r="A233" t="s">
        <v>1337</v>
      </c>
      <c r="B233" t="s">
        <v>1338</v>
      </c>
    </row>
    <row r="234" spans="1:2" x14ac:dyDescent="0.3">
      <c r="A234" t="s">
        <v>1339</v>
      </c>
      <c r="B234" t="s">
        <v>1340</v>
      </c>
    </row>
    <row r="235" spans="1:2" x14ac:dyDescent="0.3">
      <c r="A235" t="s">
        <v>1341</v>
      </c>
      <c r="B235" t="s">
        <v>1342</v>
      </c>
    </row>
    <row r="236" spans="1:2" x14ac:dyDescent="0.3">
      <c r="A236" t="s">
        <v>1343</v>
      </c>
      <c r="B236" t="s">
        <v>1344</v>
      </c>
    </row>
    <row r="237" spans="1:2" x14ac:dyDescent="0.3">
      <c r="A237" t="s">
        <v>1345</v>
      </c>
      <c r="B237" t="s">
        <v>1346</v>
      </c>
    </row>
    <row r="238" spans="1:2" x14ac:dyDescent="0.3">
      <c r="A238" t="s">
        <v>1347</v>
      </c>
      <c r="B238" t="s">
        <v>1348</v>
      </c>
    </row>
    <row r="239" spans="1:2" x14ac:dyDescent="0.3">
      <c r="A239" t="s">
        <v>1349</v>
      </c>
      <c r="B239" t="s">
        <v>1350</v>
      </c>
    </row>
    <row r="240" spans="1:2" x14ac:dyDescent="0.3">
      <c r="A240" t="s">
        <v>1351</v>
      </c>
      <c r="B240" t="s">
        <v>1352</v>
      </c>
    </row>
    <row r="241" spans="1:2" x14ac:dyDescent="0.3">
      <c r="A241" t="s">
        <v>1353</v>
      </c>
      <c r="B241" t="s">
        <v>1354</v>
      </c>
    </row>
    <row r="242" spans="1:2" x14ac:dyDescent="0.3">
      <c r="A242" t="s">
        <v>1355</v>
      </c>
      <c r="B242" t="s">
        <v>1356</v>
      </c>
    </row>
    <row r="243" spans="1:2" x14ac:dyDescent="0.3">
      <c r="A243" t="s">
        <v>1357</v>
      </c>
      <c r="B243" t="s">
        <v>1358</v>
      </c>
    </row>
    <row r="244" spans="1:2" x14ac:dyDescent="0.3">
      <c r="A244" t="s">
        <v>1359</v>
      </c>
      <c r="B244" t="s">
        <v>1360</v>
      </c>
    </row>
    <row r="245" spans="1:2" x14ac:dyDescent="0.3">
      <c r="A245" t="s">
        <v>1361</v>
      </c>
      <c r="B245" t="s">
        <v>1362</v>
      </c>
    </row>
    <row r="246" spans="1:2" x14ac:dyDescent="0.3">
      <c r="A246" t="s">
        <v>1363</v>
      </c>
      <c r="B246" t="s">
        <v>1364</v>
      </c>
    </row>
    <row r="247" spans="1:2" x14ac:dyDescent="0.3">
      <c r="A247" t="s">
        <v>1365</v>
      </c>
      <c r="B247" t="s">
        <v>1366</v>
      </c>
    </row>
    <row r="248" spans="1:2" x14ac:dyDescent="0.3">
      <c r="A248" t="s">
        <v>1367</v>
      </c>
      <c r="B248" t="s">
        <v>1368</v>
      </c>
    </row>
    <row r="249" spans="1:2" x14ac:dyDescent="0.3">
      <c r="A249" t="s">
        <v>1369</v>
      </c>
      <c r="B249" t="s">
        <v>1370</v>
      </c>
    </row>
    <row r="250" spans="1:2" x14ac:dyDescent="0.3">
      <c r="A250" t="s">
        <v>1371</v>
      </c>
      <c r="B250" t="s">
        <v>1372</v>
      </c>
    </row>
    <row r="251" spans="1:2" x14ac:dyDescent="0.3">
      <c r="A251" t="s">
        <v>1373</v>
      </c>
      <c r="B251" t="s">
        <v>1374</v>
      </c>
    </row>
    <row r="252" spans="1:2" x14ac:dyDescent="0.3">
      <c r="A252" t="s">
        <v>1375</v>
      </c>
      <c r="B252" t="s">
        <v>1376</v>
      </c>
    </row>
    <row r="253" spans="1:2" x14ac:dyDescent="0.3">
      <c r="A253" t="s">
        <v>1377</v>
      </c>
      <c r="B253" t="s">
        <v>1378</v>
      </c>
    </row>
    <row r="254" spans="1:2" x14ac:dyDescent="0.3">
      <c r="A254" t="s">
        <v>1379</v>
      </c>
      <c r="B254" t="s">
        <v>1380</v>
      </c>
    </row>
    <row r="255" spans="1:2" x14ac:dyDescent="0.3">
      <c r="A255" t="s">
        <v>1381</v>
      </c>
      <c r="B255" t="s">
        <v>1382</v>
      </c>
    </row>
    <row r="256" spans="1:2" x14ac:dyDescent="0.3">
      <c r="A256" t="s">
        <v>1383</v>
      </c>
      <c r="B256" t="s">
        <v>1384</v>
      </c>
    </row>
    <row r="257" spans="1:2" x14ac:dyDescent="0.3">
      <c r="A257" t="s">
        <v>1385</v>
      </c>
      <c r="B257" t="s">
        <v>1386</v>
      </c>
    </row>
    <row r="258" spans="1:2" x14ac:dyDescent="0.3">
      <c r="A258" t="s">
        <v>1387</v>
      </c>
      <c r="B258" t="s">
        <v>1388</v>
      </c>
    </row>
    <row r="259" spans="1:2" x14ac:dyDescent="0.3">
      <c r="A259" t="s">
        <v>1389</v>
      </c>
      <c r="B259" t="s">
        <v>1390</v>
      </c>
    </row>
    <row r="260" spans="1:2" x14ac:dyDescent="0.3">
      <c r="A260" t="s">
        <v>1391</v>
      </c>
      <c r="B260" t="s">
        <v>1392</v>
      </c>
    </row>
    <row r="261" spans="1:2" x14ac:dyDescent="0.3">
      <c r="A261" t="s">
        <v>1393</v>
      </c>
      <c r="B261" t="s">
        <v>1394</v>
      </c>
    </row>
    <row r="262" spans="1:2" x14ac:dyDescent="0.3">
      <c r="A262" t="s">
        <v>1395</v>
      </c>
      <c r="B262" t="s">
        <v>1396</v>
      </c>
    </row>
    <row r="263" spans="1:2" x14ac:dyDescent="0.3">
      <c r="A263" t="s">
        <v>1397</v>
      </c>
      <c r="B263" t="s">
        <v>1398</v>
      </c>
    </row>
    <row r="264" spans="1:2" x14ac:dyDescent="0.3">
      <c r="A264" t="s">
        <v>1399</v>
      </c>
      <c r="B264" t="s">
        <v>1400</v>
      </c>
    </row>
    <row r="265" spans="1:2" x14ac:dyDescent="0.3">
      <c r="A265" t="s">
        <v>1401</v>
      </c>
      <c r="B265" t="s">
        <v>1402</v>
      </c>
    </row>
    <row r="266" spans="1:2" x14ac:dyDescent="0.3">
      <c r="A266" t="s">
        <v>1403</v>
      </c>
      <c r="B266" t="s">
        <v>1404</v>
      </c>
    </row>
    <row r="267" spans="1:2" x14ac:dyDescent="0.3">
      <c r="A267" t="s">
        <v>1405</v>
      </c>
      <c r="B267" t="s">
        <v>1406</v>
      </c>
    </row>
    <row r="268" spans="1:2" x14ac:dyDescent="0.3">
      <c r="A268" t="s">
        <v>1407</v>
      </c>
      <c r="B268" t="s">
        <v>1408</v>
      </c>
    </row>
    <row r="269" spans="1:2" x14ac:dyDescent="0.3">
      <c r="A269" t="s">
        <v>1409</v>
      </c>
      <c r="B269" t="s">
        <v>1410</v>
      </c>
    </row>
    <row r="270" spans="1:2" x14ac:dyDescent="0.3">
      <c r="A270" t="s">
        <v>1411</v>
      </c>
      <c r="B270" t="s">
        <v>1412</v>
      </c>
    </row>
    <row r="271" spans="1:2" x14ac:dyDescent="0.3">
      <c r="A271" t="s">
        <v>1413</v>
      </c>
      <c r="B271" t="s">
        <v>1414</v>
      </c>
    </row>
    <row r="272" spans="1:2" x14ac:dyDescent="0.3">
      <c r="A272" t="s">
        <v>1415</v>
      </c>
      <c r="B272" t="s">
        <v>1416</v>
      </c>
    </row>
    <row r="273" spans="1:2" x14ac:dyDescent="0.3">
      <c r="A273" t="s">
        <v>1417</v>
      </c>
      <c r="B273" t="s">
        <v>1418</v>
      </c>
    </row>
    <row r="274" spans="1:2" x14ac:dyDescent="0.3">
      <c r="A274" t="s">
        <v>1419</v>
      </c>
      <c r="B274" t="s">
        <v>1420</v>
      </c>
    </row>
    <row r="275" spans="1:2" x14ac:dyDescent="0.3">
      <c r="A275" t="s">
        <v>1421</v>
      </c>
      <c r="B275" t="s">
        <v>1422</v>
      </c>
    </row>
    <row r="276" spans="1:2" x14ac:dyDescent="0.3">
      <c r="A276" t="s">
        <v>1423</v>
      </c>
      <c r="B276" t="s">
        <v>1424</v>
      </c>
    </row>
    <row r="277" spans="1:2" x14ac:dyDescent="0.3">
      <c r="A277" t="s">
        <v>1425</v>
      </c>
      <c r="B277" t="s">
        <v>1426</v>
      </c>
    </row>
    <row r="278" spans="1:2" x14ac:dyDescent="0.3">
      <c r="A278" t="s">
        <v>1427</v>
      </c>
      <c r="B278" t="s">
        <v>1428</v>
      </c>
    </row>
    <row r="279" spans="1:2" x14ac:dyDescent="0.3">
      <c r="A279" t="s">
        <v>1429</v>
      </c>
      <c r="B279" t="s">
        <v>1430</v>
      </c>
    </row>
    <row r="280" spans="1:2" x14ac:dyDescent="0.3">
      <c r="A280" t="s">
        <v>1431</v>
      </c>
      <c r="B280" t="s">
        <v>1432</v>
      </c>
    </row>
    <row r="281" spans="1:2" x14ac:dyDescent="0.3">
      <c r="A281" t="s">
        <v>1433</v>
      </c>
      <c r="B281" t="s">
        <v>1434</v>
      </c>
    </row>
    <row r="282" spans="1:2" x14ac:dyDescent="0.3">
      <c r="A282" t="s">
        <v>1435</v>
      </c>
      <c r="B282" t="s">
        <v>1436</v>
      </c>
    </row>
    <row r="283" spans="1:2" x14ac:dyDescent="0.3">
      <c r="A283" t="s">
        <v>1437</v>
      </c>
      <c r="B283" t="s">
        <v>1438</v>
      </c>
    </row>
    <row r="284" spans="1:2" x14ac:dyDescent="0.3">
      <c r="A284" t="s">
        <v>1439</v>
      </c>
      <c r="B284" t="s">
        <v>1440</v>
      </c>
    </row>
    <row r="285" spans="1:2" x14ac:dyDescent="0.3">
      <c r="A285" t="s">
        <v>1441</v>
      </c>
      <c r="B285" t="s">
        <v>1442</v>
      </c>
    </row>
    <row r="286" spans="1:2" x14ac:dyDescent="0.3">
      <c r="A286" t="s">
        <v>1443</v>
      </c>
      <c r="B286" t="s">
        <v>1444</v>
      </c>
    </row>
    <row r="287" spans="1:2" x14ac:dyDescent="0.3">
      <c r="A287" t="s">
        <v>1445</v>
      </c>
      <c r="B287" t="s">
        <v>1446</v>
      </c>
    </row>
    <row r="288" spans="1:2" x14ac:dyDescent="0.3">
      <c r="A288" t="s">
        <v>1447</v>
      </c>
      <c r="B288" t="s">
        <v>1448</v>
      </c>
    </row>
    <row r="289" spans="1:2" x14ac:dyDescent="0.3">
      <c r="A289" t="s">
        <v>1449</v>
      </c>
      <c r="B289" t="s">
        <v>1450</v>
      </c>
    </row>
    <row r="290" spans="1:2" x14ac:dyDescent="0.3">
      <c r="A290" t="s">
        <v>1451</v>
      </c>
      <c r="B290" t="s">
        <v>1452</v>
      </c>
    </row>
    <row r="291" spans="1:2" x14ac:dyDescent="0.3">
      <c r="A291" t="s">
        <v>1453</v>
      </c>
      <c r="B291" t="s">
        <v>1454</v>
      </c>
    </row>
    <row r="292" spans="1:2" x14ac:dyDescent="0.3">
      <c r="A292" t="s">
        <v>1455</v>
      </c>
      <c r="B292" t="s">
        <v>1456</v>
      </c>
    </row>
    <row r="293" spans="1:2" x14ac:dyDescent="0.3">
      <c r="A293" t="s">
        <v>1457</v>
      </c>
      <c r="B293" t="s">
        <v>1458</v>
      </c>
    </row>
    <row r="294" spans="1:2" x14ac:dyDescent="0.3">
      <c r="A294" t="s">
        <v>1459</v>
      </c>
      <c r="B294" t="s">
        <v>1460</v>
      </c>
    </row>
    <row r="295" spans="1:2" x14ac:dyDescent="0.3">
      <c r="A295" t="s">
        <v>1461</v>
      </c>
      <c r="B295" t="s">
        <v>1462</v>
      </c>
    </row>
    <row r="296" spans="1:2" x14ac:dyDescent="0.3">
      <c r="A296" t="s">
        <v>1463</v>
      </c>
      <c r="B296" t="s">
        <v>1464</v>
      </c>
    </row>
    <row r="297" spans="1:2" x14ac:dyDescent="0.3">
      <c r="A297" t="s">
        <v>1465</v>
      </c>
      <c r="B297" t="s">
        <v>1466</v>
      </c>
    </row>
    <row r="298" spans="1:2" x14ac:dyDescent="0.3">
      <c r="A298" t="s">
        <v>1467</v>
      </c>
      <c r="B298" t="s">
        <v>1468</v>
      </c>
    </row>
    <row r="299" spans="1:2" x14ac:dyDescent="0.3">
      <c r="A299" t="s">
        <v>1469</v>
      </c>
      <c r="B299" t="s">
        <v>1470</v>
      </c>
    </row>
    <row r="300" spans="1:2" x14ac:dyDescent="0.3">
      <c r="A300" t="s">
        <v>1471</v>
      </c>
      <c r="B300" t="s">
        <v>1472</v>
      </c>
    </row>
    <row r="301" spans="1:2" x14ac:dyDescent="0.3">
      <c r="A301" t="s">
        <v>1473</v>
      </c>
      <c r="B301" t="s">
        <v>1474</v>
      </c>
    </row>
    <row r="302" spans="1:2" x14ac:dyDescent="0.3">
      <c r="A302" t="s">
        <v>1475</v>
      </c>
      <c r="B302" t="s">
        <v>1476</v>
      </c>
    </row>
    <row r="303" spans="1:2" x14ac:dyDescent="0.3">
      <c r="A303" t="s">
        <v>1477</v>
      </c>
      <c r="B303" t="s">
        <v>1478</v>
      </c>
    </row>
    <row r="304" spans="1:2" x14ac:dyDescent="0.3">
      <c r="A304" t="s">
        <v>1479</v>
      </c>
      <c r="B304" t="s">
        <v>1480</v>
      </c>
    </row>
    <row r="305" spans="1:2" x14ac:dyDescent="0.3">
      <c r="A305" t="s">
        <v>1481</v>
      </c>
      <c r="B305" t="s">
        <v>1482</v>
      </c>
    </row>
    <row r="306" spans="1:2" x14ac:dyDescent="0.3">
      <c r="A306" t="s">
        <v>1483</v>
      </c>
      <c r="B306" t="s">
        <v>1484</v>
      </c>
    </row>
    <row r="307" spans="1:2" x14ac:dyDescent="0.3">
      <c r="A307" t="s">
        <v>1485</v>
      </c>
      <c r="B307" t="s">
        <v>1486</v>
      </c>
    </row>
    <row r="308" spans="1:2" x14ac:dyDescent="0.3">
      <c r="A308" t="s">
        <v>1487</v>
      </c>
      <c r="B308" t="s">
        <v>1488</v>
      </c>
    </row>
    <row r="309" spans="1:2" x14ac:dyDescent="0.3">
      <c r="A309" t="s">
        <v>1489</v>
      </c>
      <c r="B309" t="s">
        <v>1490</v>
      </c>
    </row>
    <row r="310" spans="1:2" x14ac:dyDescent="0.3">
      <c r="A310" t="s">
        <v>1491</v>
      </c>
      <c r="B310" t="s">
        <v>1492</v>
      </c>
    </row>
    <row r="311" spans="1:2" x14ac:dyDescent="0.3">
      <c r="A311" t="s">
        <v>1493</v>
      </c>
      <c r="B311" t="s">
        <v>1494</v>
      </c>
    </row>
    <row r="312" spans="1:2" x14ac:dyDescent="0.3">
      <c r="A312" t="s">
        <v>1495</v>
      </c>
      <c r="B312" t="s">
        <v>1496</v>
      </c>
    </row>
    <row r="313" spans="1:2" x14ac:dyDescent="0.3">
      <c r="A313" t="s">
        <v>1497</v>
      </c>
      <c r="B313" t="s">
        <v>1498</v>
      </c>
    </row>
    <row r="314" spans="1:2" x14ac:dyDescent="0.3">
      <c r="A314" t="s">
        <v>1499</v>
      </c>
      <c r="B314" t="s">
        <v>1500</v>
      </c>
    </row>
    <row r="315" spans="1:2" x14ac:dyDescent="0.3">
      <c r="A315" t="s">
        <v>1501</v>
      </c>
      <c r="B315" t="s">
        <v>1502</v>
      </c>
    </row>
    <row r="316" spans="1:2" x14ac:dyDescent="0.3">
      <c r="A316" t="s">
        <v>1503</v>
      </c>
      <c r="B316" t="s">
        <v>1504</v>
      </c>
    </row>
    <row r="317" spans="1:2" x14ac:dyDescent="0.3">
      <c r="A317" t="s">
        <v>1505</v>
      </c>
      <c r="B317" t="s">
        <v>1506</v>
      </c>
    </row>
    <row r="318" spans="1:2" x14ac:dyDescent="0.3">
      <c r="A318" t="s">
        <v>1507</v>
      </c>
      <c r="B318" t="s">
        <v>1508</v>
      </c>
    </row>
    <row r="319" spans="1:2" x14ac:dyDescent="0.3">
      <c r="A319" t="s">
        <v>1509</v>
      </c>
      <c r="B319" t="s">
        <v>1510</v>
      </c>
    </row>
    <row r="320" spans="1:2" x14ac:dyDescent="0.3">
      <c r="A320" t="s">
        <v>1511</v>
      </c>
      <c r="B320" t="s">
        <v>1512</v>
      </c>
    </row>
    <row r="321" spans="1:2" x14ac:dyDescent="0.3">
      <c r="A321" t="s">
        <v>1513</v>
      </c>
      <c r="B321" t="s">
        <v>1514</v>
      </c>
    </row>
    <row r="322" spans="1:2" x14ac:dyDescent="0.3">
      <c r="A322" t="s">
        <v>1515</v>
      </c>
      <c r="B322" t="s">
        <v>1516</v>
      </c>
    </row>
    <row r="323" spans="1:2" x14ac:dyDescent="0.3">
      <c r="A323" t="s">
        <v>1517</v>
      </c>
      <c r="B323" t="s">
        <v>1518</v>
      </c>
    </row>
    <row r="324" spans="1:2" x14ac:dyDescent="0.3">
      <c r="A324" t="s">
        <v>1519</v>
      </c>
      <c r="B324" t="s">
        <v>1520</v>
      </c>
    </row>
    <row r="325" spans="1:2" x14ac:dyDescent="0.3">
      <c r="A325" t="s">
        <v>1521</v>
      </c>
      <c r="B325" t="s">
        <v>1522</v>
      </c>
    </row>
    <row r="326" spans="1:2" x14ac:dyDescent="0.3">
      <c r="A326" t="s">
        <v>1523</v>
      </c>
      <c r="B326" t="s">
        <v>1524</v>
      </c>
    </row>
    <row r="327" spans="1:2" x14ac:dyDescent="0.3">
      <c r="A327" t="s">
        <v>1525</v>
      </c>
      <c r="B327" t="s">
        <v>1526</v>
      </c>
    </row>
    <row r="328" spans="1:2" x14ac:dyDescent="0.3">
      <c r="A328" t="s">
        <v>1527</v>
      </c>
      <c r="B328" t="s">
        <v>1528</v>
      </c>
    </row>
    <row r="329" spans="1:2" x14ac:dyDescent="0.3">
      <c r="A329" t="s">
        <v>1529</v>
      </c>
      <c r="B329" t="s">
        <v>1530</v>
      </c>
    </row>
    <row r="330" spans="1:2" x14ac:dyDescent="0.3">
      <c r="A330" t="s">
        <v>1531</v>
      </c>
      <c r="B330" t="s">
        <v>1532</v>
      </c>
    </row>
    <row r="331" spans="1:2" x14ac:dyDescent="0.3">
      <c r="A331" t="s">
        <v>1533</v>
      </c>
      <c r="B331" t="s">
        <v>1534</v>
      </c>
    </row>
    <row r="332" spans="1:2" x14ac:dyDescent="0.3">
      <c r="A332" t="s">
        <v>1535</v>
      </c>
      <c r="B332" t="s">
        <v>1536</v>
      </c>
    </row>
    <row r="333" spans="1:2" x14ac:dyDescent="0.3">
      <c r="A333" t="s">
        <v>1537</v>
      </c>
      <c r="B333" t="s">
        <v>1538</v>
      </c>
    </row>
    <row r="334" spans="1:2" x14ac:dyDescent="0.3">
      <c r="A334" t="s">
        <v>1539</v>
      </c>
      <c r="B334" t="s">
        <v>1540</v>
      </c>
    </row>
    <row r="335" spans="1:2" x14ac:dyDescent="0.3">
      <c r="A335" t="s">
        <v>1541</v>
      </c>
      <c r="B335" t="s">
        <v>1542</v>
      </c>
    </row>
    <row r="336" spans="1:2" x14ac:dyDescent="0.3">
      <c r="A336" t="s">
        <v>1543</v>
      </c>
      <c r="B336" t="s">
        <v>1544</v>
      </c>
    </row>
    <row r="337" spans="1:2" x14ac:dyDescent="0.3">
      <c r="A337" t="s">
        <v>1545</v>
      </c>
      <c r="B337" t="s">
        <v>1546</v>
      </c>
    </row>
    <row r="338" spans="1:2" x14ac:dyDescent="0.3">
      <c r="A338" t="s">
        <v>1547</v>
      </c>
      <c r="B338" t="s">
        <v>1548</v>
      </c>
    </row>
    <row r="339" spans="1:2" x14ac:dyDescent="0.3">
      <c r="A339" t="s">
        <v>1549</v>
      </c>
      <c r="B339" t="s">
        <v>1550</v>
      </c>
    </row>
    <row r="340" spans="1:2" x14ac:dyDescent="0.3">
      <c r="A340" t="s">
        <v>1551</v>
      </c>
      <c r="B340" t="s">
        <v>1552</v>
      </c>
    </row>
    <row r="341" spans="1:2" x14ac:dyDescent="0.3">
      <c r="A341" t="s">
        <v>1553</v>
      </c>
      <c r="B341" t="s">
        <v>1554</v>
      </c>
    </row>
    <row r="342" spans="1:2" x14ac:dyDescent="0.3">
      <c r="A342" t="s">
        <v>1555</v>
      </c>
      <c r="B342" t="s">
        <v>1556</v>
      </c>
    </row>
    <row r="343" spans="1:2" x14ac:dyDescent="0.3">
      <c r="A343" t="s">
        <v>1557</v>
      </c>
      <c r="B343" t="s">
        <v>1558</v>
      </c>
    </row>
    <row r="344" spans="1:2" x14ac:dyDescent="0.3">
      <c r="A344" t="s">
        <v>1559</v>
      </c>
      <c r="B344" t="s">
        <v>1560</v>
      </c>
    </row>
    <row r="345" spans="1:2" x14ac:dyDescent="0.3">
      <c r="A345" t="s">
        <v>1561</v>
      </c>
      <c r="B345" t="s">
        <v>1562</v>
      </c>
    </row>
    <row r="346" spans="1:2" x14ac:dyDescent="0.3">
      <c r="A346" t="s">
        <v>1563</v>
      </c>
      <c r="B346" t="s">
        <v>1564</v>
      </c>
    </row>
    <row r="347" spans="1:2" x14ac:dyDescent="0.3">
      <c r="A347" t="s">
        <v>1565</v>
      </c>
      <c r="B347" t="s">
        <v>1566</v>
      </c>
    </row>
    <row r="348" spans="1:2" x14ac:dyDescent="0.3">
      <c r="A348" t="s">
        <v>1567</v>
      </c>
      <c r="B348" t="s">
        <v>1568</v>
      </c>
    </row>
    <row r="349" spans="1:2" x14ac:dyDescent="0.3">
      <c r="A349" t="s">
        <v>1569</v>
      </c>
      <c r="B349" t="s">
        <v>1570</v>
      </c>
    </row>
    <row r="350" spans="1:2" x14ac:dyDescent="0.3">
      <c r="A350" t="s">
        <v>1571</v>
      </c>
      <c r="B350" t="s">
        <v>1572</v>
      </c>
    </row>
    <row r="351" spans="1:2" x14ac:dyDescent="0.3">
      <c r="A351" t="s">
        <v>1573</v>
      </c>
      <c r="B351" t="s">
        <v>1574</v>
      </c>
    </row>
    <row r="352" spans="1:2" x14ac:dyDescent="0.3">
      <c r="A352" t="s">
        <v>1575</v>
      </c>
      <c r="B352" t="s">
        <v>1576</v>
      </c>
    </row>
    <row r="353" spans="1:2" x14ac:dyDescent="0.3">
      <c r="A353" t="s">
        <v>1577</v>
      </c>
      <c r="B353" t="s">
        <v>1578</v>
      </c>
    </row>
    <row r="354" spans="1:2" x14ac:dyDescent="0.3">
      <c r="A354" t="s">
        <v>1579</v>
      </c>
      <c r="B354" t="s">
        <v>1580</v>
      </c>
    </row>
    <row r="355" spans="1:2" x14ac:dyDescent="0.3">
      <c r="A355" t="s">
        <v>1581</v>
      </c>
      <c r="B355" t="s">
        <v>1582</v>
      </c>
    </row>
    <row r="356" spans="1:2" x14ac:dyDescent="0.3">
      <c r="A356" t="s">
        <v>1583</v>
      </c>
      <c r="B356" t="s">
        <v>1584</v>
      </c>
    </row>
    <row r="357" spans="1:2" x14ac:dyDescent="0.3">
      <c r="A357" t="s">
        <v>1585</v>
      </c>
      <c r="B357" t="s">
        <v>1586</v>
      </c>
    </row>
    <row r="358" spans="1:2" x14ac:dyDescent="0.3">
      <c r="A358" t="s">
        <v>1587</v>
      </c>
      <c r="B358" t="s">
        <v>1588</v>
      </c>
    </row>
    <row r="359" spans="1:2" x14ac:dyDescent="0.3">
      <c r="A359" t="s">
        <v>1589</v>
      </c>
      <c r="B359" t="s">
        <v>1590</v>
      </c>
    </row>
    <row r="360" spans="1:2" x14ac:dyDescent="0.3">
      <c r="A360" t="s">
        <v>1591</v>
      </c>
      <c r="B360" t="s">
        <v>1592</v>
      </c>
    </row>
    <row r="361" spans="1:2" x14ac:dyDescent="0.3">
      <c r="A361" t="s">
        <v>1593</v>
      </c>
      <c r="B361" t="s">
        <v>1594</v>
      </c>
    </row>
    <row r="362" spans="1:2" x14ac:dyDescent="0.3">
      <c r="A362" t="s">
        <v>1595</v>
      </c>
      <c r="B362" t="s">
        <v>1596</v>
      </c>
    </row>
    <row r="363" spans="1:2" x14ac:dyDescent="0.3">
      <c r="A363" t="s">
        <v>1597</v>
      </c>
      <c r="B363" t="s">
        <v>1598</v>
      </c>
    </row>
    <row r="364" spans="1:2" x14ac:dyDescent="0.3">
      <c r="A364" t="s">
        <v>1599</v>
      </c>
      <c r="B364" t="s">
        <v>1600</v>
      </c>
    </row>
    <row r="365" spans="1:2" x14ac:dyDescent="0.3">
      <c r="A365" t="s">
        <v>1601</v>
      </c>
      <c r="B365" t="s">
        <v>1602</v>
      </c>
    </row>
    <row r="366" spans="1:2" x14ac:dyDescent="0.3">
      <c r="A366" t="s">
        <v>1603</v>
      </c>
      <c r="B366" t="s">
        <v>1604</v>
      </c>
    </row>
    <row r="367" spans="1:2" x14ac:dyDescent="0.3">
      <c r="A367" t="s">
        <v>1605</v>
      </c>
      <c r="B367" t="s">
        <v>1606</v>
      </c>
    </row>
    <row r="368" spans="1:2" x14ac:dyDescent="0.3">
      <c r="A368" t="s">
        <v>1607</v>
      </c>
      <c r="B368" t="s">
        <v>1608</v>
      </c>
    </row>
    <row r="369" spans="1:2" x14ac:dyDescent="0.3">
      <c r="A369" t="s">
        <v>1609</v>
      </c>
      <c r="B369" t="s">
        <v>1610</v>
      </c>
    </row>
    <row r="370" spans="1:2" x14ac:dyDescent="0.3">
      <c r="A370" t="s">
        <v>1611</v>
      </c>
      <c r="B370" t="s">
        <v>1612</v>
      </c>
    </row>
    <row r="371" spans="1:2" x14ac:dyDescent="0.3">
      <c r="A371" t="s">
        <v>1613</v>
      </c>
      <c r="B371" t="s">
        <v>1614</v>
      </c>
    </row>
    <row r="372" spans="1:2" x14ac:dyDescent="0.3">
      <c r="A372" t="s">
        <v>1615</v>
      </c>
      <c r="B372" t="s">
        <v>1616</v>
      </c>
    </row>
    <row r="373" spans="1:2" x14ac:dyDescent="0.3">
      <c r="A373" t="s">
        <v>1617</v>
      </c>
      <c r="B373" t="s">
        <v>1618</v>
      </c>
    </row>
    <row r="374" spans="1:2" x14ac:dyDescent="0.3">
      <c r="A374" t="s">
        <v>1619</v>
      </c>
      <c r="B374" t="s">
        <v>1620</v>
      </c>
    </row>
    <row r="375" spans="1:2" x14ac:dyDescent="0.3">
      <c r="A375" t="s">
        <v>1621</v>
      </c>
      <c r="B375" t="s">
        <v>1622</v>
      </c>
    </row>
    <row r="376" spans="1:2" x14ac:dyDescent="0.3">
      <c r="A376" t="s">
        <v>1623</v>
      </c>
      <c r="B376" t="s">
        <v>1624</v>
      </c>
    </row>
    <row r="377" spans="1:2" x14ac:dyDescent="0.3">
      <c r="A377" t="s">
        <v>1625</v>
      </c>
      <c r="B377" t="s">
        <v>1626</v>
      </c>
    </row>
    <row r="378" spans="1:2" x14ac:dyDescent="0.3">
      <c r="A378" t="s">
        <v>1627</v>
      </c>
      <c r="B378" t="s">
        <v>1628</v>
      </c>
    </row>
    <row r="379" spans="1:2" x14ac:dyDescent="0.3">
      <c r="A379" t="s">
        <v>1629</v>
      </c>
      <c r="B379" t="s">
        <v>1630</v>
      </c>
    </row>
    <row r="380" spans="1:2" x14ac:dyDescent="0.3">
      <c r="A380" t="s">
        <v>1631</v>
      </c>
      <c r="B380" t="s">
        <v>1632</v>
      </c>
    </row>
    <row r="381" spans="1:2" x14ac:dyDescent="0.3">
      <c r="A381" t="s">
        <v>1633</v>
      </c>
      <c r="B381" t="s">
        <v>1634</v>
      </c>
    </row>
    <row r="382" spans="1:2" x14ac:dyDescent="0.3">
      <c r="A382" t="s">
        <v>1635</v>
      </c>
      <c r="B382" t="s">
        <v>1636</v>
      </c>
    </row>
    <row r="383" spans="1:2" x14ac:dyDescent="0.3">
      <c r="A383" t="s">
        <v>1637</v>
      </c>
      <c r="B383" t="s">
        <v>1638</v>
      </c>
    </row>
    <row r="384" spans="1:2" x14ac:dyDescent="0.3">
      <c r="A384" t="s">
        <v>1639</v>
      </c>
      <c r="B384" t="s">
        <v>1640</v>
      </c>
    </row>
    <row r="385" spans="1:2" x14ac:dyDescent="0.3">
      <c r="A385" t="s">
        <v>1641</v>
      </c>
      <c r="B385" t="s">
        <v>1642</v>
      </c>
    </row>
    <row r="386" spans="1:2" x14ac:dyDescent="0.3">
      <c r="A386" t="s">
        <v>1643</v>
      </c>
      <c r="B386" t="s">
        <v>1644</v>
      </c>
    </row>
    <row r="387" spans="1:2" x14ac:dyDescent="0.3">
      <c r="A387" t="s">
        <v>1645</v>
      </c>
      <c r="B387" t="s">
        <v>1646</v>
      </c>
    </row>
    <row r="388" spans="1:2" x14ac:dyDescent="0.3">
      <c r="A388" t="s">
        <v>1647</v>
      </c>
      <c r="B388" t="s">
        <v>1648</v>
      </c>
    </row>
    <row r="389" spans="1:2" x14ac:dyDescent="0.3">
      <c r="A389" t="s">
        <v>1649</v>
      </c>
      <c r="B389" t="s">
        <v>1650</v>
      </c>
    </row>
    <row r="390" spans="1:2" x14ac:dyDescent="0.3">
      <c r="A390" t="s">
        <v>1651</v>
      </c>
      <c r="B390" t="s">
        <v>1652</v>
      </c>
    </row>
    <row r="391" spans="1:2" x14ac:dyDescent="0.3">
      <c r="A391" t="s">
        <v>1653</v>
      </c>
      <c r="B391" t="s">
        <v>1654</v>
      </c>
    </row>
    <row r="392" spans="1:2" x14ac:dyDescent="0.3">
      <c r="A392" t="s">
        <v>1655</v>
      </c>
      <c r="B392" t="s">
        <v>1656</v>
      </c>
    </row>
    <row r="393" spans="1:2" x14ac:dyDescent="0.3">
      <c r="A393" t="s">
        <v>1657</v>
      </c>
      <c r="B393" t="s">
        <v>1658</v>
      </c>
    </row>
    <row r="394" spans="1:2" x14ac:dyDescent="0.3">
      <c r="A394" t="s">
        <v>1659</v>
      </c>
      <c r="B394" t="s">
        <v>1660</v>
      </c>
    </row>
    <row r="395" spans="1:2" x14ac:dyDescent="0.3">
      <c r="A395" t="s">
        <v>1661</v>
      </c>
      <c r="B395" t="s">
        <v>1662</v>
      </c>
    </row>
    <row r="396" spans="1:2" x14ac:dyDescent="0.3">
      <c r="A396" t="s">
        <v>1663</v>
      </c>
      <c r="B396" t="s">
        <v>1664</v>
      </c>
    </row>
    <row r="397" spans="1:2" x14ac:dyDescent="0.3">
      <c r="A397" t="s">
        <v>1665</v>
      </c>
      <c r="B397" t="s">
        <v>1666</v>
      </c>
    </row>
    <row r="398" spans="1:2" x14ac:dyDescent="0.3">
      <c r="A398" t="s">
        <v>1667</v>
      </c>
      <c r="B398" t="s">
        <v>1668</v>
      </c>
    </row>
    <row r="399" spans="1:2" x14ac:dyDescent="0.3">
      <c r="A399" t="s">
        <v>1669</v>
      </c>
      <c r="B399" t="s">
        <v>1670</v>
      </c>
    </row>
    <row r="400" spans="1:2" x14ac:dyDescent="0.3">
      <c r="A400" t="s">
        <v>1671</v>
      </c>
      <c r="B400" t="s">
        <v>1672</v>
      </c>
    </row>
    <row r="401" spans="1:2" x14ac:dyDescent="0.3">
      <c r="A401" t="s">
        <v>1673</v>
      </c>
      <c r="B401" t="s">
        <v>1674</v>
      </c>
    </row>
    <row r="402" spans="1:2" x14ac:dyDescent="0.3">
      <c r="A402" t="s">
        <v>1675</v>
      </c>
      <c r="B402" t="s">
        <v>1676</v>
      </c>
    </row>
    <row r="403" spans="1:2" x14ac:dyDescent="0.3">
      <c r="A403" t="s">
        <v>1677</v>
      </c>
      <c r="B403" t="s">
        <v>1678</v>
      </c>
    </row>
    <row r="404" spans="1:2" x14ac:dyDescent="0.3">
      <c r="A404" t="s">
        <v>1679</v>
      </c>
      <c r="B404" t="s">
        <v>1680</v>
      </c>
    </row>
    <row r="405" spans="1:2" x14ac:dyDescent="0.3">
      <c r="A405" t="s">
        <v>1681</v>
      </c>
      <c r="B405" t="s">
        <v>1682</v>
      </c>
    </row>
    <row r="406" spans="1:2" x14ac:dyDescent="0.3">
      <c r="A406" t="s">
        <v>1683</v>
      </c>
      <c r="B406" t="s">
        <v>1684</v>
      </c>
    </row>
    <row r="407" spans="1:2" x14ac:dyDescent="0.3">
      <c r="A407" t="s">
        <v>1685</v>
      </c>
      <c r="B407" t="s">
        <v>1686</v>
      </c>
    </row>
    <row r="408" spans="1:2" x14ac:dyDescent="0.3">
      <c r="A408" t="s">
        <v>1687</v>
      </c>
      <c r="B408" t="s">
        <v>1688</v>
      </c>
    </row>
    <row r="409" spans="1:2" x14ac:dyDescent="0.3">
      <c r="A409" t="s">
        <v>1689</v>
      </c>
      <c r="B409" t="s">
        <v>1690</v>
      </c>
    </row>
    <row r="410" spans="1:2" x14ac:dyDescent="0.3">
      <c r="A410" t="s">
        <v>1691</v>
      </c>
      <c r="B410" t="s">
        <v>1692</v>
      </c>
    </row>
    <row r="411" spans="1:2" x14ac:dyDescent="0.3">
      <c r="A411" t="s">
        <v>1693</v>
      </c>
      <c r="B411" t="s">
        <v>1694</v>
      </c>
    </row>
    <row r="412" spans="1:2" x14ac:dyDescent="0.3">
      <c r="A412" t="s">
        <v>1695</v>
      </c>
      <c r="B412" t="s">
        <v>1696</v>
      </c>
    </row>
    <row r="413" spans="1:2" x14ac:dyDescent="0.3">
      <c r="A413" t="s">
        <v>1697</v>
      </c>
      <c r="B413" t="s">
        <v>1698</v>
      </c>
    </row>
    <row r="414" spans="1:2" x14ac:dyDescent="0.3">
      <c r="A414" t="s">
        <v>1699</v>
      </c>
      <c r="B414" t="s">
        <v>1700</v>
      </c>
    </row>
    <row r="415" spans="1:2" x14ac:dyDescent="0.3">
      <c r="A415" t="s">
        <v>1701</v>
      </c>
      <c r="B415" t="s">
        <v>1702</v>
      </c>
    </row>
    <row r="416" spans="1:2" x14ac:dyDescent="0.3">
      <c r="A416" t="s">
        <v>1703</v>
      </c>
      <c r="B416" t="s">
        <v>1704</v>
      </c>
    </row>
    <row r="417" spans="1:2" x14ac:dyDescent="0.3">
      <c r="A417" t="s">
        <v>1705</v>
      </c>
      <c r="B417" t="s">
        <v>1706</v>
      </c>
    </row>
    <row r="418" spans="1:2" x14ac:dyDescent="0.3">
      <c r="A418" t="s">
        <v>1707</v>
      </c>
      <c r="B418" t="s">
        <v>1708</v>
      </c>
    </row>
    <row r="419" spans="1:2" x14ac:dyDescent="0.3">
      <c r="A419" t="s">
        <v>1709</v>
      </c>
      <c r="B419" t="s">
        <v>1710</v>
      </c>
    </row>
    <row r="420" spans="1:2" x14ac:dyDescent="0.3">
      <c r="A420" t="s">
        <v>1711</v>
      </c>
      <c r="B420" t="s">
        <v>1712</v>
      </c>
    </row>
    <row r="421" spans="1:2" x14ac:dyDescent="0.3">
      <c r="A421" t="s">
        <v>1713</v>
      </c>
      <c r="B421" t="s">
        <v>1714</v>
      </c>
    </row>
    <row r="422" spans="1:2" x14ac:dyDescent="0.3">
      <c r="A422" t="s">
        <v>1715</v>
      </c>
      <c r="B422" t="s">
        <v>1716</v>
      </c>
    </row>
    <row r="423" spans="1:2" x14ac:dyDescent="0.3">
      <c r="A423" t="s">
        <v>1717</v>
      </c>
      <c r="B423" t="s">
        <v>1718</v>
      </c>
    </row>
    <row r="424" spans="1:2" x14ac:dyDescent="0.3">
      <c r="A424" t="s">
        <v>1719</v>
      </c>
      <c r="B424" t="s">
        <v>1720</v>
      </c>
    </row>
    <row r="425" spans="1:2" x14ac:dyDescent="0.3">
      <c r="A425" t="s">
        <v>1721</v>
      </c>
      <c r="B425" t="s">
        <v>1722</v>
      </c>
    </row>
    <row r="426" spans="1:2" x14ac:dyDescent="0.3">
      <c r="A426" t="s">
        <v>1723</v>
      </c>
      <c r="B426" t="s">
        <v>1724</v>
      </c>
    </row>
    <row r="427" spans="1:2" x14ac:dyDescent="0.3">
      <c r="A427" t="s">
        <v>1725</v>
      </c>
      <c r="B427" t="s">
        <v>1726</v>
      </c>
    </row>
    <row r="428" spans="1:2" x14ac:dyDescent="0.3">
      <c r="A428" t="s">
        <v>1727</v>
      </c>
      <c r="B428" t="s">
        <v>1728</v>
      </c>
    </row>
    <row r="429" spans="1:2" x14ac:dyDescent="0.3">
      <c r="A429" t="s">
        <v>1729</v>
      </c>
      <c r="B429" t="s">
        <v>1730</v>
      </c>
    </row>
    <row r="430" spans="1:2" x14ac:dyDescent="0.3">
      <c r="A430" t="s">
        <v>1731</v>
      </c>
      <c r="B430" t="s">
        <v>1732</v>
      </c>
    </row>
    <row r="431" spans="1:2" x14ac:dyDescent="0.3">
      <c r="A431" t="s">
        <v>1733</v>
      </c>
      <c r="B431" t="s">
        <v>1734</v>
      </c>
    </row>
    <row r="432" spans="1:2" x14ac:dyDescent="0.3">
      <c r="A432" t="s">
        <v>1735</v>
      </c>
      <c r="B432" t="s">
        <v>1736</v>
      </c>
    </row>
    <row r="433" spans="1:2" x14ac:dyDescent="0.3">
      <c r="A433" t="s">
        <v>1737</v>
      </c>
      <c r="B433" t="s">
        <v>1738</v>
      </c>
    </row>
    <row r="434" spans="1:2" x14ac:dyDescent="0.3">
      <c r="A434" t="s">
        <v>1739</v>
      </c>
      <c r="B434" t="s">
        <v>1740</v>
      </c>
    </row>
    <row r="435" spans="1:2" x14ac:dyDescent="0.3">
      <c r="A435" t="s">
        <v>1741</v>
      </c>
      <c r="B435" t="s">
        <v>1742</v>
      </c>
    </row>
    <row r="436" spans="1:2" x14ac:dyDescent="0.3">
      <c r="A436" t="s">
        <v>1743</v>
      </c>
      <c r="B436" t="s">
        <v>1744</v>
      </c>
    </row>
    <row r="437" spans="1:2" x14ac:dyDescent="0.3">
      <c r="A437" t="s">
        <v>1745</v>
      </c>
      <c r="B437" t="s">
        <v>1746</v>
      </c>
    </row>
    <row r="438" spans="1:2" x14ac:dyDescent="0.3">
      <c r="A438" t="s">
        <v>1747</v>
      </c>
      <c r="B438" t="s">
        <v>1748</v>
      </c>
    </row>
    <row r="439" spans="1:2" x14ac:dyDescent="0.3">
      <c r="A439" t="s">
        <v>1749</v>
      </c>
      <c r="B439" t="s">
        <v>1750</v>
      </c>
    </row>
    <row r="440" spans="1:2" x14ac:dyDescent="0.3">
      <c r="A440" t="s">
        <v>1751</v>
      </c>
      <c r="B440" t="s">
        <v>1752</v>
      </c>
    </row>
    <row r="441" spans="1:2" x14ac:dyDescent="0.3">
      <c r="A441" t="s">
        <v>1753</v>
      </c>
      <c r="B441" t="s">
        <v>1754</v>
      </c>
    </row>
    <row r="442" spans="1:2" x14ac:dyDescent="0.3">
      <c r="A442" t="s">
        <v>1755</v>
      </c>
      <c r="B442" t="s">
        <v>1756</v>
      </c>
    </row>
    <row r="443" spans="1:2" x14ac:dyDescent="0.3">
      <c r="A443" t="s">
        <v>1757</v>
      </c>
      <c r="B443" t="s">
        <v>1758</v>
      </c>
    </row>
    <row r="444" spans="1:2" x14ac:dyDescent="0.3">
      <c r="A444" t="s">
        <v>1759</v>
      </c>
      <c r="B444" t="s">
        <v>1760</v>
      </c>
    </row>
    <row r="445" spans="1:2" x14ac:dyDescent="0.3">
      <c r="A445" t="s">
        <v>1761</v>
      </c>
      <c r="B445" t="s">
        <v>1762</v>
      </c>
    </row>
    <row r="446" spans="1:2" x14ac:dyDescent="0.3">
      <c r="A446" t="s">
        <v>1763</v>
      </c>
      <c r="B446" t="s">
        <v>1764</v>
      </c>
    </row>
    <row r="447" spans="1:2" x14ac:dyDescent="0.3">
      <c r="A447" t="s">
        <v>1765</v>
      </c>
      <c r="B447" t="s">
        <v>1766</v>
      </c>
    </row>
    <row r="448" spans="1:2" x14ac:dyDescent="0.3">
      <c r="A448" t="s">
        <v>1767</v>
      </c>
      <c r="B448" t="s">
        <v>1768</v>
      </c>
    </row>
    <row r="449" spans="1:2" x14ac:dyDescent="0.3">
      <c r="A449" t="s">
        <v>1769</v>
      </c>
      <c r="B449" t="s">
        <v>1770</v>
      </c>
    </row>
    <row r="450" spans="1:2" x14ac:dyDescent="0.3">
      <c r="A450" t="s">
        <v>1771</v>
      </c>
      <c r="B450" t="s">
        <v>1772</v>
      </c>
    </row>
    <row r="451" spans="1:2" x14ac:dyDescent="0.3">
      <c r="A451" t="s">
        <v>312</v>
      </c>
      <c r="B451" t="s">
        <v>1773</v>
      </c>
    </row>
    <row r="452" spans="1:2" x14ac:dyDescent="0.3">
      <c r="A452" t="s">
        <v>316</v>
      </c>
      <c r="B452" t="s">
        <v>1774</v>
      </c>
    </row>
    <row r="453" spans="1:2" x14ac:dyDescent="0.3">
      <c r="A453" t="s">
        <v>319</v>
      </c>
      <c r="B453" t="s">
        <v>1775</v>
      </c>
    </row>
    <row r="454" spans="1:2" x14ac:dyDescent="0.3">
      <c r="A454" t="s">
        <v>321</v>
      </c>
      <c r="B454" t="s">
        <v>1776</v>
      </c>
    </row>
    <row r="455" spans="1:2" x14ac:dyDescent="0.3">
      <c r="A455" t="s">
        <v>324</v>
      </c>
      <c r="B455" t="s">
        <v>1777</v>
      </c>
    </row>
    <row r="456" spans="1:2" x14ac:dyDescent="0.3">
      <c r="A456" t="s">
        <v>327</v>
      </c>
      <c r="B456" t="s">
        <v>1778</v>
      </c>
    </row>
    <row r="457" spans="1:2" x14ac:dyDescent="0.3">
      <c r="A457" t="s">
        <v>330</v>
      </c>
      <c r="B457" t="s">
        <v>1779</v>
      </c>
    </row>
    <row r="458" spans="1:2" x14ac:dyDescent="0.3">
      <c r="A458" t="s">
        <v>63</v>
      </c>
      <c r="B458" t="s">
        <v>1780</v>
      </c>
    </row>
    <row r="459" spans="1:2" x14ac:dyDescent="0.3">
      <c r="A459" t="s">
        <v>336</v>
      </c>
      <c r="B459" t="s">
        <v>1781</v>
      </c>
    </row>
    <row r="460" spans="1:2" x14ac:dyDescent="0.3">
      <c r="A460" t="s">
        <v>65</v>
      </c>
      <c r="B460" t="s">
        <v>1782</v>
      </c>
    </row>
    <row r="461" spans="1:2" x14ac:dyDescent="0.3">
      <c r="A461" t="s">
        <v>339</v>
      </c>
      <c r="B461" t="s">
        <v>1783</v>
      </c>
    </row>
    <row r="462" spans="1:2" x14ac:dyDescent="0.3">
      <c r="A462" t="s">
        <v>67</v>
      </c>
      <c r="B462" t="s">
        <v>1784</v>
      </c>
    </row>
    <row r="463" spans="1:2" x14ac:dyDescent="0.3">
      <c r="A463" t="s">
        <v>342</v>
      </c>
      <c r="B463" t="s">
        <v>1785</v>
      </c>
    </row>
    <row r="464" spans="1:2" x14ac:dyDescent="0.3">
      <c r="A464" t="s">
        <v>69</v>
      </c>
      <c r="B464" t="s">
        <v>1786</v>
      </c>
    </row>
    <row r="465" spans="1:2" x14ac:dyDescent="0.3">
      <c r="A465" t="s">
        <v>344</v>
      </c>
      <c r="B465" t="s">
        <v>1787</v>
      </c>
    </row>
    <row r="466" spans="1:2" x14ac:dyDescent="0.3">
      <c r="A466" t="s">
        <v>71</v>
      </c>
      <c r="B466" t="s">
        <v>1788</v>
      </c>
    </row>
    <row r="467" spans="1:2" x14ac:dyDescent="0.3">
      <c r="A467" t="s">
        <v>347</v>
      </c>
      <c r="B467" t="s">
        <v>1789</v>
      </c>
    </row>
    <row r="468" spans="1:2" x14ac:dyDescent="0.3">
      <c r="A468" t="s">
        <v>73</v>
      </c>
      <c r="B468" t="s">
        <v>1790</v>
      </c>
    </row>
    <row r="469" spans="1:2" x14ac:dyDescent="0.3">
      <c r="A469" t="s">
        <v>350</v>
      </c>
      <c r="B469" t="s">
        <v>1791</v>
      </c>
    </row>
    <row r="470" spans="1:2" x14ac:dyDescent="0.3">
      <c r="A470" t="s">
        <v>352</v>
      </c>
      <c r="B470" t="s">
        <v>1792</v>
      </c>
    </row>
    <row r="471" spans="1:2" x14ac:dyDescent="0.3">
      <c r="A471" t="s">
        <v>355</v>
      </c>
      <c r="B471" t="s">
        <v>1793</v>
      </c>
    </row>
    <row r="472" spans="1:2" x14ac:dyDescent="0.3">
      <c r="A472" t="s">
        <v>118</v>
      </c>
      <c r="B472" t="s">
        <v>1794</v>
      </c>
    </row>
    <row r="473" spans="1:2" x14ac:dyDescent="0.3">
      <c r="A473" t="s">
        <v>120</v>
      </c>
      <c r="B473" t="s">
        <v>1795</v>
      </c>
    </row>
    <row r="474" spans="1:2" x14ac:dyDescent="0.3">
      <c r="A474" t="s">
        <v>122</v>
      </c>
      <c r="B474" t="s">
        <v>1796</v>
      </c>
    </row>
    <row r="475" spans="1:2" x14ac:dyDescent="0.3">
      <c r="A475" t="s">
        <v>124</v>
      </c>
      <c r="B475" t="s">
        <v>1797</v>
      </c>
    </row>
    <row r="476" spans="1:2" x14ac:dyDescent="0.3">
      <c r="A476" t="s">
        <v>126</v>
      </c>
      <c r="B476" t="s">
        <v>1798</v>
      </c>
    </row>
    <row r="477" spans="1:2" x14ac:dyDescent="0.3">
      <c r="A477" t="s">
        <v>128</v>
      </c>
      <c r="B477" t="s">
        <v>1799</v>
      </c>
    </row>
    <row r="478" spans="1:2" x14ac:dyDescent="0.3">
      <c r="A478" t="s">
        <v>130</v>
      </c>
      <c r="B478" t="s">
        <v>1800</v>
      </c>
    </row>
    <row r="479" spans="1:2" x14ac:dyDescent="0.3">
      <c r="A479" t="s">
        <v>133</v>
      </c>
      <c r="B479" t="s">
        <v>1801</v>
      </c>
    </row>
    <row r="480" spans="1:2" x14ac:dyDescent="0.3">
      <c r="A480" t="s">
        <v>218</v>
      </c>
      <c r="B480" t="s">
        <v>1802</v>
      </c>
    </row>
    <row r="481" spans="1:2" x14ac:dyDescent="0.3">
      <c r="A481" t="s">
        <v>220</v>
      </c>
      <c r="B481" t="s">
        <v>1803</v>
      </c>
    </row>
    <row r="482" spans="1:2" x14ac:dyDescent="0.3">
      <c r="A482" t="s">
        <v>222</v>
      </c>
      <c r="B482" t="s">
        <v>1804</v>
      </c>
    </row>
    <row r="483" spans="1:2" x14ac:dyDescent="0.3">
      <c r="A483" t="s">
        <v>224</v>
      </c>
      <c r="B483" t="s">
        <v>1805</v>
      </c>
    </row>
    <row r="484" spans="1:2" x14ac:dyDescent="0.3">
      <c r="A484" t="s">
        <v>226</v>
      </c>
      <c r="B484" t="s">
        <v>1806</v>
      </c>
    </row>
    <row r="485" spans="1:2" x14ac:dyDescent="0.3">
      <c r="A485" t="s">
        <v>228</v>
      </c>
      <c r="B485" t="s">
        <v>1807</v>
      </c>
    </row>
    <row r="486" spans="1:2" x14ac:dyDescent="0.3">
      <c r="A486" t="s">
        <v>230</v>
      </c>
      <c r="B486" t="s">
        <v>1808</v>
      </c>
    </row>
    <row r="487" spans="1:2" x14ac:dyDescent="0.3">
      <c r="A487" t="s">
        <v>233</v>
      </c>
      <c r="B487" t="s">
        <v>1809</v>
      </c>
    </row>
    <row r="488" spans="1:2" x14ac:dyDescent="0.3">
      <c r="A488" t="s">
        <v>235</v>
      </c>
      <c r="B488" t="s">
        <v>1810</v>
      </c>
    </row>
    <row r="489" spans="1:2" x14ac:dyDescent="0.3">
      <c r="A489" t="s">
        <v>238</v>
      </c>
      <c r="B489" t="s">
        <v>1811</v>
      </c>
    </row>
    <row r="490" spans="1:2" x14ac:dyDescent="0.3">
      <c r="A490" t="s">
        <v>240</v>
      </c>
      <c r="B490" t="s">
        <v>1812</v>
      </c>
    </row>
    <row r="491" spans="1:2" x14ac:dyDescent="0.3">
      <c r="A491" t="s">
        <v>242</v>
      </c>
      <c r="B491" t="s">
        <v>1813</v>
      </c>
    </row>
    <row r="492" spans="1:2" x14ac:dyDescent="0.3">
      <c r="A492" t="s">
        <v>244</v>
      </c>
      <c r="B492" t="s">
        <v>1814</v>
      </c>
    </row>
    <row r="493" spans="1:2" x14ac:dyDescent="0.3">
      <c r="A493" t="s">
        <v>246</v>
      </c>
      <c r="B493" t="s">
        <v>1815</v>
      </c>
    </row>
    <row r="494" spans="1:2" x14ac:dyDescent="0.3">
      <c r="A494" t="s">
        <v>248</v>
      </c>
      <c r="B494" t="s">
        <v>1816</v>
      </c>
    </row>
    <row r="495" spans="1:2" x14ac:dyDescent="0.3">
      <c r="A495" t="s">
        <v>297</v>
      </c>
      <c r="B495" t="s">
        <v>1817</v>
      </c>
    </row>
    <row r="496" spans="1:2" x14ac:dyDescent="0.3">
      <c r="A496" t="s">
        <v>299</v>
      </c>
      <c r="B496" t="s">
        <v>1818</v>
      </c>
    </row>
    <row r="497" spans="1:2" x14ac:dyDescent="0.3">
      <c r="A497" t="s">
        <v>301</v>
      </c>
      <c r="B497" t="s">
        <v>1819</v>
      </c>
    </row>
    <row r="498" spans="1:2" x14ac:dyDescent="0.3">
      <c r="A498" t="s">
        <v>303</v>
      </c>
      <c r="B498" t="s">
        <v>1820</v>
      </c>
    </row>
    <row r="499" spans="1:2" x14ac:dyDescent="0.3">
      <c r="A499" t="s">
        <v>305</v>
      </c>
      <c r="B499" t="s">
        <v>1821</v>
      </c>
    </row>
    <row r="500" spans="1:2" x14ac:dyDescent="0.3">
      <c r="A500" t="s">
        <v>307</v>
      </c>
      <c r="B500" t="s">
        <v>1822</v>
      </c>
    </row>
    <row r="501" spans="1:2" x14ac:dyDescent="0.3">
      <c r="A501" t="s">
        <v>1823</v>
      </c>
      <c r="B501" t="s">
        <v>1824</v>
      </c>
    </row>
    <row r="502" spans="1:2" x14ac:dyDescent="0.3">
      <c r="A502" t="s">
        <v>1825</v>
      </c>
      <c r="B502" t="s">
        <v>1826</v>
      </c>
    </row>
    <row r="503" spans="1:2" x14ac:dyDescent="0.3">
      <c r="A503" t="s">
        <v>1827</v>
      </c>
      <c r="B503" t="s">
        <v>1828</v>
      </c>
    </row>
    <row r="504" spans="1:2" x14ac:dyDescent="0.3">
      <c r="A504" t="s">
        <v>1829</v>
      </c>
      <c r="B504" t="s">
        <v>1828</v>
      </c>
    </row>
    <row r="505" spans="1:2" x14ac:dyDescent="0.3">
      <c r="A505" t="s">
        <v>1830</v>
      </c>
      <c r="B505" t="s">
        <v>1831</v>
      </c>
    </row>
    <row r="506" spans="1:2" x14ac:dyDescent="0.3">
      <c r="A506" t="s">
        <v>1832</v>
      </c>
      <c r="B506" t="s">
        <v>1833</v>
      </c>
    </row>
    <row r="507" spans="1:2" x14ac:dyDescent="0.3">
      <c r="A507" t="s">
        <v>1834</v>
      </c>
      <c r="B507" t="s">
        <v>1835</v>
      </c>
    </row>
    <row r="508" spans="1:2" x14ac:dyDescent="0.3">
      <c r="A508" t="s">
        <v>1836</v>
      </c>
      <c r="B508" t="s">
        <v>1837</v>
      </c>
    </row>
    <row r="509" spans="1:2" x14ac:dyDescent="0.3">
      <c r="A509" t="s">
        <v>1838</v>
      </c>
      <c r="B509" t="s">
        <v>1839</v>
      </c>
    </row>
    <row r="510" spans="1:2" x14ac:dyDescent="0.3">
      <c r="A510" t="s">
        <v>1840</v>
      </c>
      <c r="B510" t="s">
        <v>1841</v>
      </c>
    </row>
    <row r="511" spans="1:2" x14ac:dyDescent="0.3">
      <c r="A511" t="s">
        <v>1842</v>
      </c>
      <c r="B511" t="s">
        <v>1843</v>
      </c>
    </row>
    <row r="512" spans="1:2" x14ac:dyDescent="0.3">
      <c r="A512" t="s">
        <v>1844</v>
      </c>
      <c r="B512" t="s">
        <v>1845</v>
      </c>
    </row>
    <row r="513" spans="1:2" x14ac:dyDescent="0.3">
      <c r="A513" t="s">
        <v>1846</v>
      </c>
      <c r="B513" t="s">
        <v>1847</v>
      </c>
    </row>
    <row r="514" spans="1:2" x14ac:dyDescent="0.3">
      <c r="A514" t="s">
        <v>1848</v>
      </c>
      <c r="B514" t="s">
        <v>1849</v>
      </c>
    </row>
    <row r="515" spans="1:2" x14ac:dyDescent="0.3">
      <c r="A515" t="s">
        <v>1850</v>
      </c>
      <c r="B515" t="s">
        <v>1851</v>
      </c>
    </row>
    <row r="516" spans="1:2" x14ac:dyDescent="0.3">
      <c r="A516" t="s">
        <v>1852</v>
      </c>
      <c r="B516" t="s">
        <v>1853</v>
      </c>
    </row>
    <row r="517" spans="1:2" x14ac:dyDescent="0.3">
      <c r="A517" t="s">
        <v>1854</v>
      </c>
      <c r="B517" t="s">
        <v>1855</v>
      </c>
    </row>
    <row r="518" spans="1:2" x14ac:dyDescent="0.3">
      <c r="A518" t="s">
        <v>1856</v>
      </c>
      <c r="B518" t="s">
        <v>1857</v>
      </c>
    </row>
    <row r="519" spans="1:2" x14ac:dyDescent="0.3">
      <c r="A519" t="s">
        <v>1858</v>
      </c>
      <c r="B519" t="s">
        <v>1859</v>
      </c>
    </row>
    <row r="520" spans="1:2" x14ac:dyDescent="0.3">
      <c r="A520" t="s">
        <v>1860</v>
      </c>
      <c r="B520" t="s">
        <v>1861</v>
      </c>
    </row>
    <row r="521" spans="1:2" x14ac:dyDescent="0.3">
      <c r="A521" t="s">
        <v>1862</v>
      </c>
      <c r="B521" t="s">
        <v>1863</v>
      </c>
    </row>
    <row r="522" spans="1:2" x14ac:dyDescent="0.3">
      <c r="A522" t="s">
        <v>1864</v>
      </c>
      <c r="B522" t="s">
        <v>1865</v>
      </c>
    </row>
    <row r="523" spans="1:2" x14ac:dyDescent="0.3">
      <c r="A523" t="s">
        <v>1866</v>
      </c>
      <c r="B523" t="s">
        <v>1867</v>
      </c>
    </row>
    <row r="524" spans="1:2" x14ac:dyDescent="0.3">
      <c r="A524" t="s">
        <v>1868</v>
      </c>
      <c r="B524" t="s">
        <v>1869</v>
      </c>
    </row>
    <row r="525" spans="1:2" x14ac:dyDescent="0.3">
      <c r="A525" t="s">
        <v>1870</v>
      </c>
      <c r="B525" t="s">
        <v>1871</v>
      </c>
    </row>
    <row r="526" spans="1:2" x14ac:dyDescent="0.3">
      <c r="A526" t="s">
        <v>1872</v>
      </c>
      <c r="B526" t="s">
        <v>1873</v>
      </c>
    </row>
    <row r="527" spans="1:2" x14ac:dyDescent="0.3">
      <c r="A527" t="s">
        <v>1874</v>
      </c>
      <c r="B527" t="s">
        <v>1875</v>
      </c>
    </row>
    <row r="528" spans="1:2" x14ac:dyDescent="0.3">
      <c r="A528" t="s">
        <v>1876</v>
      </c>
      <c r="B528" t="s">
        <v>1877</v>
      </c>
    </row>
    <row r="529" spans="1:2" x14ac:dyDescent="0.3">
      <c r="A529" t="s">
        <v>1878</v>
      </c>
      <c r="B529" t="s">
        <v>1879</v>
      </c>
    </row>
    <row r="530" spans="1:2" x14ac:dyDescent="0.3">
      <c r="A530" t="s">
        <v>1880</v>
      </c>
      <c r="B530" t="s">
        <v>1881</v>
      </c>
    </row>
    <row r="531" spans="1:2" x14ac:dyDescent="0.3">
      <c r="A531" t="s">
        <v>1882</v>
      </c>
      <c r="B531" t="s">
        <v>1883</v>
      </c>
    </row>
    <row r="532" spans="1:2" x14ac:dyDescent="0.3">
      <c r="A532" t="s">
        <v>1884</v>
      </c>
      <c r="B532" t="s">
        <v>1885</v>
      </c>
    </row>
    <row r="533" spans="1:2" x14ac:dyDescent="0.3">
      <c r="A533" t="s">
        <v>1886</v>
      </c>
      <c r="B533" t="s">
        <v>1887</v>
      </c>
    </row>
    <row r="534" spans="1:2" x14ac:dyDescent="0.3">
      <c r="A534" t="s">
        <v>1888</v>
      </c>
      <c r="B534" t="s">
        <v>1889</v>
      </c>
    </row>
    <row r="535" spans="1:2" x14ac:dyDescent="0.3">
      <c r="A535" t="s">
        <v>1890</v>
      </c>
      <c r="B535" t="s">
        <v>1891</v>
      </c>
    </row>
    <row r="536" spans="1:2" x14ac:dyDescent="0.3">
      <c r="A536" t="s">
        <v>1892</v>
      </c>
      <c r="B536" t="s">
        <v>1893</v>
      </c>
    </row>
    <row r="537" spans="1:2" x14ac:dyDescent="0.3">
      <c r="A537" t="s">
        <v>1894</v>
      </c>
      <c r="B537" t="s">
        <v>1895</v>
      </c>
    </row>
    <row r="538" spans="1:2" x14ac:dyDescent="0.3">
      <c r="A538" t="s">
        <v>1896</v>
      </c>
      <c r="B538" t="s">
        <v>1897</v>
      </c>
    </row>
    <row r="539" spans="1:2" x14ac:dyDescent="0.3">
      <c r="A539" t="s">
        <v>1898</v>
      </c>
      <c r="B539" t="s">
        <v>1899</v>
      </c>
    </row>
    <row r="540" spans="1:2" x14ac:dyDescent="0.3">
      <c r="A540" t="s">
        <v>1900</v>
      </c>
      <c r="B540" t="s">
        <v>1901</v>
      </c>
    </row>
    <row r="541" spans="1:2" x14ac:dyDescent="0.3">
      <c r="A541" t="s">
        <v>1902</v>
      </c>
      <c r="B541" t="s">
        <v>1903</v>
      </c>
    </row>
    <row r="542" spans="1:2" x14ac:dyDescent="0.3">
      <c r="A542" t="s">
        <v>1904</v>
      </c>
      <c r="B542" t="s">
        <v>1905</v>
      </c>
    </row>
    <row r="543" spans="1:2" x14ac:dyDescent="0.3">
      <c r="A543" t="s">
        <v>1906</v>
      </c>
      <c r="B543" t="s">
        <v>1907</v>
      </c>
    </row>
    <row r="544" spans="1:2" x14ac:dyDescent="0.3">
      <c r="A544" t="s">
        <v>1908</v>
      </c>
      <c r="B544" t="s">
        <v>1909</v>
      </c>
    </row>
    <row r="545" spans="1:2" x14ac:dyDescent="0.3">
      <c r="A545" t="s">
        <v>1910</v>
      </c>
      <c r="B545" t="s">
        <v>1911</v>
      </c>
    </row>
    <row r="546" spans="1:2" x14ac:dyDescent="0.3">
      <c r="A546" t="s">
        <v>1912</v>
      </c>
      <c r="B546" t="s">
        <v>1913</v>
      </c>
    </row>
    <row r="547" spans="1:2" x14ac:dyDescent="0.3">
      <c r="A547" t="s">
        <v>1914</v>
      </c>
      <c r="B547" t="s">
        <v>1915</v>
      </c>
    </row>
    <row r="548" spans="1:2" x14ac:dyDescent="0.3">
      <c r="A548" t="s">
        <v>1916</v>
      </c>
      <c r="B548" t="s">
        <v>1917</v>
      </c>
    </row>
    <row r="549" spans="1:2" x14ac:dyDescent="0.3">
      <c r="A549" t="s">
        <v>1918</v>
      </c>
      <c r="B549" t="s">
        <v>1919</v>
      </c>
    </row>
    <row r="550" spans="1:2" x14ac:dyDescent="0.3">
      <c r="A550" t="s">
        <v>1920</v>
      </c>
      <c r="B550" t="s">
        <v>1921</v>
      </c>
    </row>
    <row r="551" spans="1:2" x14ac:dyDescent="0.3">
      <c r="A551" t="s">
        <v>1922</v>
      </c>
      <c r="B551" t="s">
        <v>1923</v>
      </c>
    </row>
    <row r="552" spans="1:2" x14ac:dyDescent="0.3">
      <c r="A552" t="s">
        <v>1924</v>
      </c>
      <c r="B552" t="s">
        <v>1925</v>
      </c>
    </row>
    <row r="553" spans="1:2" x14ac:dyDescent="0.3">
      <c r="A553" t="s">
        <v>1926</v>
      </c>
      <c r="B553" t="s">
        <v>1927</v>
      </c>
    </row>
    <row r="554" spans="1:2" x14ac:dyDescent="0.3">
      <c r="A554" t="s">
        <v>1928</v>
      </c>
      <c r="B554" t="s">
        <v>1929</v>
      </c>
    </row>
    <row r="555" spans="1:2" x14ac:dyDescent="0.3">
      <c r="A555" t="s">
        <v>1930</v>
      </c>
      <c r="B555" t="s">
        <v>1931</v>
      </c>
    </row>
    <row r="556" spans="1:2" x14ac:dyDescent="0.3">
      <c r="A556" t="s">
        <v>1932</v>
      </c>
      <c r="B556" t="s">
        <v>1933</v>
      </c>
    </row>
    <row r="557" spans="1:2" x14ac:dyDescent="0.3">
      <c r="A557" t="s">
        <v>1934</v>
      </c>
      <c r="B557" t="s">
        <v>1935</v>
      </c>
    </row>
    <row r="558" spans="1:2" x14ac:dyDescent="0.3">
      <c r="A558" t="s">
        <v>1936</v>
      </c>
      <c r="B558" t="s">
        <v>1937</v>
      </c>
    </row>
    <row r="559" spans="1:2" x14ac:dyDescent="0.3">
      <c r="A559" t="s">
        <v>1938</v>
      </c>
      <c r="B559" t="s">
        <v>1939</v>
      </c>
    </row>
    <row r="560" spans="1:2" x14ac:dyDescent="0.3">
      <c r="A560" t="s">
        <v>1940</v>
      </c>
      <c r="B560" t="s">
        <v>1941</v>
      </c>
    </row>
    <row r="561" spans="1:2" x14ac:dyDescent="0.3">
      <c r="A561" t="s">
        <v>1942</v>
      </c>
      <c r="B561" t="s">
        <v>1943</v>
      </c>
    </row>
    <row r="562" spans="1:2" x14ac:dyDescent="0.3">
      <c r="A562" t="s">
        <v>1944</v>
      </c>
      <c r="B562" t="s">
        <v>1945</v>
      </c>
    </row>
    <row r="563" spans="1:2" x14ac:dyDescent="0.3">
      <c r="A563" t="s">
        <v>1946</v>
      </c>
      <c r="B563" t="s">
        <v>1947</v>
      </c>
    </row>
    <row r="564" spans="1:2" x14ac:dyDescent="0.3">
      <c r="A564" t="s">
        <v>1948</v>
      </c>
      <c r="B564" t="s">
        <v>1949</v>
      </c>
    </row>
    <row r="565" spans="1:2" x14ac:dyDescent="0.3">
      <c r="A565" t="s">
        <v>1950</v>
      </c>
      <c r="B565" t="s">
        <v>1951</v>
      </c>
    </row>
    <row r="566" spans="1:2" x14ac:dyDescent="0.3">
      <c r="A566" t="s">
        <v>1952</v>
      </c>
      <c r="B566" t="s">
        <v>1953</v>
      </c>
    </row>
    <row r="567" spans="1:2" x14ac:dyDescent="0.3">
      <c r="A567" t="s">
        <v>1954</v>
      </c>
      <c r="B567" t="s">
        <v>1955</v>
      </c>
    </row>
    <row r="568" spans="1:2" x14ac:dyDescent="0.3">
      <c r="A568" t="s">
        <v>1956</v>
      </c>
      <c r="B568" t="s">
        <v>1957</v>
      </c>
    </row>
    <row r="569" spans="1:2" x14ac:dyDescent="0.3">
      <c r="A569" t="s">
        <v>1958</v>
      </c>
      <c r="B569" t="s">
        <v>1959</v>
      </c>
    </row>
    <row r="570" spans="1:2" x14ac:dyDescent="0.3">
      <c r="A570" t="s">
        <v>1960</v>
      </c>
      <c r="B570" t="s">
        <v>1961</v>
      </c>
    </row>
    <row r="571" spans="1:2" x14ac:dyDescent="0.3">
      <c r="A571" t="s">
        <v>1962</v>
      </c>
      <c r="B571" t="s">
        <v>1963</v>
      </c>
    </row>
    <row r="572" spans="1:2" x14ac:dyDescent="0.3">
      <c r="A572" t="s">
        <v>1964</v>
      </c>
      <c r="B572" t="s">
        <v>1965</v>
      </c>
    </row>
    <row r="573" spans="1:2" x14ac:dyDescent="0.3">
      <c r="A573" t="s">
        <v>1966</v>
      </c>
      <c r="B573" t="s">
        <v>1967</v>
      </c>
    </row>
    <row r="574" spans="1:2" x14ac:dyDescent="0.3">
      <c r="A574" t="s">
        <v>1968</v>
      </c>
      <c r="B574" t="s">
        <v>1969</v>
      </c>
    </row>
    <row r="575" spans="1:2" x14ac:dyDescent="0.3">
      <c r="A575" t="s">
        <v>1970</v>
      </c>
      <c r="B575" t="s">
        <v>1971</v>
      </c>
    </row>
    <row r="576" spans="1:2" x14ac:dyDescent="0.3">
      <c r="A576" t="s">
        <v>1972</v>
      </c>
      <c r="B576" t="s">
        <v>1973</v>
      </c>
    </row>
    <row r="577" spans="1:2" x14ac:dyDescent="0.3">
      <c r="A577" t="s">
        <v>1974</v>
      </c>
      <c r="B577" t="s">
        <v>1975</v>
      </c>
    </row>
    <row r="578" spans="1:2" x14ac:dyDescent="0.3">
      <c r="A578" t="s">
        <v>1976</v>
      </c>
      <c r="B578" t="s">
        <v>1977</v>
      </c>
    </row>
    <row r="579" spans="1:2" x14ac:dyDescent="0.3">
      <c r="A579" t="s">
        <v>1978</v>
      </c>
      <c r="B579" t="s">
        <v>1979</v>
      </c>
    </row>
    <row r="580" spans="1:2" x14ac:dyDescent="0.3">
      <c r="A580" t="s">
        <v>1980</v>
      </c>
      <c r="B580" t="s">
        <v>1981</v>
      </c>
    </row>
    <row r="581" spans="1:2" x14ac:dyDescent="0.3">
      <c r="A581" t="s">
        <v>1982</v>
      </c>
      <c r="B581" t="s">
        <v>1983</v>
      </c>
    </row>
    <row r="582" spans="1:2" x14ac:dyDescent="0.3">
      <c r="A582" t="s">
        <v>1984</v>
      </c>
      <c r="B582" t="s">
        <v>1985</v>
      </c>
    </row>
    <row r="583" spans="1:2" x14ac:dyDescent="0.3">
      <c r="A583" t="s">
        <v>1986</v>
      </c>
      <c r="B583" t="s">
        <v>1987</v>
      </c>
    </row>
    <row r="584" spans="1:2" x14ac:dyDescent="0.3">
      <c r="A584" t="s">
        <v>1988</v>
      </c>
      <c r="B584" t="s">
        <v>1989</v>
      </c>
    </row>
    <row r="585" spans="1:2" x14ac:dyDescent="0.3">
      <c r="A585" t="s">
        <v>1990</v>
      </c>
      <c r="B585" t="s">
        <v>1991</v>
      </c>
    </row>
    <row r="586" spans="1:2" x14ac:dyDescent="0.3">
      <c r="A586" t="s">
        <v>1992</v>
      </c>
      <c r="B586" t="s">
        <v>1993</v>
      </c>
    </row>
    <row r="587" spans="1:2" x14ac:dyDescent="0.3">
      <c r="A587" t="s">
        <v>1994</v>
      </c>
      <c r="B587" t="s">
        <v>1995</v>
      </c>
    </row>
    <row r="588" spans="1:2" x14ac:dyDescent="0.3">
      <c r="A588" t="s">
        <v>1996</v>
      </c>
      <c r="B588" t="s">
        <v>1997</v>
      </c>
    </row>
    <row r="589" spans="1:2" x14ac:dyDescent="0.3">
      <c r="A589" t="s">
        <v>1998</v>
      </c>
      <c r="B589" t="s">
        <v>1999</v>
      </c>
    </row>
    <row r="590" spans="1:2" x14ac:dyDescent="0.3">
      <c r="A590" t="s">
        <v>2000</v>
      </c>
      <c r="B590" t="s">
        <v>2001</v>
      </c>
    </row>
    <row r="591" spans="1:2" x14ac:dyDescent="0.3">
      <c r="A591" t="s">
        <v>2002</v>
      </c>
      <c r="B591" t="s">
        <v>2003</v>
      </c>
    </row>
    <row r="592" spans="1:2" x14ac:dyDescent="0.3">
      <c r="A592" t="s">
        <v>2004</v>
      </c>
      <c r="B592" t="s">
        <v>2005</v>
      </c>
    </row>
    <row r="593" spans="1:2" x14ac:dyDescent="0.3">
      <c r="A593" t="s">
        <v>2006</v>
      </c>
      <c r="B593" t="s">
        <v>2007</v>
      </c>
    </row>
    <row r="594" spans="1:2" x14ac:dyDescent="0.3">
      <c r="A594" t="s">
        <v>2008</v>
      </c>
      <c r="B594" t="s">
        <v>2009</v>
      </c>
    </row>
    <row r="595" spans="1:2" x14ac:dyDescent="0.3">
      <c r="A595" t="s">
        <v>2010</v>
      </c>
      <c r="B595" t="s">
        <v>2011</v>
      </c>
    </row>
    <row r="596" spans="1:2" x14ac:dyDescent="0.3">
      <c r="A596" t="s">
        <v>2012</v>
      </c>
      <c r="B596" t="s">
        <v>2013</v>
      </c>
    </row>
    <row r="597" spans="1:2" x14ac:dyDescent="0.3">
      <c r="A597" t="s">
        <v>2014</v>
      </c>
      <c r="B597" t="s">
        <v>2015</v>
      </c>
    </row>
    <row r="598" spans="1:2" x14ac:dyDescent="0.3">
      <c r="A598" t="s">
        <v>2016</v>
      </c>
      <c r="B598" t="s">
        <v>2017</v>
      </c>
    </row>
    <row r="599" spans="1:2" x14ac:dyDescent="0.3">
      <c r="A599" t="s">
        <v>2018</v>
      </c>
      <c r="B599" t="s">
        <v>2019</v>
      </c>
    </row>
    <row r="600" spans="1:2" x14ac:dyDescent="0.3">
      <c r="A600" t="s">
        <v>2020</v>
      </c>
      <c r="B600" t="s">
        <v>2021</v>
      </c>
    </row>
    <row r="601" spans="1:2" x14ac:dyDescent="0.3">
      <c r="A601" t="s">
        <v>2022</v>
      </c>
      <c r="B601" t="s">
        <v>2023</v>
      </c>
    </row>
    <row r="602" spans="1:2" x14ac:dyDescent="0.3">
      <c r="A602" t="s">
        <v>2024</v>
      </c>
      <c r="B602" t="s">
        <v>2025</v>
      </c>
    </row>
    <row r="603" spans="1:2" x14ac:dyDescent="0.3">
      <c r="A603" t="s">
        <v>2026</v>
      </c>
      <c r="B603" t="s">
        <v>2027</v>
      </c>
    </row>
    <row r="604" spans="1:2" x14ac:dyDescent="0.3">
      <c r="A604" t="s">
        <v>2028</v>
      </c>
      <c r="B604" t="s">
        <v>2029</v>
      </c>
    </row>
    <row r="605" spans="1:2" x14ac:dyDescent="0.3">
      <c r="A605" t="s">
        <v>2030</v>
      </c>
      <c r="B605" t="s">
        <v>2031</v>
      </c>
    </row>
    <row r="606" spans="1:2" x14ac:dyDescent="0.3">
      <c r="A606" t="s">
        <v>2032</v>
      </c>
      <c r="B606" t="s">
        <v>2033</v>
      </c>
    </row>
    <row r="607" spans="1:2" x14ac:dyDescent="0.3">
      <c r="A607" t="s">
        <v>2034</v>
      </c>
      <c r="B607" t="s">
        <v>2035</v>
      </c>
    </row>
    <row r="608" spans="1:2" x14ac:dyDescent="0.3">
      <c r="A608" t="s">
        <v>2036</v>
      </c>
      <c r="B608" t="s">
        <v>2037</v>
      </c>
    </row>
    <row r="609" spans="1:2" x14ac:dyDescent="0.3">
      <c r="A609" t="s">
        <v>2038</v>
      </c>
      <c r="B609" t="s">
        <v>2039</v>
      </c>
    </row>
    <row r="610" spans="1:2" x14ac:dyDescent="0.3">
      <c r="A610" t="s">
        <v>2040</v>
      </c>
      <c r="B610" t="s">
        <v>2041</v>
      </c>
    </row>
    <row r="611" spans="1:2" x14ac:dyDescent="0.3">
      <c r="A611" t="s">
        <v>2042</v>
      </c>
      <c r="B611" t="s">
        <v>2043</v>
      </c>
    </row>
    <row r="612" spans="1:2" x14ac:dyDescent="0.3">
      <c r="A612" t="s">
        <v>2044</v>
      </c>
      <c r="B612" t="s">
        <v>2045</v>
      </c>
    </row>
    <row r="613" spans="1:2" x14ac:dyDescent="0.3">
      <c r="A613" t="s">
        <v>2046</v>
      </c>
      <c r="B613" t="s">
        <v>2047</v>
      </c>
    </row>
    <row r="614" spans="1:2" x14ac:dyDescent="0.3">
      <c r="A614" t="s">
        <v>2048</v>
      </c>
      <c r="B614" t="s">
        <v>2049</v>
      </c>
    </row>
    <row r="615" spans="1:2" x14ac:dyDescent="0.3">
      <c r="A615" t="s">
        <v>2050</v>
      </c>
      <c r="B615" t="s">
        <v>2051</v>
      </c>
    </row>
    <row r="616" spans="1:2" x14ac:dyDescent="0.3">
      <c r="A616" t="s">
        <v>2052</v>
      </c>
      <c r="B616" t="s">
        <v>2053</v>
      </c>
    </row>
    <row r="617" spans="1:2" x14ac:dyDescent="0.3">
      <c r="A617" t="s">
        <v>2054</v>
      </c>
      <c r="B617" t="s">
        <v>2055</v>
      </c>
    </row>
    <row r="618" spans="1:2" x14ac:dyDescent="0.3">
      <c r="A618" t="s">
        <v>2056</v>
      </c>
      <c r="B618" t="s">
        <v>2057</v>
      </c>
    </row>
    <row r="619" spans="1:2" x14ac:dyDescent="0.3">
      <c r="A619" t="s">
        <v>2058</v>
      </c>
      <c r="B619" t="s">
        <v>2059</v>
      </c>
    </row>
    <row r="620" spans="1:2" x14ac:dyDescent="0.3">
      <c r="A620" t="s">
        <v>2060</v>
      </c>
      <c r="B620" t="s">
        <v>2061</v>
      </c>
    </row>
    <row r="621" spans="1:2" x14ac:dyDescent="0.3">
      <c r="A621" t="s">
        <v>2062</v>
      </c>
      <c r="B621" t="s">
        <v>2063</v>
      </c>
    </row>
    <row r="622" spans="1:2" x14ac:dyDescent="0.3">
      <c r="A622" t="s">
        <v>2064</v>
      </c>
      <c r="B622" t="s">
        <v>2065</v>
      </c>
    </row>
    <row r="623" spans="1:2" x14ac:dyDescent="0.3">
      <c r="A623" t="s">
        <v>2066</v>
      </c>
      <c r="B623" t="s">
        <v>2067</v>
      </c>
    </row>
    <row r="624" spans="1:2" x14ac:dyDescent="0.3">
      <c r="A624" t="s">
        <v>2068</v>
      </c>
      <c r="B624" t="s">
        <v>2069</v>
      </c>
    </row>
    <row r="625" spans="1:2" x14ac:dyDescent="0.3">
      <c r="A625" t="s">
        <v>2070</v>
      </c>
      <c r="B625" t="s">
        <v>2071</v>
      </c>
    </row>
    <row r="626" spans="1:2" x14ac:dyDescent="0.3">
      <c r="A626" t="s">
        <v>2072</v>
      </c>
      <c r="B626" t="s">
        <v>2073</v>
      </c>
    </row>
    <row r="627" spans="1:2" x14ac:dyDescent="0.3">
      <c r="A627" t="s">
        <v>2074</v>
      </c>
      <c r="B627" t="s">
        <v>2075</v>
      </c>
    </row>
    <row r="628" spans="1:2" x14ac:dyDescent="0.3">
      <c r="A628" t="s">
        <v>2076</v>
      </c>
      <c r="B628" t="s">
        <v>2077</v>
      </c>
    </row>
    <row r="629" spans="1:2" x14ac:dyDescent="0.3">
      <c r="A629" t="s">
        <v>2078</v>
      </c>
      <c r="B629" t="s">
        <v>2079</v>
      </c>
    </row>
    <row r="630" spans="1:2" x14ac:dyDescent="0.3">
      <c r="A630" t="s">
        <v>2080</v>
      </c>
      <c r="B630" t="s">
        <v>2081</v>
      </c>
    </row>
    <row r="631" spans="1:2" x14ac:dyDescent="0.3">
      <c r="A631" t="s">
        <v>2082</v>
      </c>
      <c r="B631" t="s">
        <v>2083</v>
      </c>
    </row>
    <row r="632" spans="1:2" x14ac:dyDescent="0.3">
      <c r="A632" t="s">
        <v>2084</v>
      </c>
      <c r="B632" t="s">
        <v>2085</v>
      </c>
    </row>
    <row r="633" spans="1:2" x14ac:dyDescent="0.3">
      <c r="A633" t="s">
        <v>2086</v>
      </c>
      <c r="B633" t="s">
        <v>2087</v>
      </c>
    </row>
    <row r="634" spans="1:2" x14ac:dyDescent="0.3">
      <c r="A634" t="s">
        <v>2088</v>
      </c>
      <c r="B634" t="s">
        <v>2089</v>
      </c>
    </row>
    <row r="635" spans="1:2" x14ac:dyDescent="0.3">
      <c r="A635" t="s">
        <v>2090</v>
      </c>
      <c r="B635" t="s">
        <v>2091</v>
      </c>
    </row>
    <row r="636" spans="1:2" x14ac:dyDescent="0.3">
      <c r="A636" t="s">
        <v>2092</v>
      </c>
      <c r="B636" t="s">
        <v>2093</v>
      </c>
    </row>
  </sheetData>
  <sheetProtection sheet="1"/>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14"/>
  <sheetViews>
    <sheetView workbookViewId="0">
      <pane ySplit="1" topLeftCell="A2" activePane="bottomLeft" state="frozen"/>
      <selection pane="bottomLeft"/>
    </sheetView>
  </sheetViews>
  <sheetFormatPr defaultRowHeight="14.4" x14ac:dyDescent="0.3"/>
  <cols>
    <col min="1" max="1" width="20" customWidth="1"/>
    <col min="2" max="2" width="60" customWidth="1"/>
    <col min="3" max="9" width="25" customWidth="1"/>
    <col min="10" max="13" width="13" hidden="1" customWidth="1"/>
  </cols>
  <sheetData>
    <row r="1" spans="1:13" ht="25.05" customHeight="1" x14ac:dyDescent="0.3">
      <c r="A1" s="2" t="s">
        <v>19</v>
      </c>
      <c r="B1" s="2" t="s">
        <v>16</v>
      </c>
      <c r="C1" s="2" t="s">
        <v>2094</v>
      </c>
      <c r="D1" s="2" t="s">
        <v>2095</v>
      </c>
      <c r="E1" s="2" t="s">
        <v>2096</v>
      </c>
      <c r="F1" s="2" t="s">
        <v>2097</v>
      </c>
      <c r="G1" s="2" t="s">
        <v>2098</v>
      </c>
      <c r="H1" s="2" t="s">
        <v>2099</v>
      </c>
      <c r="I1" s="2" t="s">
        <v>2100</v>
      </c>
      <c r="J1" t="s">
        <v>2101</v>
      </c>
      <c r="K1" t="s">
        <v>2102</v>
      </c>
      <c r="L1" t="s">
        <v>18</v>
      </c>
      <c r="M1" t="s">
        <v>2103</v>
      </c>
    </row>
    <row r="2" spans="1:13" ht="28.8" x14ac:dyDescent="0.3">
      <c r="A2" s="4" t="s">
        <v>36</v>
      </c>
      <c r="B2" s="4" t="str">
        <f>IFERROR(INDEX(DQAF_Input!$A:$A,MATCH(A2,DQAF_Input!$D:$D,0)),"")</f>
        <v>The responsibility for collecting, processing, and disseminating official statistics is clearly specified in law</v>
      </c>
      <c r="C2" s="8">
        <f>IFERROR((SUMIF(DQAF_Input!$D:$D,A2,DQAF_Input!$X:$X)/5)*100,"")</f>
        <v>62.666666666666671</v>
      </c>
      <c r="D2" s="8">
        <f>IFERROR((SUMIF(DQAF_Input!$D:$D,A2,DQAF_Input!$AD:$AD)/5)*100,"")</f>
        <v>77.73333333333332</v>
      </c>
      <c r="E2" s="9">
        <f>IFERROR(COUNTIFS(DQAF_Input!$D:$D,A2,DQAF_Input!$S:$S,"&lt;&gt;0"),0)</f>
        <v>11</v>
      </c>
      <c r="F2" s="9">
        <f>IFERROR(COUNTIF(DQAF_Input!$D:$D,A2),0)</f>
        <v>15</v>
      </c>
      <c r="G2" s="10">
        <f t="shared" ref="G2:G14" si="0">IF(F2=0,"",E2/F2)</f>
        <v>0.73333333333333328</v>
      </c>
      <c r="H2" s="9">
        <f>IFERROR(COUNTIFS(DQAF_Input!$D:$D,A2,DQAF_Input!$S:$S,5),0)</f>
        <v>2</v>
      </c>
      <c r="I2" s="10">
        <f t="shared" ref="I2:I14" si="1">IF(F2=0,"",H2/F2)</f>
        <v>0.13333333333333333</v>
      </c>
      <c r="J2">
        <f>IFERROR(INDEX(__weights_indicator!$B:$B,MATCH(A2,__weights_indicator!$A:$A,0)),"")</f>
        <v>1</v>
      </c>
      <c r="K2" s="11">
        <f t="shared" ref="K2:K14" si="2">IF(OR(J2="",C2=""),"",J2*C2)</f>
        <v>62.666666666666671</v>
      </c>
      <c r="L2" t="str">
        <f t="shared" ref="L2:L14" si="3">IFERROR(LEFT(A2,FIND("_",A2,FIND("_",A2)+1)-1),A2)</f>
        <v>1_1</v>
      </c>
      <c r="M2" s="11">
        <f t="shared" ref="M2:M14" si="4">IF(OR(J2="",D2=""),"",J2*D2)</f>
        <v>77.73333333333332</v>
      </c>
    </row>
    <row r="3" spans="1:13" ht="28.8" x14ac:dyDescent="0.3">
      <c r="A3" s="4" t="s">
        <v>77</v>
      </c>
      <c r="B3" s="4" t="str">
        <f>IFERROR(INDEX(DQAF_Input!$A:$A,MATCH(A3,DQAF_Input!$D:$D,0)),"")</f>
        <v>The statistical organization operates independently and is free from political influence</v>
      </c>
      <c r="C3" s="8">
        <f>IFERROR((SUMIF(DQAF_Input!$D:$D,A3,DQAF_Input!$X:$X)/5)*100,"")</f>
        <v>70</v>
      </c>
      <c r="D3" s="8">
        <f>IFERROR((SUMIF(DQAF_Input!$D:$D,A3,DQAF_Input!$AD:$AD)/5)*100,"")</f>
        <v>75</v>
      </c>
      <c r="E3" s="9">
        <f>IFERROR(COUNTIFS(DQAF_Input!$D:$D,A3,DQAF_Input!$S:$S,"&lt;&gt;0"),0)</f>
        <v>3</v>
      </c>
      <c r="F3" s="9">
        <f>IFERROR(COUNTIF(DQAF_Input!$D:$D,A3),0)</f>
        <v>4</v>
      </c>
      <c r="G3" s="10">
        <f t="shared" si="0"/>
        <v>0.75</v>
      </c>
      <c r="H3" s="9">
        <f>IFERROR(COUNTIFS(DQAF_Input!$D:$D,A3,DQAF_Input!$S:$S,5),0)</f>
        <v>2</v>
      </c>
      <c r="I3" s="10">
        <f t="shared" si="1"/>
        <v>0.5</v>
      </c>
      <c r="J3">
        <f>IFERROR(INDEX(__weights_indicator!$B:$B,MATCH(A3,__weights_indicator!$A:$A,0)),"")</f>
        <v>1</v>
      </c>
      <c r="K3" s="11">
        <f t="shared" si="2"/>
        <v>70</v>
      </c>
      <c r="L3" t="str">
        <f t="shared" si="3"/>
        <v>1_2</v>
      </c>
      <c r="M3" s="11">
        <f t="shared" si="4"/>
        <v>75</v>
      </c>
    </row>
    <row r="4" spans="1:13" ht="28.8" x14ac:dyDescent="0.3">
      <c r="A4" s="4" t="s">
        <v>93</v>
      </c>
      <c r="B4" s="4" t="str">
        <f>IFERROR(INDEX(DQAF_Input!$A:$A,MATCH(A4,DQAF_Input!$D:$D,0)),"")</f>
        <v>Data sharing and coordination among data-producing agencies are effective</v>
      </c>
      <c r="C4" s="8">
        <f>IFERROR((SUMIF(DQAF_Input!$D:$D,A4,DQAF_Input!$X:$X)/5)*100,"")</f>
        <v>0</v>
      </c>
      <c r="D4" s="8">
        <f>IFERROR((SUMIF(DQAF_Input!$D:$D,A4,DQAF_Input!$AD:$AD)/5)*100,"")</f>
        <v>0</v>
      </c>
      <c r="E4" s="9">
        <f>IFERROR(COUNTIFS(DQAF_Input!$D:$D,A4,DQAF_Input!$S:$S,"&lt;&gt;0"),0)</f>
        <v>0</v>
      </c>
      <c r="F4" s="9">
        <f>IFERROR(COUNTIF(DQAF_Input!$D:$D,A4),0)</f>
        <v>17</v>
      </c>
      <c r="G4" s="10">
        <f t="shared" si="0"/>
        <v>0</v>
      </c>
      <c r="H4" s="9">
        <f>IFERROR(COUNTIFS(DQAF_Input!$D:$D,A4,DQAF_Input!$S:$S,5),0)</f>
        <v>0</v>
      </c>
      <c r="I4" s="10">
        <f t="shared" si="1"/>
        <v>0</v>
      </c>
      <c r="J4">
        <f>IFERROR(INDEX(__weights_indicator!$B:$B,MATCH(A4,__weights_indicator!$A:$A,0)),"")</f>
        <v>1</v>
      </c>
      <c r="K4" s="11">
        <f t="shared" si="2"/>
        <v>0</v>
      </c>
      <c r="L4" t="str">
        <f t="shared" si="3"/>
        <v>1_3</v>
      </c>
      <c r="M4" s="11">
        <f t="shared" si="4"/>
        <v>0</v>
      </c>
    </row>
    <row r="5" spans="1:13" ht="28.8" x14ac:dyDescent="0.3">
      <c r="A5" s="4" t="s">
        <v>138</v>
      </c>
      <c r="B5" s="4" t="str">
        <f>IFERROR(INDEX(DQAF_Input!$A:$A,MATCH(A5,DQAF_Input!$D:$D,0)),"")</f>
        <v>Individual reporters’ data are kept confidential and used for statistical purposes only</v>
      </c>
      <c r="C5" s="8">
        <f>IFERROR((SUMIF(DQAF_Input!$D:$D,A5,DQAF_Input!$X:$X)/5)*100,"")</f>
        <v>0</v>
      </c>
      <c r="D5" s="8">
        <f>IFERROR((SUMIF(DQAF_Input!$D:$D,A5,DQAF_Input!$AD:$AD)/5)*100,"")</f>
        <v>0</v>
      </c>
      <c r="E5" s="9">
        <f>IFERROR(COUNTIFS(DQAF_Input!$D:$D,A5,DQAF_Input!$S:$S,"&lt;&gt;0"),0)</f>
        <v>0</v>
      </c>
      <c r="F5" s="9">
        <f>IFERROR(COUNTIF(DQAF_Input!$D:$D,A5),0)</f>
        <v>5</v>
      </c>
      <c r="G5" s="10">
        <f t="shared" si="0"/>
        <v>0</v>
      </c>
      <c r="H5" s="9">
        <f>IFERROR(COUNTIFS(DQAF_Input!$D:$D,A5,DQAF_Input!$S:$S,5),0)</f>
        <v>0</v>
      </c>
      <c r="I5" s="10">
        <f t="shared" si="1"/>
        <v>0</v>
      </c>
      <c r="J5">
        <f>IFERROR(INDEX(__weights_indicator!$B:$B,MATCH(A5,__weights_indicator!$A:$A,0)),"")</f>
        <v>0.38461538499999998</v>
      </c>
      <c r="K5" s="11">
        <f t="shared" si="2"/>
        <v>0</v>
      </c>
      <c r="L5" t="str">
        <f t="shared" si="3"/>
        <v>1_4</v>
      </c>
      <c r="M5" s="11">
        <f t="shared" si="4"/>
        <v>0</v>
      </c>
    </row>
    <row r="6" spans="1:13" ht="28.8" x14ac:dyDescent="0.3">
      <c r="A6" s="4" t="s">
        <v>157</v>
      </c>
      <c r="B6" s="4" t="str">
        <f>IFERROR(INDEX(DQAF_Input!$A:$A,MATCH(A6,DQAF_Input!$D:$D,0)),"")</f>
        <v>Access to data is restricted to individuals who require access to carry out their statistical functions.</v>
      </c>
      <c r="C6" s="8">
        <f>IFERROR((SUMIF(DQAF_Input!$D:$D,A6,DQAF_Input!$X:$X)/5)*100,"")</f>
        <v>0</v>
      </c>
      <c r="D6" s="8">
        <f>IFERROR((SUMIF(DQAF_Input!$D:$D,A6,DQAF_Input!$AD:$AD)/5)*100,"")</f>
        <v>0</v>
      </c>
      <c r="E6" s="9">
        <f>IFERROR(COUNTIFS(DQAF_Input!$D:$D,A6,DQAF_Input!$S:$S,"&lt;&gt;0"),0)</f>
        <v>0</v>
      </c>
      <c r="F6" s="9">
        <f>IFERROR(COUNTIF(DQAF_Input!$D:$D,A6),0)</f>
        <v>6</v>
      </c>
      <c r="G6" s="10">
        <f t="shared" si="0"/>
        <v>0</v>
      </c>
      <c r="H6" s="9">
        <f>IFERROR(COUNTIFS(DQAF_Input!$D:$D,A6,DQAF_Input!$S:$S,5),0)</f>
        <v>0</v>
      </c>
      <c r="I6" s="10">
        <f t="shared" si="1"/>
        <v>0</v>
      </c>
      <c r="J6">
        <f>IFERROR(INDEX(__weights_indicator!$B:$B,MATCH(A6,__weights_indicator!$A:$A,0)),"")</f>
        <v>0.46153846199999998</v>
      </c>
      <c r="K6" s="11">
        <f t="shared" si="2"/>
        <v>0</v>
      </c>
      <c r="L6" t="str">
        <f t="shared" si="3"/>
        <v>1_4</v>
      </c>
      <c r="M6" s="11">
        <f t="shared" si="4"/>
        <v>0</v>
      </c>
    </row>
    <row r="7" spans="1:13" ht="28.8" x14ac:dyDescent="0.3">
      <c r="A7" s="4" t="s">
        <v>174</v>
      </c>
      <c r="B7" s="4" t="str">
        <f>IFERROR(INDEX(DQAF_Input!$A:$A,MATCH(A7,DQAF_Input!$D:$D,0)),"")</f>
        <v>Penalties are prescribed for willful breaches of statistical confidentiality</v>
      </c>
      <c r="C7" s="8">
        <f>IFERROR((SUMIF(DQAF_Input!$D:$D,A7,DQAF_Input!$X:$X)/5)*100,"")</f>
        <v>0</v>
      </c>
      <c r="D7" s="8">
        <f>IFERROR((SUMIF(DQAF_Input!$D:$D,A7,DQAF_Input!$AD:$AD)/5)*100,"")</f>
        <v>0</v>
      </c>
      <c r="E7" s="9">
        <f>IFERROR(COUNTIFS(DQAF_Input!$D:$D,A7,DQAF_Input!$S:$S,"&lt;&gt;0"),0)</f>
        <v>0</v>
      </c>
      <c r="F7" s="9">
        <f>IFERROR(COUNTIF(DQAF_Input!$D:$D,A7),0)</f>
        <v>2</v>
      </c>
      <c r="G7" s="10">
        <f t="shared" si="0"/>
        <v>0</v>
      </c>
      <c r="H7" s="9">
        <f>IFERROR(COUNTIFS(DQAF_Input!$D:$D,A7,DQAF_Input!$S:$S,5),0)</f>
        <v>0</v>
      </c>
      <c r="I7" s="10">
        <f t="shared" si="1"/>
        <v>0</v>
      </c>
      <c r="J7">
        <f>IFERROR(INDEX(__weights_indicator!$B:$B,MATCH(A7,__weights_indicator!$A:$A,0)),"")</f>
        <v>0.15384615400000001</v>
      </c>
      <c r="K7" s="11">
        <f t="shared" si="2"/>
        <v>0</v>
      </c>
      <c r="L7" t="str">
        <f t="shared" si="3"/>
        <v>1_4</v>
      </c>
      <c r="M7" s="11">
        <f t="shared" si="4"/>
        <v>0</v>
      </c>
    </row>
    <row r="8" spans="1:13" x14ac:dyDescent="0.3">
      <c r="A8" s="4" t="s">
        <v>183</v>
      </c>
      <c r="B8" s="4" t="str">
        <f>IFERROR(INDEX(DQAF_Input!$A:$A,MATCH(A8,DQAF_Input!$D:$D,0)),"")</f>
        <v>Response burden on data providers is minimized</v>
      </c>
      <c r="C8" s="8">
        <f>IFERROR((SUMIF(DQAF_Input!$D:$D,A8,DQAF_Input!$X:$X)/5)*100,"")</f>
        <v>0</v>
      </c>
      <c r="D8" s="8">
        <f>IFERROR((SUMIF(DQAF_Input!$D:$D,A8,DQAF_Input!$AD:$AD)/5)*100,"")</f>
        <v>0</v>
      </c>
      <c r="E8" s="9">
        <f>IFERROR(COUNTIFS(DQAF_Input!$D:$D,A8,DQAF_Input!$S:$S,"&lt;&gt;0"),0)</f>
        <v>0</v>
      </c>
      <c r="F8" s="9">
        <f>IFERROR(COUNTIF(DQAF_Input!$D:$D,A8),0)</f>
        <v>3</v>
      </c>
      <c r="G8" s="10">
        <f t="shared" si="0"/>
        <v>0</v>
      </c>
      <c r="H8" s="9">
        <f>IFERROR(COUNTIFS(DQAF_Input!$D:$D,A8,DQAF_Input!$S:$S,5),0)</f>
        <v>0</v>
      </c>
      <c r="I8" s="10">
        <f t="shared" si="1"/>
        <v>0</v>
      </c>
      <c r="J8">
        <f>IFERROR(INDEX(__weights_indicator!$B:$B,MATCH(A8,__weights_indicator!$A:$A,0)),"")</f>
        <v>1</v>
      </c>
      <c r="K8" s="11">
        <f t="shared" si="2"/>
        <v>0</v>
      </c>
      <c r="L8" t="str">
        <f t="shared" si="3"/>
        <v>1_5</v>
      </c>
      <c r="M8" s="11">
        <f t="shared" si="4"/>
        <v>0</v>
      </c>
    </row>
    <row r="9" spans="1:13" ht="28.8" x14ac:dyDescent="0.3">
      <c r="A9" s="4" t="s">
        <v>194</v>
      </c>
      <c r="B9" s="4" t="str">
        <f>IFERROR(INDEX(DQAF_Input!$A:$A,MATCH(A9,DQAF_Input!$D:$D,0)),"")</f>
        <v>Staffing levels are commensurate with the scope of the statistical program(s) managed by the organization.</v>
      </c>
      <c r="C9" s="8">
        <f>IFERROR((SUMIF(DQAF_Input!$D:$D,A9,DQAF_Input!$X:$X)/5)*100,"")</f>
        <v>0</v>
      </c>
      <c r="D9" s="8">
        <f>IFERROR((SUMIF(DQAF_Input!$D:$D,A9,DQAF_Input!$AD:$AD)/5)*100,"")</f>
        <v>0</v>
      </c>
      <c r="E9" s="9">
        <f>IFERROR(COUNTIFS(DQAF_Input!$D:$D,A9,DQAF_Input!$S:$S,"&lt;&gt;0"),0)</f>
        <v>0</v>
      </c>
      <c r="F9" s="9">
        <f>IFERROR(COUNTIF(DQAF_Input!$D:$D,A9),0)</f>
        <v>24</v>
      </c>
      <c r="G9" s="10">
        <f t="shared" si="0"/>
        <v>0</v>
      </c>
      <c r="H9" s="9">
        <f>IFERROR(COUNTIFS(DQAF_Input!$D:$D,A9,DQAF_Input!$S:$S,5),0)</f>
        <v>0</v>
      </c>
      <c r="I9" s="10">
        <f t="shared" si="1"/>
        <v>0</v>
      </c>
      <c r="J9">
        <f>IFERROR(INDEX(__weights_indicator!$B:$B,MATCH(A9,__weights_indicator!$A:$A,0)),"")</f>
        <v>1</v>
      </c>
      <c r="K9" s="11">
        <f t="shared" si="2"/>
        <v>0</v>
      </c>
      <c r="L9" t="str">
        <f t="shared" si="3"/>
        <v>1_6</v>
      </c>
      <c r="M9" s="11">
        <f t="shared" si="4"/>
        <v>0</v>
      </c>
    </row>
    <row r="10" spans="1:13" ht="28.8" x14ac:dyDescent="0.3">
      <c r="A10" s="4" t="s">
        <v>252</v>
      </c>
      <c r="B10" s="4" t="str">
        <f>IFERROR(INDEX(DQAF_Input!$A:$A,MATCH(A10,DQAF_Input!$D:$D,0)),"")</f>
        <v>Computing resources are commensurate with the scope of the statistical program(s) managed by the organization.</v>
      </c>
      <c r="C10" s="8">
        <f>IFERROR((SUMIF(DQAF_Input!$D:$D,A10,DQAF_Input!$X:$X)/5)*100,"")</f>
        <v>0</v>
      </c>
      <c r="D10" s="8">
        <f>IFERROR((SUMIF(DQAF_Input!$D:$D,A10,DQAF_Input!$AD:$AD)/5)*100,"")</f>
        <v>0</v>
      </c>
      <c r="E10" s="9">
        <f>IFERROR(COUNTIFS(DQAF_Input!$D:$D,A10,DQAF_Input!$S:$S,"&lt;&gt;0"),0)</f>
        <v>0</v>
      </c>
      <c r="F10" s="9">
        <f>IFERROR(COUNTIF(DQAF_Input!$D:$D,A10),0)</f>
        <v>5</v>
      </c>
      <c r="G10" s="10">
        <f t="shared" si="0"/>
        <v>0</v>
      </c>
      <c r="H10" s="9">
        <f>IFERROR(COUNTIFS(DQAF_Input!$D:$D,A10,DQAF_Input!$S:$S,5),0)</f>
        <v>0</v>
      </c>
      <c r="I10" s="10">
        <f t="shared" si="1"/>
        <v>0</v>
      </c>
      <c r="J10">
        <f>IFERROR(INDEX(__weights_indicator!$B:$B,MATCH(A10,__weights_indicator!$A:$A,0)),"")</f>
        <v>1</v>
      </c>
      <c r="K10" s="11">
        <f t="shared" si="2"/>
        <v>0</v>
      </c>
      <c r="L10" t="str">
        <f t="shared" si="3"/>
        <v>1_7</v>
      </c>
      <c r="M10" s="11">
        <f t="shared" si="4"/>
        <v>0</v>
      </c>
    </row>
    <row r="11" spans="1:13" ht="28.8" x14ac:dyDescent="0.3">
      <c r="A11" s="4" t="s">
        <v>266</v>
      </c>
      <c r="B11" s="4" t="str">
        <f>IFERROR(INDEX(DQAF_Input!$A:$A,MATCH(A11,DQAF_Input!$D:$D,0)),"")</f>
        <v>Facilities are commensurate with the scope of the statistical program(s) managed by the organization.</v>
      </c>
      <c r="C11" s="8">
        <f>IFERROR((SUMIF(DQAF_Input!$D:$D,A11,DQAF_Input!$X:$X)/5)*100,"")</f>
        <v>0</v>
      </c>
      <c r="D11" s="8">
        <f>IFERROR((SUMIF(DQAF_Input!$D:$D,A11,DQAF_Input!$AD:$AD)/5)*100,"")</f>
        <v>0</v>
      </c>
      <c r="E11" s="9">
        <f>IFERROR(COUNTIFS(DQAF_Input!$D:$D,A11,DQAF_Input!$S:$S,"&lt;&gt;0"),0)</f>
        <v>0</v>
      </c>
      <c r="F11" s="9">
        <f>IFERROR(COUNTIF(DQAF_Input!$D:$D,A11),0)</f>
        <v>3</v>
      </c>
      <c r="G11" s="10">
        <f t="shared" si="0"/>
        <v>0</v>
      </c>
      <c r="H11" s="9">
        <f>IFERROR(COUNTIFS(DQAF_Input!$D:$D,A11,DQAF_Input!$S:$S,5),0)</f>
        <v>0</v>
      </c>
      <c r="I11" s="10">
        <f t="shared" si="1"/>
        <v>0</v>
      </c>
      <c r="J11">
        <f>IFERROR(INDEX(__weights_indicator!$B:$B,MATCH(A11,__weights_indicator!$A:$A,0)),"")</f>
        <v>1</v>
      </c>
      <c r="K11" s="11">
        <f t="shared" si="2"/>
        <v>0</v>
      </c>
      <c r="L11" t="str">
        <f t="shared" si="3"/>
        <v>1_8</v>
      </c>
      <c r="M11" s="11">
        <f t="shared" si="4"/>
        <v>0</v>
      </c>
    </row>
    <row r="12" spans="1:13" x14ac:dyDescent="0.3">
      <c r="A12" s="4" t="s">
        <v>276</v>
      </c>
      <c r="B12" s="4" t="str">
        <f>IFERROR(INDEX(DQAF_Input!$A:$A,MATCH(A12,DQAF_Input!$D:$D,0)),"")</f>
        <v>Measures to ensure efficient use of resources are implemented.</v>
      </c>
      <c r="C12" s="8">
        <f>IFERROR((SUMIF(DQAF_Input!$D:$D,A12,DQAF_Input!$X:$X)/5)*100,"")</f>
        <v>0</v>
      </c>
      <c r="D12" s="8">
        <f>IFERROR((SUMIF(DQAF_Input!$D:$D,A12,DQAF_Input!$AD:$AD)/5)*100,"")</f>
        <v>0</v>
      </c>
      <c r="E12" s="9">
        <f>IFERROR(COUNTIFS(DQAF_Input!$D:$D,A12,DQAF_Input!$S:$S,"&lt;&gt;0"),0)</f>
        <v>0</v>
      </c>
      <c r="F12" s="9">
        <f>IFERROR(COUNTIF(DQAF_Input!$D:$D,A12),0)</f>
        <v>15</v>
      </c>
      <c r="G12" s="10">
        <f t="shared" si="0"/>
        <v>0</v>
      </c>
      <c r="H12" s="9">
        <f>IFERROR(COUNTIFS(DQAF_Input!$D:$D,A12,DQAF_Input!$S:$S,5),0)</f>
        <v>0</v>
      </c>
      <c r="I12" s="10">
        <f t="shared" si="1"/>
        <v>0</v>
      </c>
      <c r="J12">
        <f>IFERROR(INDEX(__weights_indicator!$B:$B,MATCH(A12,__weights_indicator!$A:$A,0)),"")</f>
        <v>1</v>
      </c>
      <c r="K12" s="11">
        <f t="shared" si="2"/>
        <v>0</v>
      </c>
      <c r="L12" t="str">
        <f t="shared" si="3"/>
        <v>1_9</v>
      </c>
      <c r="M12" s="11">
        <f t="shared" si="4"/>
        <v>0</v>
      </c>
    </row>
    <row r="13" spans="1:13" ht="28.8" x14ac:dyDescent="0.3">
      <c r="A13" s="4" t="s">
        <v>311</v>
      </c>
      <c r="B13" s="4" t="str">
        <f>IFERROR(INDEX(DQAF_Input!$A:$A,MATCH(A13,DQAF_Input!$D:$D,0)),"")</f>
        <v>The relevance and practical utility of existing statistics in meeting users’ needs are monitored.</v>
      </c>
      <c r="C13" s="8">
        <f>IFERROR((SUMIF(DQAF_Input!$D:$D,A13,DQAF_Input!$X:$X)/5)*100,"")</f>
        <v>0</v>
      </c>
      <c r="D13" s="8">
        <f>IFERROR((SUMIF(DQAF_Input!$D:$D,A13,DQAF_Input!$AD:$AD)/5)*100,"")</f>
        <v>0</v>
      </c>
      <c r="E13" s="9">
        <f>IFERROR(COUNTIFS(DQAF_Input!$D:$D,A13,DQAF_Input!$S:$S,"&lt;&gt;0"),0)</f>
        <v>0</v>
      </c>
      <c r="F13" s="9">
        <f>IFERROR(COUNTIF(DQAF_Input!$D:$D,A13),0)</f>
        <v>7</v>
      </c>
      <c r="G13" s="10">
        <f t="shared" si="0"/>
        <v>0</v>
      </c>
      <c r="H13" s="9">
        <f>IFERROR(COUNTIFS(DQAF_Input!$D:$D,A13,DQAF_Input!$S:$S,5),0)</f>
        <v>0</v>
      </c>
      <c r="I13" s="10">
        <f t="shared" si="1"/>
        <v>0</v>
      </c>
      <c r="J13">
        <f>IFERROR(INDEX(__weights_indicator!$B:$B,MATCH(A13,__weights_indicator!$A:$A,0)),"")</f>
        <v>1</v>
      </c>
      <c r="K13" s="11">
        <f t="shared" si="2"/>
        <v>0</v>
      </c>
      <c r="L13" t="str">
        <f t="shared" si="3"/>
        <v>1_10</v>
      </c>
      <c r="M13" s="11">
        <f t="shared" si="4"/>
        <v>0</v>
      </c>
    </row>
    <row r="14" spans="1:13" x14ac:dyDescent="0.3">
      <c r="A14" s="4" t="s">
        <v>335</v>
      </c>
      <c r="B14" s="4" t="str">
        <f>IFERROR(INDEX(DQAF_Input!$A:$A,MATCH(A14,DQAF_Input!$D:$D,0)),"")</f>
        <v>Quality management practices are implemented</v>
      </c>
      <c r="C14" s="8">
        <f>IFERROR((SUMIF(DQAF_Input!$D:$D,A14,DQAF_Input!$X:$X)/5)*100,"")</f>
        <v>0</v>
      </c>
      <c r="D14" s="8">
        <f>IFERROR((SUMIF(DQAF_Input!$D:$D,A14,DQAF_Input!$AD:$AD)/5)*100,"")</f>
        <v>10</v>
      </c>
      <c r="E14" s="9">
        <f>IFERROR(COUNTIFS(DQAF_Input!$D:$D,A14,DQAF_Input!$S:$S,"&lt;&gt;0"),0)</f>
        <v>0</v>
      </c>
      <c r="F14" s="9">
        <f>IFERROR(COUNTIF(DQAF_Input!$D:$D,A14),0)</f>
        <v>8</v>
      </c>
      <c r="G14" s="10">
        <f t="shared" si="0"/>
        <v>0</v>
      </c>
      <c r="H14" s="9">
        <f>IFERROR(COUNTIFS(DQAF_Input!$D:$D,A14,DQAF_Input!$S:$S,5),0)</f>
        <v>0</v>
      </c>
      <c r="I14" s="10">
        <f t="shared" si="1"/>
        <v>0</v>
      </c>
      <c r="J14">
        <f>IFERROR(INDEX(__weights_indicator!$B:$B,MATCH(A14,__weights_indicator!$A:$A,0)),"")</f>
        <v>1</v>
      </c>
      <c r="K14" s="11">
        <f t="shared" si="2"/>
        <v>0</v>
      </c>
      <c r="L14" t="str">
        <f t="shared" si="3"/>
        <v>1_11</v>
      </c>
      <c r="M14" s="11">
        <f t="shared" si="4"/>
        <v>10</v>
      </c>
    </row>
  </sheetData>
  <sheetProtection sheet="1"/>
  <pageMargins left="0.05" right="0.05" top="0.05" bottom="0.05" header="0" footer="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12"/>
  <sheetViews>
    <sheetView workbookViewId="0">
      <pane ySplit="1" topLeftCell="A2" activePane="bottomLeft" state="frozen"/>
      <selection pane="bottomLeft"/>
    </sheetView>
  </sheetViews>
  <sheetFormatPr defaultRowHeight="14.4" x14ac:dyDescent="0.3"/>
  <cols>
    <col min="1" max="1" width="22" customWidth="1"/>
    <col min="2" max="2" width="50" customWidth="1"/>
    <col min="3" max="9" width="25" customWidth="1"/>
    <col min="10" max="13" width="13" hidden="1" customWidth="1"/>
  </cols>
  <sheetData>
    <row r="1" spans="1:13" ht="25.05" customHeight="1" x14ac:dyDescent="0.3">
      <c r="A1" s="2" t="s">
        <v>839</v>
      </c>
      <c r="B1" s="2" t="s">
        <v>2104</v>
      </c>
      <c r="C1" s="2" t="s">
        <v>2094</v>
      </c>
      <c r="D1" s="2" t="s">
        <v>2095</v>
      </c>
      <c r="E1" s="2" t="s">
        <v>2096</v>
      </c>
      <c r="F1" s="2" t="s">
        <v>2097</v>
      </c>
      <c r="G1" s="2" t="s">
        <v>2098</v>
      </c>
      <c r="H1" s="2" t="s">
        <v>2099</v>
      </c>
      <c r="I1" s="2" t="s">
        <v>2100</v>
      </c>
      <c r="J1" s="12" t="s">
        <v>2105</v>
      </c>
      <c r="K1" s="12" t="s">
        <v>2106</v>
      </c>
      <c r="L1" s="12" t="s">
        <v>17</v>
      </c>
      <c r="M1" s="12" t="s">
        <v>2107</v>
      </c>
    </row>
    <row r="2" spans="1:13" ht="28.8" x14ac:dyDescent="0.3">
      <c r="A2" s="4" t="s">
        <v>35</v>
      </c>
      <c r="B2" s="4" t="str">
        <f>IFERROR(INDEX(__weights_element!$B:$B,MATCH(A2,__weights_element!$A:$A,0)),"")</f>
        <v>The legal framework defining the national statistical system is comprehensive</v>
      </c>
      <c r="C2" s="8">
        <f>IFERROR(SUMIF('Maturity by Indicator'!$L:$L,A2,'Maturity by Indicator'!$K:$K),"")</f>
        <v>62.666666666666671</v>
      </c>
      <c r="D2" s="8">
        <f>IFERROR(SUMIF('Maturity by Indicator'!$L:$L,A2,'Maturity by Indicator'!$M:$M),"")</f>
        <v>77.73333333333332</v>
      </c>
      <c r="E2" s="4">
        <f>IFERROR(COUNTIFS(DQAF_Input!$C:$C,A2,DQAF_Input!$S:$S,"&lt;&gt;0"),0)</f>
        <v>11</v>
      </c>
      <c r="F2" s="9">
        <f>IFERROR(COUNTIF(DQAF_Input!$C:$C,A2),0)</f>
        <v>15</v>
      </c>
      <c r="G2" s="10">
        <f t="shared" ref="G2:G12" si="0">IF(F2=0,"",E2/F2)</f>
        <v>0.73333333333333328</v>
      </c>
      <c r="H2" s="9">
        <f>IFERROR(COUNTIFS(DQAF_Input!$C:$C,A2,DQAF_Input!$S:$S,5),0)</f>
        <v>2</v>
      </c>
      <c r="I2" s="10">
        <f t="shared" ref="I2:I12" si="1">IF(F2=0,"",H2/F2)</f>
        <v>0.13333333333333333</v>
      </c>
      <c r="J2" s="4">
        <f>IFERROR(INDEX(__weights_element!$C:$C,MATCH(A2,__weights_element!$A:$A,0)),"")</f>
        <v>0.1</v>
      </c>
      <c r="K2" s="13">
        <f t="shared" ref="K2:K12" si="2">IF(OR(J2="",C2=""),"",J2*C2)</f>
        <v>6.2666666666666675</v>
      </c>
      <c r="L2" s="4" t="str">
        <f t="shared" ref="L2:L12" si="3">IFERROR(LEFT(A2,FIND("_",A2)-1),A2)</f>
        <v>1</v>
      </c>
      <c r="M2" s="13">
        <f t="shared" ref="M2:M12" si="4">IF(OR(J2="",D2=""),"",J2*D2)</f>
        <v>7.7733333333333325</v>
      </c>
    </row>
    <row r="3" spans="1:13" x14ac:dyDescent="0.3">
      <c r="A3" s="4" t="s">
        <v>76</v>
      </c>
      <c r="B3" s="4" t="str">
        <f>IFERROR(INDEX(__weights_element!$B:$B,MATCH(A3,__weights_element!$A:$A,0)),"")</f>
        <v>Professional independence is ensured</v>
      </c>
      <c r="C3" s="8">
        <f>IFERROR(SUMIF('Maturity by Indicator'!$L:$L,A3,'Maturity by Indicator'!$K:$K),"")</f>
        <v>70</v>
      </c>
      <c r="D3" s="8">
        <f>IFERROR(SUMIF('Maturity by Indicator'!$L:$L,A3,'Maturity by Indicator'!$M:$M),"")</f>
        <v>75</v>
      </c>
      <c r="E3" s="4">
        <f>IFERROR(COUNTIFS(DQAF_Input!$C:$C,A3,DQAF_Input!$S:$S,"&lt;&gt;0"),0)</f>
        <v>3</v>
      </c>
      <c r="F3" s="9">
        <f>IFERROR(COUNTIF(DQAF_Input!$C:$C,A3),0)</f>
        <v>4</v>
      </c>
      <c r="G3" s="10">
        <f t="shared" si="0"/>
        <v>0.75</v>
      </c>
      <c r="H3" s="9">
        <f>IFERROR(COUNTIFS(DQAF_Input!$C:$C,A3,DQAF_Input!$S:$S,5),0)</f>
        <v>2</v>
      </c>
      <c r="I3" s="10">
        <f t="shared" si="1"/>
        <v>0.5</v>
      </c>
      <c r="J3" s="4">
        <f>IFERROR(INDEX(__weights_element!$C:$C,MATCH(A3,__weights_element!$A:$A,0)),"")</f>
        <v>0.2</v>
      </c>
      <c r="K3" s="13">
        <f t="shared" si="2"/>
        <v>14</v>
      </c>
      <c r="L3" s="4" t="str">
        <f t="shared" si="3"/>
        <v>1</v>
      </c>
      <c r="M3" s="13">
        <f t="shared" si="4"/>
        <v>15</v>
      </c>
    </row>
    <row r="4" spans="1:13" x14ac:dyDescent="0.3">
      <c r="A4" s="4" t="s">
        <v>92</v>
      </c>
      <c r="B4" s="4" t="str">
        <f>IFERROR(INDEX(__weights_element!$B:$B,MATCH(A4,__weights_element!$A:$A,0)),"")</f>
        <v>Effective coordination of the national statistical system</v>
      </c>
      <c r="C4" s="8">
        <f>IFERROR(SUMIF('Maturity by Indicator'!$L:$L,A4,'Maturity by Indicator'!$K:$K),"")</f>
        <v>0</v>
      </c>
      <c r="D4" s="8">
        <f>IFERROR(SUMIF('Maturity by Indicator'!$L:$L,A4,'Maturity by Indicator'!$M:$M),"")</f>
        <v>0</v>
      </c>
      <c r="E4" s="4">
        <f>IFERROR(COUNTIFS(DQAF_Input!$C:$C,A4,DQAF_Input!$S:$S,"&lt;&gt;0"),0)</f>
        <v>0</v>
      </c>
      <c r="F4" s="9">
        <f>IFERROR(COUNTIF(DQAF_Input!$C:$C,A4),0)</f>
        <v>17</v>
      </c>
      <c r="G4" s="10">
        <f t="shared" si="0"/>
        <v>0</v>
      </c>
      <c r="H4" s="9">
        <f>IFERROR(COUNTIFS(DQAF_Input!$C:$C,A4,DQAF_Input!$S:$S,5),0)</f>
        <v>0</v>
      </c>
      <c r="I4" s="10">
        <f t="shared" si="1"/>
        <v>0</v>
      </c>
      <c r="J4" s="4">
        <f>IFERROR(INDEX(__weights_element!$C:$C,MATCH(A4,__weights_element!$A:$A,0)),"")</f>
        <v>0.15</v>
      </c>
      <c r="K4" s="13">
        <f t="shared" si="2"/>
        <v>0</v>
      </c>
      <c r="L4" s="4" t="str">
        <f t="shared" si="3"/>
        <v>1</v>
      </c>
      <c r="M4" s="13">
        <f t="shared" si="4"/>
        <v>0</v>
      </c>
    </row>
    <row r="5" spans="1:13" x14ac:dyDescent="0.3">
      <c r="A5" s="4" t="s">
        <v>137</v>
      </c>
      <c r="B5" s="4" t="str">
        <f>IFERROR(INDEX(__weights_element!$B:$B,MATCH(A5,__weights_element!$A:$A,0)),"")</f>
        <v>Statistical confidentiality and data security are assured</v>
      </c>
      <c r="C5" s="8">
        <f>IFERROR(SUMIF('Maturity by Indicator'!$L:$L,A5,'Maturity by Indicator'!$K:$K),"")</f>
        <v>0</v>
      </c>
      <c r="D5" s="8">
        <f>IFERROR(SUMIF('Maturity by Indicator'!$L:$L,A5,'Maturity by Indicator'!$M:$M),"")</f>
        <v>0</v>
      </c>
      <c r="E5" s="4">
        <f>IFERROR(COUNTIFS(DQAF_Input!$C:$C,A5,DQAF_Input!$S:$S,"&lt;&gt;0"),0)</f>
        <v>0</v>
      </c>
      <c r="F5" s="9">
        <f>IFERROR(COUNTIF(DQAF_Input!$C:$C,A5),0)</f>
        <v>13</v>
      </c>
      <c r="G5" s="10">
        <f t="shared" si="0"/>
        <v>0</v>
      </c>
      <c r="H5" s="9">
        <f>IFERROR(COUNTIFS(DQAF_Input!$C:$C,A5,DQAF_Input!$S:$S,5),0)</f>
        <v>0</v>
      </c>
      <c r="I5" s="10">
        <f t="shared" si="1"/>
        <v>0</v>
      </c>
      <c r="J5" s="4">
        <f>IFERROR(INDEX(__weights_element!$C:$C,MATCH(A5,__weights_element!$A:$A,0)),"")</f>
        <v>0.1</v>
      </c>
      <c r="K5" s="13">
        <f t="shared" si="2"/>
        <v>0</v>
      </c>
      <c r="L5" s="4" t="str">
        <f t="shared" si="3"/>
        <v>1</v>
      </c>
      <c r="M5" s="13">
        <f t="shared" si="4"/>
        <v>0</v>
      </c>
    </row>
    <row r="6" spans="1:13" x14ac:dyDescent="0.3">
      <c r="A6" s="4" t="s">
        <v>182</v>
      </c>
      <c r="B6" s="4" t="str">
        <f>IFERROR(INDEX(__weights_element!$B:$B,MATCH(A6,__weights_element!$A:$A,0)),"")</f>
        <v>Response burden is minimized</v>
      </c>
      <c r="C6" s="8">
        <f>IFERROR(SUMIF('Maturity by Indicator'!$L:$L,A6,'Maturity by Indicator'!$K:$K),"")</f>
        <v>0</v>
      </c>
      <c r="D6" s="8">
        <f>IFERROR(SUMIF('Maturity by Indicator'!$L:$L,A6,'Maturity by Indicator'!$M:$M),"")</f>
        <v>0</v>
      </c>
      <c r="E6" s="4">
        <f>IFERROR(COUNTIFS(DQAF_Input!$C:$C,A6,DQAF_Input!$S:$S,"&lt;&gt;0"),0)</f>
        <v>0</v>
      </c>
      <c r="F6" s="9">
        <f>IFERROR(COUNTIF(DQAF_Input!$C:$C,A6),0)</f>
        <v>3</v>
      </c>
      <c r="G6" s="10">
        <f t="shared" si="0"/>
        <v>0</v>
      </c>
      <c r="H6" s="9">
        <f>IFERROR(COUNTIFS(DQAF_Input!$C:$C,A6,DQAF_Input!$S:$S,5),0)</f>
        <v>0</v>
      </c>
      <c r="I6" s="10">
        <f t="shared" si="1"/>
        <v>0</v>
      </c>
      <c r="J6" s="4">
        <f>IFERROR(INDEX(__weights_element!$C:$C,MATCH(A6,__weights_element!$A:$A,0)),"")</f>
        <v>0.1</v>
      </c>
      <c r="K6" s="13">
        <f t="shared" si="2"/>
        <v>0</v>
      </c>
      <c r="L6" s="4" t="str">
        <f t="shared" si="3"/>
        <v>1</v>
      </c>
      <c r="M6" s="13">
        <f t="shared" si="4"/>
        <v>0</v>
      </c>
    </row>
    <row r="7" spans="1:13" x14ac:dyDescent="0.3">
      <c r="A7" s="4" t="s">
        <v>193</v>
      </c>
      <c r="B7" s="4" t="str">
        <f>IFERROR(INDEX(__weights_element!$B:$B,MATCH(A7,__weights_element!$A:$A,0)),"")</f>
        <v>Human resources are adequate</v>
      </c>
      <c r="C7" s="8">
        <f>IFERROR(SUMIF('Maturity by Indicator'!$L:$L,A7,'Maturity by Indicator'!$K:$K),"")</f>
        <v>0</v>
      </c>
      <c r="D7" s="8">
        <f>IFERROR(SUMIF('Maturity by Indicator'!$L:$L,A7,'Maturity by Indicator'!$M:$M),"")</f>
        <v>0</v>
      </c>
      <c r="E7" s="4">
        <f>IFERROR(COUNTIFS(DQAF_Input!$C:$C,A7,DQAF_Input!$S:$S,"&lt;&gt;0"),0)</f>
        <v>0</v>
      </c>
      <c r="F7" s="9">
        <f>IFERROR(COUNTIF(DQAF_Input!$C:$C,A7),0)</f>
        <v>24</v>
      </c>
      <c r="G7" s="10">
        <f t="shared" si="0"/>
        <v>0</v>
      </c>
      <c r="H7" s="9">
        <f>IFERROR(COUNTIFS(DQAF_Input!$C:$C,A7,DQAF_Input!$S:$S,5),0)</f>
        <v>0</v>
      </c>
      <c r="I7" s="10">
        <f t="shared" si="1"/>
        <v>0</v>
      </c>
      <c r="J7" s="4">
        <f>IFERROR(INDEX(__weights_element!$C:$C,MATCH(A7,__weights_element!$A:$A,0)),"")</f>
        <v>0.15</v>
      </c>
      <c r="K7" s="13">
        <f t="shared" si="2"/>
        <v>0</v>
      </c>
      <c r="L7" s="4" t="str">
        <f t="shared" si="3"/>
        <v>1</v>
      </c>
      <c r="M7" s="13">
        <f t="shared" si="4"/>
        <v>0</v>
      </c>
    </row>
    <row r="8" spans="1:13" x14ac:dyDescent="0.3">
      <c r="A8" s="4" t="s">
        <v>251</v>
      </c>
      <c r="B8" s="4" t="str">
        <f>IFERROR(INDEX(__weights_element!$B:$B,MATCH(A8,__weights_element!$A:$A,0)),"")</f>
        <v>Information technology resources are adequate</v>
      </c>
      <c r="C8" s="8">
        <f>IFERROR(SUMIF('Maturity by Indicator'!$L:$L,A8,'Maturity by Indicator'!$K:$K),"")</f>
        <v>0</v>
      </c>
      <c r="D8" s="8">
        <f>IFERROR(SUMIF('Maturity by Indicator'!$L:$L,A8,'Maturity by Indicator'!$M:$M),"")</f>
        <v>0</v>
      </c>
      <c r="E8" s="4">
        <f>IFERROR(COUNTIFS(DQAF_Input!$C:$C,A8,DQAF_Input!$S:$S,"&lt;&gt;0"),0)</f>
        <v>0</v>
      </c>
      <c r="F8" s="9">
        <f>IFERROR(COUNTIF(DQAF_Input!$C:$C,A8),0)</f>
        <v>5</v>
      </c>
      <c r="G8" s="10">
        <f t="shared" si="0"/>
        <v>0</v>
      </c>
      <c r="H8" s="9">
        <f>IFERROR(COUNTIFS(DQAF_Input!$C:$C,A8,DQAF_Input!$S:$S,5),0)</f>
        <v>0</v>
      </c>
      <c r="I8" s="10">
        <f t="shared" si="1"/>
        <v>0</v>
      </c>
      <c r="J8" s="4">
        <f>IFERROR(INDEX(__weights_element!$C:$C,MATCH(A8,__weights_element!$A:$A,0)),"")</f>
        <v>0.05</v>
      </c>
      <c r="K8" s="13">
        <f t="shared" si="2"/>
        <v>0</v>
      </c>
      <c r="L8" s="4" t="str">
        <f t="shared" si="3"/>
        <v>1</v>
      </c>
      <c r="M8" s="13">
        <f t="shared" si="4"/>
        <v>0</v>
      </c>
    </row>
    <row r="9" spans="1:13" x14ac:dyDescent="0.3">
      <c r="A9" s="4" t="s">
        <v>265</v>
      </c>
      <c r="B9" s="4" t="str">
        <f>IFERROR(INDEX(__weights_element!$B:$B,MATCH(A9,__weights_element!$A:$A,0)),"")</f>
        <v>Physical infrastructure is adequate</v>
      </c>
      <c r="C9" s="8">
        <f>IFERROR(SUMIF('Maturity by Indicator'!$L:$L,A9,'Maturity by Indicator'!$K:$K),"")</f>
        <v>0</v>
      </c>
      <c r="D9" s="8">
        <f>IFERROR(SUMIF('Maturity by Indicator'!$L:$L,A9,'Maturity by Indicator'!$M:$M),"")</f>
        <v>0</v>
      </c>
      <c r="E9" s="4">
        <f>IFERROR(COUNTIFS(DQAF_Input!$C:$C,A9,DQAF_Input!$S:$S,"&lt;&gt;0"),0)</f>
        <v>0</v>
      </c>
      <c r="F9" s="9">
        <f>IFERROR(COUNTIF(DQAF_Input!$C:$C,A9),0)</f>
        <v>3</v>
      </c>
      <c r="G9" s="10">
        <f t="shared" si="0"/>
        <v>0</v>
      </c>
      <c r="H9" s="9">
        <f>IFERROR(COUNTIFS(DQAF_Input!$C:$C,A9,DQAF_Input!$S:$S,5),0)</f>
        <v>0</v>
      </c>
      <c r="I9" s="10">
        <f t="shared" si="1"/>
        <v>0</v>
      </c>
      <c r="J9" s="4">
        <f>IFERROR(INDEX(__weights_element!$C:$C,MATCH(A9,__weights_element!$A:$A,0)),"")</f>
        <v>0.05</v>
      </c>
      <c r="K9" s="13">
        <f t="shared" si="2"/>
        <v>0</v>
      </c>
      <c r="L9" s="4" t="str">
        <f t="shared" si="3"/>
        <v>1</v>
      </c>
      <c r="M9" s="13">
        <f t="shared" si="4"/>
        <v>0</v>
      </c>
    </row>
    <row r="10" spans="1:13" x14ac:dyDescent="0.3">
      <c r="A10" s="4" t="s">
        <v>275</v>
      </c>
      <c r="B10" s="4" t="str">
        <f>IFERROR(INDEX(__weights_element!$B:$B,MATCH(A10,__weights_element!$A:$A,0)),"")</f>
        <v>Cost-effectiveness practices are implemented</v>
      </c>
      <c r="C10" s="8">
        <f>IFERROR(SUMIF('Maturity by Indicator'!$L:$L,A10,'Maturity by Indicator'!$K:$K),"")</f>
        <v>0</v>
      </c>
      <c r="D10" s="8">
        <f>IFERROR(SUMIF('Maturity by Indicator'!$L:$L,A10,'Maturity by Indicator'!$M:$M),"")</f>
        <v>0</v>
      </c>
      <c r="E10" s="4">
        <f>IFERROR(COUNTIFS(DQAF_Input!$C:$C,A10,DQAF_Input!$S:$S,"&lt;&gt;0"),0)</f>
        <v>0</v>
      </c>
      <c r="F10" s="9">
        <f>IFERROR(COUNTIF(DQAF_Input!$C:$C,A10),0)</f>
        <v>15</v>
      </c>
      <c r="G10" s="10">
        <f t="shared" si="0"/>
        <v>0</v>
      </c>
      <c r="H10" s="9">
        <f>IFERROR(COUNTIFS(DQAF_Input!$C:$C,A10,DQAF_Input!$S:$S,5),0)</f>
        <v>0</v>
      </c>
      <c r="I10" s="10">
        <f t="shared" si="1"/>
        <v>0</v>
      </c>
      <c r="J10" s="4">
        <f>IFERROR(INDEX(__weights_element!$C:$C,MATCH(A10,__weights_element!$A:$A,0)),"")</f>
        <v>0.05</v>
      </c>
      <c r="K10" s="13">
        <f t="shared" si="2"/>
        <v>0</v>
      </c>
      <c r="L10" s="4" t="str">
        <f t="shared" si="3"/>
        <v>1</v>
      </c>
      <c r="M10" s="13">
        <f t="shared" si="4"/>
        <v>0</v>
      </c>
    </row>
    <row r="11" spans="1:13" x14ac:dyDescent="0.3">
      <c r="A11" s="4" t="s">
        <v>310</v>
      </c>
      <c r="B11" s="4" t="str">
        <f>IFERROR(INDEX(__weights_element!$B:$B,MATCH(A11,__weights_element!$A:$A,0)),"")</f>
        <v>Processes are in place to maintain relevance</v>
      </c>
      <c r="C11" s="8">
        <f>IFERROR(SUMIF('Maturity by Indicator'!$L:$L,A11,'Maturity by Indicator'!$K:$K),"")</f>
        <v>0</v>
      </c>
      <c r="D11" s="8">
        <f>IFERROR(SUMIF('Maturity by Indicator'!$L:$L,A11,'Maturity by Indicator'!$M:$M),"")</f>
        <v>0</v>
      </c>
      <c r="E11" s="4">
        <f>IFERROR(COUNTIFS(DQAF_Input!$C:$C,A11,DQAF_Input!$S:$S,"&lt;&gt;0"),0)</f>
        <v>0</v>
      </c>
      <c r="F11" s="9">
        <f>IFERROR(COUNTIF(DQAF_Input!$C:$C,A11),0)</f>
        <v>7</v>
      </c>
      <c r="G11" s="10">
        <f t="shared" si="0"/>
        <v>0</v>
      </c>
      <c r="H11" s="9">
        <f>IFERROR(COUNTIFS(DQAF_Input!$C:$C,A11,DQAF_Input!$S:$S,5),0)</f>
        <v>0</v>
      </c>
      <c r="I11" s="10">
        <f t="shared" si="1"/>
        <v>0</v>
      </c>
      <c r="J11" s="4">
        <f>IFERROR(INDEX(__weights_element!$C:$C,MATCH(A11,__weights_element!$A:$A,0)),"")</f>
        <v>2.5000000000000001E-2</v>
      </c>
      <c r="K11" s="13">
        <f t="shared" si="2"/>
        <v>0</v>
      </c>
      <c r="L11" s="4" t="str">
        <f t="shared" si="3"/>
        <v>1</v>
      </c>
      <c r="M11" s="13">
        <f t="shared" si="4"/>
        <v>0</v>
      </c>
    </row>
    <row r="12" spans="1:13" x14ac:dyDescent="0.3">
      <c r="A12" s="4" t="s">
        <v>334</v>
      </c>
      <c r="B12" s="4" t="str">
        <f>IFERROR(INDEX(__weights_element!$B:$B,MATCH(A12,__weights_element!$A:$A,0)),"")</f>
        <v>Quality management practices are implemented</v>
      </c>
      <c r="C12" s="8">
        <f>IFERROR(SUMIF('Maturity by Indicator'!$L:$L,A12,'Maturity by Indicator'!$K:$K),"")</f>
        <v>0</v>
      </c>
      <c r="D12" s="8">
        <f>IFERROR(SUMIF('Maturity by Indicator'!$L:$L,A12,'Maturity by Indicator'!$M:$M),"")</f>
        <v>10</v>
      </c>
      <c r="E12" s="4">
        <f>IFERROR(COUNTIFS(DQAF_Input!$C:$C,A12,DQAF_Input!$S:$S,"&lt;&gt;0"),0)</f>
        <v>0</v>
      </c>
      <c r="F12" s="9">
        <f>IFERROR(COUNTIF(DQAF_Input!$C:$C,A12),0)</f>
        <v>8</v>
      </c>
      <c r="G12" s="10">
        <f t="shared" si="0"/>
        <v>0</v>
      </c>
      <c r="H12" s="9">
        <f>IFERROR(COUNTIFS(DQAF_Input!$C:$C,A12,DQAF_Input!$S:$S,5),0)</f>
        <v>0</v>
      </c>
      <c r="I12" s="10">
        <f t="shared" si="1"/>
        <v>0</v>
      </c>
      <c r="J12" s="4">
        <f>IFERROR(INDEX(__weights_element!$C:$C,MATCH(A12,__weights_element!$A:$A,0)),"")</f>
        <v>2.5000000000000001E-2</v>
      </c>
      <c r="K12" s="13">
        <f t="shared" si="2"/>
        <v>0</v>
      </c>
      <c r="L12" s="4" t="str">
        <f t="shared" si="3"/>
        <v>1</v>
      </c>
      <c r="M12" s="13">
        <f t="shared" si="4"/>
        <v>0.25</v>
      </c>
    </row>
  </sheetData>
  <sheetProtection sheet="1"/>
  <pageMargins left="0.05" right="0.05" top="0.05" bottom="0.05" header="0" footer="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2"/>
  <sheetViews>
    <sheetView workbookViewId="0">
      <pane ySplit="1" topLeftCell="A2" activePane="bottomLeft" state="frozen"/>
      <selection pane="bottomLeft"/>
    </sheetView>
  </sheetViews>
  <sheetFormatPr defaultRowHeight="14.4" x14ac:dyDescent="0.3"/>
  <cols>
    <col min="1" max="1" width="16" customWidth="1"/>
    <col min="2" max="3" width="22" customWidth="1"/>
  </cols>
  <sheetData>
    <row r="1" spans="1:3" ht="25.05" customHeight="1" x14ac:dyDescent="0.3">
      <c r="A1" s="2" t="s">
        <v>2108</v>
      </c>
      <c r="B1" s="2" t="s">
        <v>2109</v>
      </c>
      <c r="C1" s="2" t="s">
        <v>2110</v>
      </c>
    </row>
    <row r="2" spans="1:3" x14ac:dyDescent="0.3">
      <c r="A2" s="4" t="s">
        <v>34</v>
      </c>
      <c r="B2" s="8">
        <f>IFERROR(SUMIF('Maturity by Element'!$L:$L,A2,'Maturity by Element'!$K:$K),"")</f>
        <v>20.266666666666666</v>
      </c>
      <c r="C2" s="8">
        <f>IFERROR(SUMIF('Maturity by Element'!$L:$L,A2,'Maturity by Element'!$M:$M),"")</f>
        <v>23.023333333333333</v>
      </c>
    </row>
  </sheetData>
  <sheetProtection sheet="1"/>
  <pageMargins left="0.05" right="0.05" top="0.05" bottom="0.05" header="0" footer="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129"/>
  <sheetViews>
    <sheetView workbookViewId="0">
      <pane ySplit="1" topLeftCell="A2" activePane="bottomLeft" state="frozen"/>
      <selection pane="bottomLeft"/>
    </sheetView>
  </sheetViews>
  <sheetFormatPr defaultRowHeight="14.4" x14ac:dyDescent="0.3"/>
  <cols>
    <col min="1" max="1" width="20" customWidth="1"/>
    <col min="2" max="3" width="55" customWidth="1"/>
  </cols>
  <sheetData>
    <row r="1" spans="1:3" ht="25.05" customHeight="1" x14ac:dyDescent="0.3">
      <c r="A1" s="2" t="s">
        <v>20</v>
      </c>
      <c r="B1" s="2" t="s">
        <v>21</v>
      </c>
      <c r="C1" s="2" t="s">
        <v>23</v>
      </c>
    </row>
    <row r="2" spans="1:3" x14ac:dyDescent="0.3">
      <c r="A2" s="12" t="str">
        <f>IFERROR(INDEX(DQAF_Input!$E$2:$E$129,MATCH(1,DQAF_Input!$Z$2:$Z$129,0)),"")</f>
        <v/>
      </c>
      <c r="B2" s="4" t="str">
        <f>IF($A2="","",IF(IFERROR(VLOOKUP($A2,__rbp_p!$A:$B,2,FALSE),"")&lt;&gt;"",IFERROR(VLOOKUP($A2,__rbp_p!$A:$B,2,FALSE),""),IFERROR(INDEX(DQAF_Input!$F$2:$F$129,MATCH(1,DQAF_Input!$Z$2:$Z$129,0)),"")))</f>
        <v/>
      </c>
      <c r="C2" s="4" t="str">
        <f>IF($A2="","",INDEX(DQAF_Input!$H$2:$H$129,MATCH(1,DQAF_Input!$Z$2:$Z$129,0)))</f>
        <v/>
      </c>
    </row>
    <row r="3" spans="1:3" x14ac:dyDescent="0.3">
      <c r="A3" s="12" t="str">
        <f>IFERROR(INDEX(DQAF_Input!$E$2:$E$129,MATCH(2,DQAF_Input!$Z$2:$Z$129,0)),"")</f>
        <v/>
      </c>
      <c r="B3" s="4" t="str">
        <f>IF($A3="","",IF(IFERROR(VLOOKUP($A3,__rbp_p!$A:$B,2,FALSE),"")&lt;&gt;"",IFERROR(VLOOKUP($A3,__rbp_p!$A:$B,2,FALSE),""),IFERROR(INDEX(DQAF_Input!$F$2:$F$129,MATCH(2,DQAF_Input!$Z$2:$Z$129,0)),"")))</f>
        <v/>
      </c>
      <c r="C3" s="4" t="str">
        <f>IF($A3="","",INDEX(DQAF_Input!$H$2:$H$129,MATCH(2,DQAF_Input!$Z$2:$Z$129,0)))</f>
        <v/>
      </c>
    </row>
    <row r="4" spans="1:3" x14ac:dyDescent="0.3">
      <c r="A4" s="12" t="str">
        <f>IFERROR(INDEX(DQAF_Input!$E$2:$E$129,MATCH(3,DQAF_Input!$Z$2:$Z$129,0)),"")</f>
        <v/>
      </c>
      <c r="B4" s="4" t="str">
        <f>IF($A4="","",IF(IFERROR(VLOOKUP($A4,__rbp_p!$A:$B,2,FALSE),"")&lt;&gt;"",IFERROR(VLOOKUP($A4,__rbp_p!$A:$B,2,FALSE),""),IFERROR(INDEX(DQAF_Input!$F$2:$F$129,MATCH(3,DQAF_Input!$Z$2:$Z$129,0)),"")))</f>
        <v/>
      </c>
      <c r="C4" s="4" t="str">
        <f>IF($A4="","",INDEX(DQAF_Input!$H$2:$H$129,MATCH(3,DQAF_Input!$Z$2:$Z$129,0)))</f>
        <v/>
      </c>
    </row>
    <row r="5" spans="1:3" x14ac:dyDescent="0.3">
      <c r="A5" s="12" t="str">
        <f>IFERROR(INDEX(DQAF_Input!$E$2:$E$129,MATCH(4,DQAF_Input!$Z$2:$Z$129,0)),"")</f>
        <v/>
      </c>
      <c r="B5" s="4" t="str">
        <f>IF($A5="","",IF(IFERROR(VLOOKUP($A5,__rbp_p!$A:$B,2,FALSE),"")&lt;&gt;"",IFERROR(VLOOKUP($A5,__rbp_p!$A:$B,2,FALSE),""),IFERROR(INDEX(DQAF_Input!$F$2:$F$129,MATCH(4,DQAF_Input!$Z$2:$Z$129,0)),"")))</f>
        <v/>
      </c>
      <c r="C5" s="4" t="str">
        <f>IF($A5="","",INDEX(DQAF_Input!$H$2:$H$129,MATCH(4,DQAF_Input!$Z$2:$Z$129,0)))</f>
        <v/>
      </c>
    </row>
    <row r="6" spans="1:3" x14ac:dyDescent="0.3">
      <c r="A6" s="12" t="str">
        <f>IFERROR(INDEX(DQAF_Input!$E$2:$E$129,MATCH(5,DQAF_Input!$Z$2:$Z$129,0)),"")</f>
        <v/>
      </c>
      <c r="B6" s="4" t="str">
        <f>IF($A6="","",IF(IFERROR(VLOOKUP($A6,__rbp_p!$A:$B,2,FALSE),"")&lt;&gt;"",IFERROR(VLOOKUP($A6,__rbp_p!$A:$B,2,FALSE),""),IFERROR(INDEX(DQAF_Input!$F$2:$F$129,MATCH(5,DQAF_Input!$Z$2:$Z$129,0)),"")))</f>
        <v/>
      </c>
      <c r="C6" s="4" t="str">
        <f>IF($A6="","",INDEX(DQAF_Input!$H$2:$H$129,MATCH(5,DQAF_Input!$Z$2:$Z$129,0)))</f>
        <v/>
      </c>
    </row>
    <row r="7" spans="1:3" x14ac:dyDescent="0.3">
      <c r="A7" s="12" t="str">
        <f>IFERROR(INDEX(DQAF_Input!$E$2:$E$129,MATCH(6,DQAF_Input!$Z$2:$Z$129,0)),"")</f>
        <v/>
      </c>
      <c r="B7" s="4" t="str">
        <f>IF($A7="","",IF(IFERROR(VLOOKUP($A7,__rbp_p!$A:$B,2,FALSE),"")&lt;&gt;"",IFERROR(VLOOKUP($A7,__rbp_p!$A:$B,2,FALSE),""),IFERROR(INDEX(DQAF_Input!$F$2:$F$129,MATCH(6,DQAF_Input!$Z$2:$Z$129,0)),"")))</f>
        <v/>
      </c>
      <c r="C7" s="4" t="str">
        <f>IF($A7="","",INDEX(DQAF_Input!$H$2:$H$129,MATCH(6,DQAF_Input!$Z$2:$Z$129,0)))</f>
        <v/>
      </c>
    </row>
    <row r="8" spans="1:3" x14ac:dyDescent="0.3">
      <c r="A8" s="12" t="str">
        <f>IFERROR(INDEX(DQAF_Input!$E$2:$E$129,MATCH(7,DQAF_Input!$Z$2:$Z$129,0)),"")</f>
        <v/>
      </c>
      <c r="B8" s="4" t="str">
        <f>IF($A8="","",IF(IFERROR(VLOOKUP($A8,__rbp_p!$A:$B,2,FALSE),"")&lt;&gt;"",IFERROR(VLOOKUP($A8,__rbp_p!$A:$B,2,FALSE),""),IFERROR(INDEX(DQAF_Input!$F$2:$F$129,MATCH(7,DQAF_Input!$Z$2:$Z$129,0)),"")))</f>
        <v/>
      </c>
      <c r="C8" s="4" t="str">
        <f>IF($A8="","",INDEX(DQAF_Input!$H$2:$H$129,MATCH(7,DQAF_Input!$Z$2:$Z$129,0)))</f>
        <v/>
      </c>
    </row>
    <row r="9" spans="1:3" x14ac:dyDescent="0.3">
      <c r="A9" s="12" t="str">
        <f>IFERROR(INDEX(DQAF_Input!$E$2:$E$129,MATCH(8,DQAF_Input!$Z$2:$Z$129,0)),"")</f>
        <v/>
      </c>
      <c r="B9" s="4" t="str">
        <f>IF($A9="","",IF(IFERROR(VLOOKUP($A9,__rbp_p!$A:$B,2,FALSE),"")&lt;&gt;"",IFERROR(VLOOKUP($A9,__rbp_p!$A:$B,2,FALSE),""),IFERROR(INDEX(DQAF_Input!$F$2:$F$129,MATCH(8,DQAF_Input!$Z$2:$Z$129,0)),"")))</f>
        <v/>
      </c>
      <c r="C9" s="4" t="str">
        <f>IF($A9="","",INDEX(DQAF_Input!$H$2:$H$129,MATCH(8,DQAF_Input!$Z$2:$Z$129,0)))</f>
        <v/>
      </c>
    </row>
    <row r="10" spans="1:3" x14ac:dyDescent="0.3">
      <c r="A10" s="12" t="str">
        <f>IFERROR(INDEX(DQAF_Input!$E$2:$E$129,MATCH(9,DQAF_Input!$Z$2:$Z$129,0)),"")</f>
        <v/>
      </c>
      <c r="B10" s="4" t="str">
        <f>IF($A10="","",IF(IFERROR(VLOOKUP($A10,__rbp_p!$A:$B,2,FALSE),"")&lt;&gt;"",IFERROR(VLOOKUP($A10,__rbp_p!$A:$B,2,FALSE),""),IFERROR(INDEX(DQAF_Input!$F$2:$F$129,MATCH(9,DQAF_Input!$Z$2:$Z$129,0)),"")))</f>
        <v/>
      </c>
      <c r="C10" s="4" t="str">
        <f>IF($A10="","",INDEX(DQAF_Input!$H$2:$H$129,MATCH(9,DQAF_Input!$Z$2:$Z$129,0)))</f>
        <v/>
      </c>
    </row>
    <row r="11" spans="1:3" x14ac:dyDescent="0.3">
      <c r="A11" s="12" t="str">
        <f>IFERROR(INDEX(DQAF_Input!$E$2:$E$129,MATCH(10,DQAF_Input!$Z$2:$Z$129,0)),"")</f>
        <v/>
      </c>
      <c r="B11" s="4" t="str">
        <f>IF($A11="","",IF(IFERROR(VLOOKUP($A11,__rbp_p!$A:$B,2,FALSE),"")&lt;&gt;"",IFERROR(VLOOKUP($A11,__rbp_p!$A:$B,2,FALSE),""),IFERROR(INDEX(DQAF_Input!$F$2:$F$129,MATCH(10,DQAF_Input!$Z$2:$Z$129,0)),"")))</f>
        <v/>
      </c>
      <c r="C11" s="4" t="str">
        <f>IF($A11="","",INDEX(DQAF_Input!$H$2:$H$129,MATCH(10,DQAF_Input!$Z$2:$Z$129,0)))</f>
        <v/>
      </c>
    </row>
    <row r="12" spans="1:3" x14ac:dyDescent="0.3">
      <c r="A12" s="12" t="str">
        <f>IFERROR(INDEX(DQAF_Input!$E$2:$E$129,MATCH(11,DQAF_Input!$Z$2:$Z$129,0)),"")</f>
        <v/>
      </c>
      <c r="B12" s="4" t="str">
        <f>IF($A12="","",IF(IFERROR(VLOOKUP($A12,__rbp_p!$A:$B,2,FALSE),"")&lt;&gt;"",IFERROR(VLOOKUP($A12,__rbp_p!$A:$B,2,FALSE),""),IFERROR(INDEX(DQAF_Input!$F$2:$F$129,MATCH(11,DQAF_Input!$Z$2:$Z$129,0)),"")))</f>
        <v/>
      </c>
      <c r="C12" s="4" t="str">
        <f>IF($A12="","",INDEX(DQAF_Input!$H$2:$H$129,MATCH(11,DQAF_Input!$Z$2:$Z$129,0)))</f>
        <v/>
      </c>
    </row>
    <row r="13" spans="1:3" x14ac:dyDescent="0.3">
      <c r="A13" s="12" t="str">
        <f>IFERROR(INDEX(DQAF_Input!$E$2:$E$129,MATCH(12,DQAF_Input!$Z$2:$Z$129,0)),"")</f>
        <v/>
      </c>
      <c r="B13" s="4" t="str">
        <f>IF($A13="","",IF(IFERROR(VLOOKUP($A13,__rbp_p!$A:$B,2,FALSE),"")&lt;&gt;"",IFERROR(VLOOKUP($A13,__rbp_p!$A:$B,2,FALSE),""),IFERROR(INDEX(DQAF_Input!$F$2:$F$129,MATCH(12,DQAF_Input!$Z$2:$Z$129,0)),"")))</f>
        <v/>
      </c>
      <c r="C13" s="4" t="str">
        <f>IF($A13="","",INDEX(DQAF_Input!$H$2:$H$129,MATCH(12,DQAF_Input!$Z$2:$Z$129,0)))</f>
        <v/>
      </c>
    </row>
    <row r="14" spans="1:3" x14ac:dyDescent="0.3">
      <c r="A14" s="12" t="str">
        <f>IFERROR(INDEX(DQAF_Input!$E$2:$E$129,MATCH(13,DQAF_Input!$Z$2:$Z$129,0)),"")</f>
        <v/>
      </c>
      <c r="B14" s="4" t="str">
        <f>IF($A14="","",IF(IFERROR(VLOOKUP($A14,__rbp_p!$A:$B,2,FALSE),"")&lt;&gt;"",IFERROR(VLOOKUP($A14,__rbp_p!$A:$B,2,FALSE),""),IFERROR(INDEX(DQAF_Input!$F$2:$F$129,MATCH(13,DQAF_Input!$Z$2:$Z$129,0)),"")))</f>
        <v/>
      </c>
      <c r="C14" s="4" t="str">
        <f>IF($A14="","",INDEX(DQAF_Input!$H$2:$H$129,MATCH(13,DQAF_Input!$Z$2:$Z$129,0)))</f>
        <v/>
      </c>
    </row>
    <row r="15" spans="1:3" x14ac:dyDescent="0.3">
      <c r="A15" s="12" t="str">
        <f>IFERROR(INDEX(DQAF_Input!$E$2:$E$129,MATCH(14,DQAF_Input!$Z$2:$Z$129,0)),"")</f>
        <v/>
      </c>
      <c r="B15" s="4" t="str">
        <f>IF($A15="","",IF(IFERROR(VLOOKUP($A15,__rbp_p!$A:$B,2,FALSE),"")&lt;&gt;"",IFERROR(VLOOKUP($A15,__rbp_p!$A:$B,2,FALSE),""),IFERROR(INDEX(DQAF_Input!$F$2:$F$129,MATCH(14,DQAF_Input!$Z$2:$Z$129,0)),"")))</f>
        <v/>
      </c>
      <c r="C15" s="4" t="str">
        <f>IF($A15="","",INDEX(DQAF_Input!$H$2:$H$129,MATCH(14,DQAF_Input!$Z$2:$Z$129,0)))</f>
        <v/>
      </c>
    </row>
    <row r="16" spans="1:3" x14ac:dyDescent="0.3">
      <c r="A16" s="12" t="str">
        <f>IFERROR(INDEX(DQAF_Input!$E$2:$E$129,MATCH(15,DQAF_Input!$Z$2:$Z$129,0)),"")</f>
        <v/>
      </c>
      <c r="B16" s="4" t="str">
        <f>IF($A16="","",IF(IFERROR(VLOOKUP($A16,__rbp_p!$A:$B,2,FALSE),"")&lt;&gt;"",IFERROR(VLOOKUP($A16,__rbp_p!$A:$B,2,FALSE),""),IFERROR(INDEX(DQAF_Input!$F$2:$F$129,MATCH(15,DQAF_Input!$Z$2:$Z$129,0)),"")))</f>
        <v/>
      </c>
      <c r="C16" s="4" t="str">
        <f>IF($A16="","",INDEX(DQAF_Input!$H$2:$H$129,MATCH(15,DQAF_Input!$Z$2:$Z$129,0)))</f>
        <v/>
      </c>
    </row>
    <row r="17" spans="1:3" x14ac:dyDescent="0.3">
      <c r="A17" s="12" t="str">
        <f>IFERROR(INDEX(DQAF_Input!$E$2:$E$129,MATCH(16,DQAF_Input!$Z$2:$Z$129,0)),"")</f>
        <v/>
      </c>
      <c r="B17" s="4" t="str">
        <f>IF($A17="","",IF(IFERROR(VLOOKUP($A17,__rbp_p!$A:$B,2,FALSE),"")&lt;&gt;"",IFERROR(VLOOKUP($A17,__rbp_p!$A:$B,2,FALSE),""),IFERROR(INDEX(DQAF_Input!$F$2:$F$129,MATCH(16,DQAF_Input!$Z$2:$Z$129,0)),"")))</f>
        <v/>
      </c>
      <c r="C17" s="4" t="str">
        <f>IF($A17="","",INDEX(DQAF_Input!$H$2:$H$129,MATCH(16,DQAF_Input!$Z$2:$Z$129,0)))</f>
        <v/>
      </c>
    </row>
    <row r="18" spans="1:3" x14ac:dyDescent="0.3">
      <c r="A18" s="12" t="str">
        <f>IFERROR(INDEX(DQAF_Input!$E$2:$E$129,MATCH(17,DQAF_Input!$Z$2:$Z$129,0)),"")</f>
        <v/>
      </c>
      <c r="B18" s="4" t="str">
        <f>IF($A18="","",IF(IFERROR(VLOOKUP($A18,__rbp_p!$A:$B,2,FALSE),"")&lt;&gt;"",IFERROR(VLOOKUP($A18,__rbp_p!$A:$B,2,FALSE),""),IFERROR(INDEX(DQAF_Input!$F$2:$F$129,MATCH(17,DQAF_Input!$Z$2:$Z$129,0)),"")))</f>
        <v/>
      </c>
      <c r="C18" s="4" t="str">
        <f>IF($A18="","",INDEX(DQAF_Input!$H$2:$H$129,MATCH(17,DQAF_Input!$Z$2:$Z$129,0)))</f>
        <v/>
      </c>
    </row>
    <row r="19" spans="1:3" x14ac:dyDescent="0.3">
      <c r="A19" s="12" t="str">
        <f>IFERROR(INDEX(DQAF_Input!$E$2:$E$129,MATCH(18,DQAF_Input!$Z$2:$Z$129,0)),"")</f>
        <v/>
      </c>
      <c r="B19" s="4" t="str">
        <f>IF($A19="","",IF(IFERROR(VLOOKUP($A19,__rbp_p!$A:$B,2,FALSE),"")&lt;&gt;"",IFERROR(VLOOKUP($A19,__rbp_p!$A:$B,2,FALSE),""),IFERROR(INDEX(DQAF_Input!$F$2:$F$129,MATCH(18,DQAF_Input!$Z$2:$Z$129,0)),"")))</f>
        <v/>
      </c>
      <c r="C19" s="4" t="str">
        <f>IF($A19="","",INDEX(DQAF_Input!$H$2:$H$129,MATCH(18,DQAF_Input!$Z$2:$Z$129,0)))</f>
        <v/>
      </c>
    </row>
    <row r="20" spans="1:3" x14ac:dyDescent="0.3">
      <c r="A20" s="12" t="str">
        <f>IFERROR(INDEX(DQAF_Input!$E$2:$E$129,MATCH(19,DQAF_Input!$Z$2:$Z$129,0)),"")</f>
        <v/>
      </c>
      <c r="B20" s="4" t="str">
        <f>IF($A20="","",IF(IFERROR(VLOOKUP($A20,__rbp_p!$A:$B,2,FALSE),"")&lt;&gt;"",IFERROR(VLOOKUP($A20,__rbp_p!$A:$B,2,FALSE),""),IFERROR(INDEX(DQAF_Input!$F$2:$F$129,MATCH(19,DQAF_Input!$Z$2:$Z$129,0)),"")))</f>
        <v/>
      </c>
      <c r="C20" s="4" t="str">
        <f>IF($A20="","",INDEX(DQAF_Input!$H$2:$H$129,MATCH(19,DQAF_Input!$Z$2:$Z$129,0)))</f>
        <v/>
      </c>
    </row>
    <row r="21" spans="1:3" x14ac:dyDescent="0.3">
      <c r="A21" s="12" t="str">
        <f>IFERROR(INDEX(DQAF_Input!$E$2:$E$129,MATCH(20,DQAF_Input!$Z$2:$Z$129,0)),"")</f>
        <v/>
      </c>
      <c r="B21" s="4" t="str">
        <f>IF($A21="","",IF(IFERROR(VLOOKUP($A21,__rbp_p!$A:$B,2,FALSE),"")&lt;&gt;"",IFERROR(VLOOKUP($A21,__rbp_p!$A:$B,2,FALSE),""),IFERROR(INDEX(DQAF_Input!$F$2:$F$129,MATCH(20,DQAF_Input!$Z$2:$Z$129,0)),"")))</f>
        <v/>
      </c>
      <c r="C21" s="4" t="str">
        <f>IF($A21="","",INDEX(DQAF_Input!$H$2:$H$129,MATCH(20,DQAF_Input!$Z$2:$Z$129,0)))</f>
        <v/>
      </c>
    </row>
    <row r="22" spans="1:3" x14ac:dyDescent="0.3">
      <c r="A22" s="12" t="str">
        <f>IFERROR(INDEX(DQAF_Input!$E$2:$E$129,MATCH(21,DQAF_Input!$Z$2:$Z$129,0)),"")</f>
        <v/>
      </c>
      <c r="B22" s="4" t="str">
        <f>IF($A22="","",IF(IFERROR(VLOOKUP($A22,__rbp_p!$A:$B,2,FALSE),"")&lt;&gt;"",IFERROR(VLOOKUP($A22,__rbp_p!$A:$B,2,FALSE),""),IFERROR(INDEX(DQAF_Input!$F$2:$F$129,MATCH(21,DQAF_Input!$Z$2:$Z$129,0)),"")))</f>
        <v/>
      </c>
      <c r="C22" s="4" t="str">
        <f>IF($A22="","",INDEX(DQAF_Input!$H$2:$H$129,MATCH(21,DQAF_Input!$Z$2:$Z$129,0)))</f>
        <v/>
      </c>
    </row>
    <row r="23" spans="1:3" x14ac:dyDescent="0.3">
      <c r="A23" s="12" t="str">
        <f>IFERROR(INDEX(DQAF_Input!$E$2:$E$129,MATCH(22,DQAF_Input!$Z$2:$Z$129,0)),"")</f>
        <v/>
      </c>
      <c r="B23" s="4" t="str">
        <f>IF($A23="","",IF(IFERROR(VLOOKUP($A23,__rbp_p!$A:$B,2,FALSE),"")&lt;&gt;"",IFERROR(VLOOKUP($A23,__rbp_p!$A:$B,2,FALSE),""),IFERROR(INDEX(DQAF_Input!$F$2:$F$129,MATCH(22,DQAF_Input!$Z$2:$Z$129,0)),"")))</f>
        <v/>
      </c>
      <c r="C23" s="4" t="str">
        <f>IF($A23="","",INDEX(DQAF_Input!$H$2:$H$129,MATCH(22,DQAF_Input!$Z$2:$Z$129,0)))</f>
        <v/>
      </c>
    </row>
    <row r="24" spans="1:3" x14ac:dyDescent="0.3">
      <c r="A24" s="12" t="str">
        <f>IFERROR(INDEX(DQAF_Input!$E$2:$E$129,MATCH(23,DQAF_Input!$Z$2:$Z$129,0)),"")</f>
        <v/>
      </c>
      <c r="B24" s="4" t="str">
        <f>IF($A24="","",IF(IFERROR(VLOOKUP($A24,__rbp_p!$A:$B,2,FALSE),"")&lt;&gt;"",IFERROR(VLOOKUP($A24,__rbp_p!$A:$B,2,FALSE),""),IFERROR(INDEX(DQAF_Input!$F$2:$F$129,MATCH(23,DQAF_Input!$Z$2:$Z$129,0)),"")))</f>
        <v/>
      </c>
      <c r="C24" s="4" t="str">
        <f>IF($A24="","",INDEX(DQAF_Input!$H$2:$H$129,MATCH(23,DQAF_Input!$Z$2:$Z$129,0)))</f>
        <v/>
      </c>
    </row>
    <row r="25" spans="1:3" x14ac:dyDescent="0.3">
      <c r="A25" s="12" t="str">
        <f>IFERROR(INDEX(DQAF_Input!$E$2:$E$129,MATCH(24,DQAF_Input!$Z$2:$Z$129,0)),"")</f>
        <v/>
      </c>
      <c r="B25" s="4" t="str">
        <f>IF($A25="","",IF(IFERROR(VLOOKUP($A25,__rbp_p!$A:$B,2,FALSE),"")&lt;&gt;"",IFERROR(VLOOKUP($A25,__rbp_p!$A:$B,2,FALSE),""),IFERROR(INDEX(DQAF_Input!$F$2:$F$129,MATCH(24,DQAF_Input!$Z$2:$Z$129,0)),"")))</f>
        <v/>
      </c>
      <c r="C25" s="4" t="str">
        <f>IF($A25="","",INDEX(DQAF_Input!$H$2:$H$129,MATCH(24,DQAF_Input!$Z$2:$Z$129,0)))</f>
        <v/>
      </c>
    </row>
    <row r="26" spans="1:3" x14ac:dyDescent="0.3">
      <c r="A26" s="12" t="str">
        <f>IFERROR(INDEX(DQAF_Input!$E$2:$E$129,MATCH(25,DQAF_Input!$Z$2:$Z$129,0)),"")</f>
        <v/>
      </c>
      <c r="B26" s="4" t="str">
        <f>IF($A26="","",IF(IFERROR(VLOOKUP($A26,__rbp_p!$A:$B,2,FALSE),"")&lt;&gt;"",IFERROR(VLOOKUP($A26,__rbp_p!$A:$B,2,FALSE),""),IFERROR(INDEX(DQAF_Input!$F$2:$F$129,MATCH(25,DQAF_Input!$Z$2:$Z$129,0)),"")))</f>
        <v/>
      </c>
      <c r="C26" s="4" t="str">
        <f>IF($A26="","",INDEX(DQAF_Input!$H$2:$H$129,MATCH(25,DQAF_Input!$Z$2:$Z$129,0)))</f>
        <v/>
      </c>
    </row>
    <row r="27" spans="1:3" x14ac:dyDescent="0.3">
      <c r="A27" s="12" t="str">
        <f>IFERROR(INDEX(DQAF_Input!$E$2:$E$129,MATCH(26,DQAF_Input!$Z$2:$Z$129,0)),"")</f>
        <v/>
      </c>
      <c r="B27" s="4" t="str">
        <f>IF($A27="","",IF(IFERROR(VLOOKUP($A27,__rbp_p!$A:$B,2,FALSE),"")&lt;&gt;"",IFERROR(VLOOKUP($A27,__rbp_p!$A:$B,2,FALSE),""),IFERROR(INDEX(DQAF_Input!$F$2:$F$129,MATCH(26,DQAF_Input!$Z$2:$Z$129,0)),"")))</f>
        <v/>
      </c>
      <c r="C27" s="4" t="str">
        <f>IF($A27="","",INDEX(DQAF_Input!$H$2:$H$129,MATCH(26,DQAF_Input!$Z$2:$Z$129,0)))</f>
        <v/>
      </c>
    </row>
    <row r="28" spans="1:3" x14ac:dyDescent="0.3">
      <c r="A28" s="12" t="str">
        <f>IFERROR(INDEX(DQAF_Input!$E$2:$E$129,MATCH(27,DQAF_Input!$Z$2:$Z$129,0)),"")</f>
        <v/>
      </c>
      <c r="B28" s="4" t="str">
        <f>IF($A28="","",IF(IFERROR(VLOOKUP($A28,__rbp_p!$A:$B,2,FALSE),"")&lt;&gt;"",IFERROR(VLOOKUP($A28,__rbp_p!$A:$B,2,FALSE),""),IFERROR(INDEX(DQAF_Input!$F$2:$F$129,MATCH(27,DQAF_Input!$Z$2:$Z$129,0)),"")))</f>
        <v/>
      </c>
      <c r="C28" s="4" t="str">
        <f>IF($A28="","",INDEX(DQAF_Input!$H$2:$H$129,MATCH(27,DQAF_Input!$Z$2:$Z$129,0)))</f>
        <v/>
      </c>
    </row>
    <row r="29" spans="1:3" x14ac:dyDescent="0.3">
      <c r="A29" s="12" t="str">
        <f>IFERROR(INDEX(DQAF_Input!$E$2:$E$129,MATCH(28,DQAF_Input!$Z$2:$Z$129,0)),"")</f>
        <v/>
      </c>
      <c r="B29" s="4" t="str">
        <f>IF($A29="","",IF(IFERROR(VLOOKUP($A29,__rbp_p!$A:$B,2,FALSE),"")&lt;&gt;"",IFERROR(VLOOKUP($A29,__rbp_p!$A:$B,2,FALSE),""),IFERROR(INDEX(DQAF_Input!$F$2:$F$129,MATCH(28,DQAF_Input!$Z$2:$Z$129,0)),"")))</f>
        <v/>
      </c>
      <c r="C29" s="4" t="str">
        <f>IF($A29="","",INDEX(DQAF_Input!$H$2:$H$129,MATCH(28,DQAF_Input!$Z$2:$Z$129,0)))</f>
        <v/>
      </c>
    </row>
    <row r="30" spans="1:3" x14ac:dyDescent="0.3">
      <c r="A30" s="12" t="str">
        <f>IFERROR(INDEX(DQAF_Input!$E$2:$E$129,MATCH(29,DQAF_Input!$Z$2:$Z$129,0)),"")</f>
        <v/>
      </c>
      <c r="B30" s="4" t="str">
        <f>IF($A30="","",IF(IFERROR(VLOOKUP($A30,__rbp_p!$A:$B,2,FALSE),"")&lt;&gt;"",IFERROR(VLOOKUP($A30,__rbp_p!$A:$B,2,FALSE),""),IFERROR(INDEX(DQAF_Input!$F$2:$F$129,MATCH(29,DQAF_Input!$Z$2:$Z$129,0)),"")))</f>
        <v/>
      </c>
      <c r="C30" s="4" t="str">
        <f>IF($A30="","",INDEX(DQAF_Input!$H$2:$H$129,MATCH(29,DQAF_Input!$Z$2:$Z$129,0)))</f>
        <v/>
      </c>
    </row>
    <row r="31" spans="1:3" x14ac:dyDescent="0.3">
      <c r="A31" s="12" t="str">
        <f>IFERROR(INDEX(DQAF_Input!$E$2:$E$129,MATCH(30,DQAF_Input!$Z$2:$Z$129,0)),"")</f>
        <v/>
      </c>
      <c r="B31" s="4" t="str">
        <f>IF($A31="","",IF(IFERROR(VLOOKUP($A31,__rbp_p!$A:$B,2,FALSE),"")&lt;&gt;"",IFERROR(VLOOKUP($A31,__rbp_p!$A:$B,2,FALSE),""),IFERROR(INDEX(DQAF_Input!$F$2:$F$129,MATCH(30,DQAF_Input!$Z$2:$Z$129,0)),"")))</f>
        <v/>
      </c>
      <c r="C31" s="4" t="str">
        <f>IF($A31="","",INDEX(DQAF_Input!$H$2:$H$129,MATCH(30,DQAF_Input!$Z$2:$Z$129,0)))</f>
        <v/>
      </c>
    </row>
    <row r="32" spans="1:3" x14ac:dyDescent="0.3">
      <c r="A32" s="12" t="str">
        <f>IFERROR(INDEX(DQAF_Input!$E$2:$E$129,MATCH(31,DQAF_Input!$Z$2:$Z$129,0)),"")</f>
        <v/>
      </c>
      <c r="B32" s="4" t="str">
        <f>IF($A32="","",IF(IFERROR(VLOOKUP($A32,__rbp_p!$A:$B,2,FALSE),"")&lt;&gt;"",IFERROR(VLOOKUP($A32,__rbp_p!$A:$B,2,FALSE),""),IFERROR(INDEX(DQAF_Input!$F$2:$F$129,MATCH(31,DQAF_Input!$Z$2:$Z$129,0)),"")))</f>
        <v/>
      </c>
      <c r="C32" s="4" t="str">
        <f>IF($A32="","",INDEX(DQAF_Input!$H$2:$H$129,MATCH(31,DQAF_Input!$Z$2:$Z$129,0)))</f>
        <v/>
      </c>
    </row>
    <row r="33" spans="1:3" x14ac:dyDescent="0.3">
      <c r="A33" s="12" t="str">
        <f>IFERROR(INDEX(DQAF_Input!$E$2:$E$129,MATCH(32,DQAF_Input!$Z$2:$Z$129,0)),"")</f>
        <v/>
      </c>
      <c r="B33" s="4" t="str">
        <f>IF($A33="","",IF(IFERROR(VLOOKUP($A33,__rbp_p!$A:$B,2,FALSE),"")&lt;&gt;"",IFERROR(VLOOKUP($A33,__rbp_p!$A:$B,2,FALSE),""),IFERROR(INDEX(DQAF_Input!$F$2:$F$129,MATCH(32,DQAF_Input!$Z$2:$Z$129,0)),"")))</f>
        <v/>
      </c>
      <c r="C33" s="4" t="str">
        <f>IF($A33="","",INDEX(DQAF_Input!$H$2:$H$129,MATCH(32,DQAF_Input!$Z$2:$Z$129,0)))</f>
        <v/>
      </c>
    </row>
    <row r="34" spans="1:3" x14ac:dyDescent="0.3">
      <c r="A34" s="12" t="str">
        <f>IFERROR(INDEX(DQAF_Input!$E$2:$E$129,MATCH(33,DQAF_Input!$Z$2:$Z$129,0)),"")</f>
        <v/>
      </c>
      <c r="B34" s="4" t="str">
        <f>IF($A34="","",IF(IFERROR(VLOOKUP($A34,__rbp_p!$A:$B,2,FALSE),"")&lt;&gt;"",IFERROR(VLOOKUP($A34,__rbp_p!$A:$B,2,FALSE),""),IFERROR(INDEX(DQAF_Input!$F$2:$F$129,MATCH(33,DQAF_Input!$Z$2:$Z$129,0)),"")))</f>
        <v/>
      </c>
      <c r="C34" s="4" t="str">
        <f>IF($A34="","",INDEX(DQAF_Input!$H$2:$H$129,MATCH(33,DQAF_Input!$Z$2:$Z$129,0)))</f>
        <v/>
      </c>
    </row>
    <row r="35" spans="1:3" x14ac:dyDescent="0.3">
      <c r="A35" s="12" t="str">
        <f>IFERROR(INDEX(DQAF_Input!$E$2:$E$129,MATCH(34,DQAF_Input!$Z$2:$Z$129,0)),"")</f>
        <v/>
      </c>
      <c r="B35" s="4" t="str">
        <f>IF($A35="","",IF(IFERROR(VLOOKUP($A35,__rbp_p!$A:$B,2,FALSE),"")&lt;&gt;"",IFERROR(VLOOKUP($A35,__rbp_p!$A:$B,2,FALSE),""),IFERROR(INDEX(DQAF_Input!$F$2:$F$129,MATCH(34,DQAF_Input!$Z$2:$Z$129,0)),"")))</f>
        <v/>
      </c>
      <c r="C35" s="4" t="str">
        <f>IF($A35="","",INDEX(DQAF_Input!$H$2:$H$129,MATCH(34,DQAF_Input!$Z$2:$Z$129,0)))</f>
        <v/>
      </c>
    </row>
    <row r="36" spans="1:3" x14ac:dyDescent="0.3">
      <c r="A36" s="12" t="str">
        <f>IFERROR(INDEX(DQAF_Input!$E$2:$E$129,MATCH(35,DQAF_Input!$Z$2:$Z$129,0)),"")</f>
        <v/>
      </c>
      <c r="B36" s="4" t="str">
        <f>IF($A36="","",IF(IFERROR(VLOOKUP($A36,__rbp_p!$A:$B,2,FALSE),"")&lt;&gt;"",IFERROR(VLOOKUP($A36,__rbp_p!$A:$B,2,FALSE),""),IFERROR(INDEX(DQAF_Input!$F$2:$F$129,MATCH(35,DQAF_Input!$Z$2:$Z$129,0)),"")))</f>
        <v/>
      </c>
      <c r="C36" s="4" t="str">
        <f>IF($A36="","",INDEX(DQAF_Input!$H$2:$H$129,MATCH(35,DQAF_Input!$Z$2:$Z$129,0)))</f>
        <v/>
      </c>
    </row>
    <row r="37" spans="1:3" x14ac:dyDescent="0.3">
      <c r="A37" s="12" t="str">
        <f>IFERROR(INDEX(DQAF_Input!$E$2:$E$129,MATCH(36,DQAF_Input!$Z$2:$Z$129,0)),"")</f>
        <v/>
      </c>
      <c r="B37" s="4" t="str">
        <f>IF($A37="","",IF(IFERROR(VLOOKUP($A37,__rbp_p!$A:$B,2,FALSE),"")&lt;&gt;"",IFERROR(VLOOKUP($A37,__rbp_p!$A:$B,2,FALSE),""),IFERROR(INDEX(DQAF_Input!$F$2:$F$129,MATCH(36,DQAF_Input!$Z$2:$Z$129,0)),"")))</f>
        <v/>
      </c>
      <c r="C37" s="4" t="str">
        <f>IF($A37="","",INDEX(DQAF_Input!$H$2:$H$129,MATCH(36,DQAF_Input!$Z$2:$Z$129,0)))</f>
        <v/>
      </c>
    </row>
    <row r="38" spans="1:3" x14ac:dyDescent="0.3">
      <c r="A38" s="12" t="str">
        <f>IFERROR(INDEX(DQAF_Input!$E$2:$E$129,MATCH(37,DQAF_Input!$Z$2:$Z$129,0)),"")</f>
        <v/>
      </c>
      <c r="B38" s="4" t="str">
        <f>IF($A38="","",IF(IFERROR(VLOOKUP($A38,__rbp_p!$A:$B,2,FALSE),"")&lt;&gt;"",IFERROR(VLOOKUP($A38,__rbp_p!$A:$B,2,FALSE),""),IFERROR(INDEX(DQAF_Input!$F$2:$F$129,MATCH(37,DQAF_Input!$Z$2:$Z$129,0)),"")))</f>
        <v/>
      </c>
      <c r="C38" s="4" t="str">
        <f>IF($A38="","",INDEX(DQAF_Input!$H$2:$H$129,MATCH(37,DQAF_Input!$Z$2:$Z$129,0)))</f>
        <v/>
      </c>
    </row>
    <row r="39" spans="1:3" x14ac:dyDescent="0.3">
      <c r="A39" s="12" t="str">
        <f>IFERROR(INDEX(DQAF_Input!$E$2:$E$129,MATCH(38,DQAF_Input!$Z$2:$Z$129,0)),"")</f>
        <v/>
      </c>
      <c r="B39" s="4" t="str">
        <f>IF($A39="","",IF(IFERROR(VLOOKUP($A39,__rbp_p!$A:$B,2,FALSE),"")&lt;&gt;"",IFERROR(VLOOKUP($A39,__rbp_p!$A:$B,2,FALSE),""),IFERROR(INDEX(DQAF_Input!$F$2:$F$129,MATCH(38,DQAF_Input!$Z$2:$Z$129,0)),"")))</f>
        <v/>
      </c>
      <c r="C39" s="4" t="str">
        <f>IF($A39="","",INDEX(DQAF_Input!$H$2:$H$129,MATCH(38,DQAF_Input!$Z$2:$Z$129,0)))</f>
        <v/>
      </c>
    </row>
    <row r="40" spans="1:3" x14ac:dyDescent="0.3">
      <c r="A40" s="12" t="str">
        <f>IFERROR(INDEX(DQAF_Input!$E$2:$E$129,MATCH(39,DQAF_Input!$Z$2:$Z$129,0)),"")</f>
        <v/>
      </c>
      <c r="B40" s="4" t="str">
        <f>IF($A40="","",IF(IFERROR(VLOOKUP($A40,__rbp_p!$A:$B,2,FALSE),"")&lt;&gt;"",IFERROR(VLOOKUP($A40,__rbp_p!$A:$B,2,FALSE),""),IFERROR(INDEX(DQAF_Input!$F$2:$F$129,MATCH(39,DQAF_Input!$Z$2:$Z$129,0)),"")))</f>
        <v/>
      </c>
      <c r="C40" s="4" t="str">
        <f>IF($A40="","",INDEX(DQAF_Input!$H$2:$H$129,MATCH(39,DQAF_Input!$Z$2:$Z$129,0)))</f>
        <v/>
      </c>
    </row>
    <row r="41" spans="1:3" x14ac:dyDescent="0.3">
      <c r="A41" s="12" t="str">
        <f>IFERROR(INDEX(DQAF_Input!$E$2:$E$129,MATCH(40,DQAF_Input!$Z$2:$Z$129,0)),"")</f>
        <v/>
      </c>
      <c r="B41" s="4" t="str">
        <f>IF($A41="","",IF(IFERROR(VLOOKUP($A41,__rbp_p!$A:$B,2,FALSE),"")&lt;&gt;"",IFERROR(VLOOKUP($A41,__rbp_p!$A:$B,2,FALSE),""),IFERROR(INDEX(DQAF_Input!$F$2:$F$129,MATCH(40,DQAF_Input!$Z$2:$Z$129,0)),"")))</f>
        <v/>
      </c>
      <c r="C41" s="4" t="str">
        <f>IF($A41="","",INDEX(DQAF_Input!$H$2:$H$129,MATCH(40,DQAF_Input!$Z$2:$Z$129,0)))</f>
        <v/>
      </c>
    </row>
    <row r="42" spans="1:3" x14ac:dyDescent="0.3">
      <c r="A42" s="12" t="str">
        <f>IFERROR(INDEX(DQAF_Input!$E$2:$E$129,MATCH(41,DQAF_Input!$Z$2:$Z$129,0)),"")</f>
        <v/>
      </c>
      <c r="B42" s="4" t="str">
        <f>IF($A42="","",IF(IFERROR(VLOOKUP($A42,__rbp_p!$A:$B,2,FALSE),"")&lt;&gt;"",IFERROR(VLOOKUP($A42,__rbp_p!$A:$B,2,FALSE),""),IFERROR(INDEX(DQAF_Input!$F$2:$F$129,MATCH(41,DQAF_Input!$Z$2:$Z$129,0)),"")))</f>
        <v/>
      </c>
      <c r="C42" s="4" t="str">
        <f>IF($A42="","",INDEX(DQAF_Input!$H$2:$H$129,MATCH(41,DQAF_Input!$Z$2:$Z$129,0)))</f>
        <v/>
      </c>
    </row>
    <row r="43" spans="1:3" x14ac:dyDescent="0.3">
      <c r="A43" s="12" t="str">
        <f>IFERROR(INDEX(DQAF_Input!$E$2:$E$129,MATCH(42,DQAF_Input!$Z$2:$Z$129,0)),"")</f>
        <v/>
      </c>
      <c r="B43" s="4" t="str">
        <f>IF($A43="","",IF(IFERROR(VLOOKUP($A43,__rbp_p!$A:$B,2,FALSE),"")&lt;&gt;"",IFERROR(VLOOKUP($A43,__rbp_p!$A:$B,2,FALSE),""),IFERROR(INDEX(DQAF_Input!$F$2:$F$129,MATCH(42,DQAF_Input!$Z$2:$Z$129,0)),"")))</f>
        <v/>
      </c>
      <c r="C43" s="4" t="str">
        <f>IF($A43="","",INDEX(DQAF_Input!$H$2:$H$129,MATCH(42,DQAF_Input!$Z$2:$Z$129,0)))</f>
        <v/>
      </c>
    </row>
    <row r="44" spans="1:3" x14ac:dyDescent="0.3">
      <c r="A44" s="12" t="str">
        <f>IFERROR(INDEX(DQAF_Input!$E$2:$E$129,MATCH(43,DQAF_Input!$Z$2:$Z$129,0)),"")</f>
        <v/>
      </c>
      <c r="B44" s="4" t="str">
        <f>IF($A44="","",IF(IFERROR(VLOOKUP($A44,__rbp_p!$A:$B,2,FALSE),"")&lt;&gt;"",IFERROR(VLOOKUP($A44,__rbp_p!$A:$B,2,FALSE),""),IFERROR(INDEX(DQAF_Input!$F$2:$F$129,MATCH(43,DQAF_Input!$Z$2:$Z$129,0)),"")))</f>
        <v/>
      </c>
      <c r="C44" s="4" t="str">
        <f>IF($A44="","",INDEX(DQAF_Input!$H$2:$H$129,MATCH(43,DQAF_Input!$Z$2:$Z$129,0)))</f>
        <v/>
      </c>
    </row>
    <row r="45" spans="1:3" x14ac:dyDescent="0.3">
      <c r="A45" s="12" t="str">
        <f>IFERROR(INDEX(DQAF_Input!$E$2:$E$129,MATCH(44,DQAF_Input!$Z$2:$Z$129,0)),"")</f>
        <v/>
      </c>
      <c r="B45" s="4" t="str">
        <f>IF($A45="","",IF(IFERROR(VLOOKUP($A45,__rbp_p!$A:$B,2,FALSE),"")&lt;&gt;"",IFERROR(VLOOKUP($A45,__rbp_p!$A:$B,2,FALSE),""),IFERROR(INDEX(DQAF_Input!$F$2:$F$129,MATCH(44,DQAF_Input!$Z$2:$Z$129,0)),"")))</f>
        <v/>
      </c>
      <c r="C45" s="4" t="str">
        <f>IF($A45="","",INDEX(DQAF_Input!$H$2:$H$129,MATCH(44,DQAF_Input!$Z$2:$Z$129,0)))</f>
        <v/>
      </c>
    </row>
    <row r="46" spans="1:3" x14ac:dyDescent="0.3">
      <c r="A46" s="12" t="str">
        <f>IFERROR(INDEX(DQAF_Input!$E$2:$E$129,MATCH(45,DQAF_Input!$Z$2:$Z$129,0)),"")</f>
        <v/>
      </c>
      <c r="B46" s="4" t="str">
        <f>IF($A46="","",IF(IFERROR(VLOOKUP($A46,__rbp_p!$A:$B,2,FALSE),"")&lt;&gt;"",IFERROR(VLOOKUP($A46,__rbp_p!$A:$B,2,FALSE),""),IFERROR(INDEX(DQAF_Input!$F$2:$F$129,MATCH(45,DQAF_Input!$Z$2:$Z$129,0)),"")))</f>
        <v/>
      </c>
      <c r="C46" s="4" t="str">
        <f>IF($A46="","",INDEX(DQAF_Input!$H$2:$H$129,MATCH(45,DQAF_Input!$Z$2:$Z$129,0)))</f>
        <v/>
      </c>
    </row>
    <row r="47" spans="1:3" x14ac:dyDescent="0.3">
      <c r="A47" s="12" t="str">
        <f>IFERROR(INDEX(DQAF_Input!$E$2:$E$129,MATCH(46,DQAF_Input!$Z$2:$Z$129,0)),"")</f>
        <v/>
      </c>
      <c r="B47" s="4" t="str">
        <f>IF($A47="","",IF(IFERROR(VLOOKUP($A47,__rbp_p!$A:$B,2,FALSE),"")&lt;&gt;"",IFERROR(VLOOKUP($A47,__rbp_p!$A:$B,2,FALSE),""),IFERROR(INDEX(DQAF_Input!$F$2:$F$129,MATCH(46,DQAF_Input!$Z$2:$Z$129,0)),"")))</f>
        <v/>
      </c>
      <c r="C47" s="4" t="str">
        <f>IF($A47="","",INDEX(DQAF_Input!$H$2:$H$129,MATCH(46,DQAF_Input!$Z$2:$Z$129,0)))</f>
        <v/>
      </c>
    </row>
    <row r="48" spans="1:3" x14ac:dyDescent="0.3">
      <c r="A48" s="12" t="str">
        <f>IFERROR(INDEX(DQAF_Input!$E$2:$E$129,MATCH(47,DQAF_Input!$Z$2:$Z$129,0)),"")</f>
        <v/>
      </c>
      <c r="B48" s="4" t="str">
        <f>IF($A48="","",IF(IFERROR(VLOOKUP($A48,__rbp_p!$A:$B,2,FALSE),"")&lt;&gt;"",IFERROR(VLOOKUP($A48,__rbp_p!$A:$B,2,FALSE),""),IFERROR(INDEX(DQAF_Input!$F$2:$F$129,MATCH(47,DQAF_Input!$Z$2:$Z$129,0)),"")))</f>
        <v/>
      </c>
      <c r="C48" s="4" t="str">
        <f>IF($A48="","",INDEX(DQAF_Input!$H$2:$H$129,MATCH(47,DQAF_Input!$Z$2:$Z$129,0)))</f>
        <v/>
      </c>
    </row>
    <row r="49" spans="1:3" x14ac:dyDescent="0.3">
      <c r="A49" s="12" t="str">
        <f>IFERROR(INDEX(DQAF_Input!$E$2:$E$129,MATCH(48,DQAF_Input!$Z$2:$Z$129,0)),"")</f>
        <v/>
      </c>
      <c r="B49" s="4" t="str">
        <f>IF($A49="","",IF(IFERROR(VLOOKUP($A49,__rbp_p!$A:$B,2,FALSE),"")&lt;&gt;"",IFERROR(VLOOKUP($A49,__rbp_p!$A:$B,2,FALSE),""),IFERROR(INDEX(DQAF_Input!$F$2:$F$129,MATCH(48,DQAF_Input!$Z$2:$Z$129,0)),"")))</f>
        <v/>
      </c>
      <c r="C49" s="4" t="str">
        <f>IF($A49="","",INDEX(DQAF_Input!$H$2:$H$129,MATCH(48,DQAF_Input!$Z$2:$Z$129,0)))</f>
        <v/>
      </c>
    </row>
    <row r="50" spans="1:3" x14ac:dyDescent="0.3">
      <c r="A50" s="12" t="str">
        <f>IFERROR(INDEX(DQAF_Input!$E$2:$E$129,MATCH(49,DQAF_Input!$Z$2:$Z$129,0)),"")</f>
        <v/>
      </c>
      <c r="B50" s="4" t="str">
        <f>IF($A50="","",IF(IFERROR(VLOOKUP($A50,__rbp_p!$A:$B,2,FALSE),"")&lt;&gt;"",IFERROR(VLOOKUP($A50,__rbp_p!$A:$B,2,FALSE),""),IFERROR(INDEX(DQAF_Input!$F$2:$F$129,MATCH(49,DQAF_Input!$Z$2:$Z$129,0)),"")))</f>
        <v/>
      </c>
      <c r="C50" s="4" t="str">
        <f>IF($A50="","",INDEX(DQAF_Input!$H$2:$H$129,MATCH(49,DQAF_Input!$Z$2:$Z$129,0)))</f>
        <v/>
      </c>
    </row>
    <row r="51" spans="1:3" x14ac:dyDescent="0.3">
      <c r="A51" s="12" t="str">
        <f>IFERROR(INDEX(DQAF_Input!$E$2:$E$129,MATCH(50,DQAF_Input!$Z$2:$Z$129,0)),"")</f>
        <v/>
      </c>
      <c r="B51" s="4" t="str">
        <f>IF($A51="","",IF(IFERROR(VLOOKUP($A51,__rbp_p!$A:$B,2,FALSE),"")&lt;&gt;"",IFERROR(VLOOKUP($A51,__rbp_p!$A:$B,2,FALSE),""),IFERROR(INDEX(DQAF_Input!$F$2:$F$129,MATCH(50,DQAF_Input!$Z$2:$Z$129,0)),"")))</f>
        <v/>
      </c>
      <c r="C51" s="4" t="str">
        <f>IF($A51="","",INDEX(DQAF_Input!$H$2:$H$129,MATCH(50,DQAF_Input!$Z$2:$Z$129,0)))</f>
        <v/>
      </c>
    </row>
    <row r="52" spans="1:3" x14ac:dyDescent="0.3">
      <c r="A52" s="12" t="str">
        <f>IFERROR(INDEX(DQAF_Input!$E$2:$E$129,MATCH(51,DQAF_Input!$Z$2:$Z$129,0)),"")</f>
        <v/>
      </c>
      <c r="B52" s="4" t="str">
        <f>IF($A52="","",IF(IFERROR(VLOOKUP($A52,__rbp_p!$A:$B,2,FALSE),"")&lt;&gt;"",IFERROR(VLOOKUP($A52,__rbp_p!$A:$B,2,FALSE),""),IFERROR(INDEX(DQAF_Input!$F$2:$F$129,MATCH(51,DQAF_Input!$Z$2:$Z$129,0)),"")))</f>
        <v/>
      </c>
      <c r="C52" s="4" t="str">
        <f>IF($A52="","",INDEX(DQAF_Input!$H$2:$H$129,MATCH(51,DQAF_Input!$Z$2:$Z$129,0)))</f>
        <v/>
      </c>
    </row>
    <row r="53" spans="1:3" x14ac:dyDescent="0.3">
      <c r="A53" s="12" t="str">
        <f>IFERROR(INDEX(DQAF_Input!$E$2:$E$129,MATCH(52,DQAF_Input!$Z$2:$Z$129,0)),"")</f>
        <v/>
      </c>
      <c r="B53" s="4" t="str">
        <f>IF($A53="","",IF(IFERROR(VLOOKUP($A53,__rbp_p!$A:$B,2,FALSE),"")&lt;&gt;"",IFERROR(VLOOKUP($A53,__rbp_p!$A:$B,2,FALSE),""),IFERROR(INDEX(DQAF_Input!$F$2:$F$129,MATCH(52,DQAF_Input!$Z$2:$Z$129,0)),"")))</f>
        <v/>
      </c>
      <c r="C53" s="4" t="str">
        <f>IF($A53="","",INDEX(DQAF_Input!$H$2:$H$129,MATCH(52,DQAF_Input!$Z$2:$Z$129,0)))</f>
        <v/>
      </c>
    </row>
    <row r="54" spans="1:3" x14ac:dyDescent="0.3">
      <c r="A54" s="12" t="str">
        <f>IFERROR(INDEX(DQAF_Input!$E$2:$E$129,MATCH(53,DQAF_Input!$Z$2:$Z$129,0)),"")</f>
        <v/>
      </c>
      <c r="B54" s="4" t="str">
        <f>IF($A54="","",IF(IFERROR(VLOOKUP($A54,__rbp_p!$A:$B,2,FALSE),"")&lt;&gt;"",IFERROR(VLOOKUP($A54,__rbp_p!$A:$B,2,FALSE),""),IFERROR(INDEX(DQAF_Input!$F$2:$F$129,MATCH(53,DQAF_Input!$Z$2:$Z$129,0)),"")))</f>
        <v/>
      </c>
      <c r="C54" s="4" t="str">
        <f>IF($A54="","",INDEX(DQAF_Input!$H$2:$H$129,MATCH(53,DQAF_Input!$Z$2:$Z$129,0)))</f>
        <v/>
      </c>
    </row>
    <row r="55" spans="1:3" x14ac:dyDescent="0.3">
      <c r="A55" s="12" t="str">
        <f>IFERROR(INDEX(DQAF_Input!$E$2:$E$129,MATCH(54,DQAF_Input!$Z$2:$Z$129,0)),"")</f>
        <v/>
      </c>
      <c r="B55" s="4" t="str">
        <f>IF($A55="","",IF(IFERROR(VLOOKUP($A55,__rbp_p!$A:$B,2,FALSE),"")&lt;&gt;"",IFERROR(VLOOKUP($A55,__rbp_p!$A:$B,2,FALSE),""),IFERROR(INDEX(DQAF_Input!$F$2:$F$129,MATCH(54,DQAF_Input!$Z$2:$Z$129,0)),"")))</f>
        <v/>
      </c>
      <c r="C55" s="4" t="str">
        <f>IF($A55="","",INDEX(DQAF_Input!$H$2:$H$129,MATCH(54,DQAF_Input!$Z$2:$Z$129,0)))</f>
        <v/>
      </c>
    </row>
    <row r="56" spans="1:3" x14ac:dyDescent="0.3">
      <c r="A56" s="12" t="str">
        <f>IFERROR(INDEX(DQAF_Input!$E$2:$E$129,MATCH(55,DQAF_Input!$Z$2:$Z$129,0)),"")</f>
        <v/>
      </c>
      <c r="B56" s="4" t="str">
        <f>IF($A56="","",IF(IFERROR(VLOOKUP($A56,__rbp_p!$A:$B,2,FALSE),"")&lt;&gt;"",IFERROR(VLOOKUP($A56,__rbp_p!$A:$B,2,FALSE),""),IFERROR(INDEX(DQAF_Input!$F$2:$F$129,MATCH(55,DQAF_Input!$Z$2:$Z$129,0)),"")))</f>
        <v/>
      </c>
      <c r="C56" s="4" t="str">
        <f>IF($A56="","",INDEX(DQAF_Input!$H$2:$H$129,MATCH(55,DQAF_Input!$Z$2:$Z$129,0)))</f>
        <v/>
      </c>
    </row>
    <row r="57" spans="1:3" x14ac:dyDescent="0.3">
      <c r="A57" s="12" t="str">
        <f>IFERROR(INDEX(DQAF_Input!$E$2:$E$129,MATCH(56,DQAF_Input!$Z$2:$Z$129,0)),"")</f>
        <v/>
      </c>
      <c r="B57" s="4" t="str">
        <f>IF($A57="","",IF(IFERROR(VLOOKUP($A57,__rbp_p!$A:$B,2,FALSE),"")&lt;&gt;"",IFERROR(VLOOKUP($A57,__rbp_p!$A:$B,2,FALSE),""),IFERROR(INDEX(DQAF_Input!$F$2:$F$129,MATCH(56,DQAF_Input!$Z$2:$Z$129,0)),"")))</f>
        <v/>
      </c>
      <c r="C57" s="4" t="str">
        <f>IF($A57="","",INDEX(DQAF_Input!$H$2:$H$129,MATCH(56,DQAF_Input!$Z$2:$Z$129,0)))</f>
        <v/>
      </c>
    </row>
    <row r="58" spans="1:3" x14ac:dyDescent="0.3">
      <c r="A58" s="12" t="str">
        <f>IFERROR(INDEX(DQAF_Input!$E$2:$E$129,MATCH(57,DQAF_Input!$Z$2:$Z$129,0)),"")</f>
        <v/>
      </c>
      <c r="B58" s="4" t="str">
        <f>IF($A58="","",IF(IFERROR(VLOOKUP($A58,__rbp_p!$A:$B,2,FALSE),"")&lt;&gt;"",IFERROR(VLOOKUP($A58,__rbp_p!$A:$B,2,FALSE),""),IFERROR(INDEX(DQAF_Input!$F$2:$F$129,MATCH(57,DQAF_Input!$Z$2:$Z$129,0)),"")))</f>
        <v/>
      </c>
      <c r="C58" s="4" t="str">
        <f>IF($A58="","",INDEX(DQAF_Input!$H$2:$H$129,MATCH(57,DQAF_Input!$Z$2:$Z$129,0)))</f>
        <v/>
      </c>
    </row>
    <row r="59" spans="1:3" x14ac:dyDescent="0.3">
      <c r="A59" s="12" t="str">
        <f>IFERROR(INDEX(DQAF_Input!$E$2:$E$129,MATCH(58,DQAF_Input!$Z$2:$Z$129,0)),"")</f>
        <v/>
      </c>
      <c r="B59" s="4" t="str">
        <f>IF($A59="","",IF(IFERROR(VLOOKUP($A59,__rbp_p!$A:$B,2,FALSE),"")&lt;&gt;"",IFERROR(VLOOKUP($A59,__rbp_p!$A:$B,2,FALSE),""),IFERROR(INDEX(DQAF_Input!$F$2:$F$129,MATCH(58,DQAF_Input!$Z$2:$Z$129,0)),"")))</f>
        <v/>
      </c>
      <c r="C59" s="4" t="str">
        <f>IF($A59="","",INDEX(DQAF_Input!$H$2:$H$129,MATCH(58,DQAF_Input!$Z$2:$Z$129,0)))</f>
        <v/>
      </c>
    </row>
    <row r="60" spans="1:3" x14ac:dyDescent="0.3">
      <c r="A60" s="12" t="str">
        <f>IFERROR(INDEX(DQAF_Input!$E$2:$E$129,MATCH(59,DQAF_Input!$Z$2:$Z$129,0)),"")</f>
        <v/>
      </c>
      <c r="B60" s="4" t="str">
        <f>IF($A60="","",IF(IFERROR(VLOOKUP($A60,__rbp_p!$A:$B,2,FALSE),"")&lt;&gt;"",IFERROR(VLOOKUP($A60,__rbp_p!$A:$B,2,FALSE),""),IFERROR(INDEX(DQAF_Input!$F$2:$F$129,MATCH(59,DQAF_Input!$Z$2:$Z$129,0)),"")))</f>
        <v/>
      </c>
      <c r="C60" s="4" t="str">
        <f>IF($A60="","",INDEX(DQAF_Input!$H$2:$H$129,MATCH(59,DQAF_Input!$Z$2:$Z$129,0)))</f>
        <v/>
      </c>
    </row>
    <row r="61" spans="1:3" x14ac:dyDescent="0.3">
      <c r="A61" s="12" t="str">
        <f>IFERROR(INDEX(DQAF_Input!$E$2:$E$129,MATCH(60,DQAF_Input!$Z$2:$Z$129,0)),"")</f>
        <v/>
      </c>
      <c r="B61" s="4" t="str">
        <f>IF($A61="","",IF(IFERROR(VLOOKUP($A61,__rbp_p!$A:$B,2,FALSE),"")&lt;&gt;"",IFERROR(VLOOKUP($A61,__rbp_p!$A:$B,2,FALSE),""),IFERROR(INDEX(DQAF_Input!$F$2:$F$129,MATCH(60,DQAF_Input!$Z$2:$Z$129,0)),"")))</f>
        <v/>
      </c>
      <c r="C61" s="4" t="str">
        <f>IF($A61="","",INDEX(DQAF_Input!$H$2:$H$129,MATCH(60,DQAF_Input!$Z$2:$Z$129,0)))</f>
        <v/>
      </c>
    </row>
    <row r="62" spans="1:3" x14ac:dyDescent="0.3">
      <c r="A62" s="12" t="str">
        <f>IFERROR(INDEX(DQAF_Input!$E$2:$E$129,MATCH(61,DQAF_Input!$Z$2:$Z$129,0)),"")</f>
        <v/>
      </c>
      <c r="B62" s="4" t="str">
        <f>IF($A62="","",IF(IFERROR(VLOOKUP($A62,__rbp_p!$A:$B,2,FALSE),"")&lt;&gt;"",IFERROR(VLOOKUP($A62,__rbp_p!$A:$B,2,FALSE),""),IFERROR(INDEX(DQAF_Input!$F$2:$F$129,MATCH(61,DQAF_Input!$Z$2:$Z$129,0)),"")))</f>
        <v/>
      </c>
      <c r="C62" s="4" t="str">
        <f>IF($A62="","",INDEX(DQAF_Input!$H$2:$H$129,MATCH(61,DQAF_Input!$Z$2:$Z$129,0)))</f>
        <v/>
      </c>
    </row>
    <row r="63" spans="1:3" x14ac:dyDescent="0.3">
      <c r="A63" s="12" t="str">
        <f>IFERROR(INDEX(DQAF_Input!$E$2:$E$129,MATCH(62,DQAF_Input!$Z$2:$Z$129,0)),"")</f>
        <v/>
      </c>
      <c r="B63" s="4" t="str">
        <f>IF($A63="","",IF(IFERROR(VLOOKUP($A63,__rbp_p!$A:$B,2,FALSE),"")&lt;&gt;"",IFERROR(VLOOKUP($A63,__rbp_p!$A:$B,2,FALSE),""),IFERROR(INDEX(DQAF_Input!$F$2:$F$129,MATCH(62,DQAF_Input!$Z$2:$Z$129,0)),"")))</f>
        <v/>
      </c>
      <c r="C63" s="4" t="str">
        <f>IF($A63="","",INDEX(DQAF_Input!$H$2:$H$129,MATCH(62,DQAF_Input!$Z$2:$Z$129,0)))</f>
        <v/>
      </c>
    </row>
    <row r="64" spans="1:3" x14ac:dyDescent="0.3">
      <c r="A64" s="12" t="str">
        <f>IFERROR(INDEX(DQAF_Input!$E$2:$E$129,MATCH(63,DQAF_Input!$Z$2:$Z$129,0)),"")</f>
        <v/>
      </c>
      <c r="B64" s="4" t="str">
        <f>IF($A64="","",IF(IFERROR(VLOOKUP($A64,__rbp_p!$A:$B,2,FALSE),"")&lt;&gt;"",IFERROR(VLOOKUP($A64,__rbp_p!$A:$B,2,FALSE),""),IFERROR(INDEX(DQAF_Input!$F$2:$F$129,MATCH(63,DQAF_Input!$Z$2:$Z$129,0)),"")))</f>
        <v/>
      </c>
      <c r="C64" s="4" t="str">
        <f>IF($A64="","",INDEX(DQAF_Input!$H$2:$H$129,MATCH(63,DQAF_Input!$Z$2:$Z$129,0)))</f>
        <v/>
      </c>
    </row>
    <row r="65" spans="1:3" x14ac:dyDescent="0.3">
      <c r="A65" s="12" t="str">
        <f>IFERROR(INDEX(DQAF_Input!$E$2:$E$129,MATCH(64,DQAF_Input!$Z$2:$Z$129,0)),"")</f>
        <v/>
      </c>
      <c r="B65" s="4" t="str">
        <f>IF($A65="","",IF(IFERROR(VLOOKUP($A65,__rbp_p!$A:$B,2,FALSE),"")&lt;&gt;"",IFERROR(VLOOKUP($A65,__rbp_p!$A:$B,2,FALSE),""),IFERROR(INDEX(DQAF_Input!$F$2:$F$129,MATCH(64,DQAF_Input!$Z$2:$Z$129,0)),"")))</f>
        <v/>
      </c>
      <c r="C65" s="4" t="str">
        <f>IF($A65="","",INDEX(DQAF_Input!$H$2:$H$129,MATCH(64,DQAF_Input!$Z$2:$Z$129,0)))</f>
        <v/>
      </c>
    </row>
    <row r="66" spans="1:3" x14ac:dyDescent="0.3">
      <c r="A66" s="12" t="str">
        <f>IFERROR(INDEX(DQAF_Input!$E$2:$E$129,MATCH(65,DQAF_Input!$Z$2:$Z$129,0)),"")</f>
        <v/>
      </c>
      <c r="B66" s="4" t="str">
        <f>IF($A66="","",IF(IFERROR(VLOOKUP($A66,__rbp_p!$A:$B,2,FALSE),"")&lt;&gt;"",IFERROR(VLOOKUP($A66,__rbp_p!$A:$B,2,FALSE),""),IFERROR(INDEX(DQAF_Input!$F$2:$F$129,MATCH(65,DQAF_Input!$Z$2:$Z$129,0)),"")))</f>
        <v/>
      </c>
      <c r="C66" s="4" t="str">
        <f>IF($A66="","",INDEX(DQAF_Input!$H$2:$H$129,MATCH(65,DQAF_Input!$Z$2:$Z$129,0)))</f>
        <v/>
      </c>
    </row>
    <row r="67" spans="1:3" x14ac:dyDescent="0.3">
      <c r="A67" s="12" t="str">
        <f>IFERROR(INDEX(DQAF_Input!$E$2:$E$129,MATCH(66,DQAF_Input!$Z$2:$Z$129,0)),"")</f>
        <v/>
      </c>
      <c r="B67" s="4" t="str">
        <f>IF($A67="","",IF(IFERROR(VLOOKUP($A67,__rbp_p!$A:$B,2,FALSE),"")&lt;&gt;"",IFERROR(VLOOKUP($A67,__rbp_p!$A:$B,2,FALSE),""),IFERROR(INDEX(DQAF_Input!$F$2:$F$129,MATCH(66,DQAF_Input!$Z$2:$Z$129,0)),"")))</f>
        <v/>
      </c>
      <c r="C67" s="4" t="str">
        <f>IF($A67="","",INDEX(DQAF_Input!$H$2:$H$129,MATCH(66,DQAF_Input!$Z$2:$Z$129,0)))</f>
        <v/>
      </c>
    </row>
    <row r="68" spans="1:3" x14ac:dyDescent="0.3">
      <c r="A68" s="12" t="str">
        <f>IFERROR(INDEX(DQAF_Input!$E$2:$E$129,MATCH(67,DQAF_Input!$Z$2:$Z$129,0)),"")</f>
        <v/>
      </c>
      <c r="B68" s="4" t="str">
        <f>IF($A68="","",IF(IFERROR(VLOOKUP($A68,__rbp_p!$A:$B,2,FALSE),"")&lt;&gt;"",IFERROR(VLOOKUP($A68,__rbp_p!$A:$B,2,FALSE),""),IFERROR(INDEX(DQAF_Input!$F$2:$F$129,MATCH(67,DQAF_Input!$Z$2:$Z$129,0)),"")))</f>
        <v/>
      </c>
      <c r="C68" s="4" t="str">
        <f>IF($A68="","",INDEX(DQAF_Input!$H$2:$H$129,MATCH(67,DQAF_Input!$Z$2:$Z$129,0)))</f>
        <v/>
      </c>
    </row>
    <row r="69" spans="1:3" x14ac:dyDescent="0.3">
      <c r="A69" s="12" t="str">
        <f>IFERROR(INDEX(DQAF_Input!$E$2:$E$129,MATCH(68,DQAF_Input!$Z$2:$Z$129,0)),"")</f>
        <v/>
      </c>
      <c r="B69" s="4" t="str">
        <f>IF($A69="","",IF(IFERROR(VLOOKUP($A69,__rbp_p!$A:$B,2,FALSE),"")&lt;&gt;"",IFERROR(VLOOKUP($A69,__rbp_p!$A:$B,2,FALSE),""),IFERROR(INDEX(DQAF_Input!$F$2:$F$129,MATCH(68,DQAF_Input!$Z$2:$Z$129,0)),"")))</f>
        <v/>
      </c>
      <c r="C69" s="4" t="str">
        <f>IF($A69="","",INDEX(DQAF_Input!$H$2:$H$129,MATCH(68,DQAF_Input!$Z$2:$Z$129,0)))</f>
        <v/>
      </c>
    </row>
    <row r="70" spans="1:3" x14ac:dyDescent="0.3">
      <c r="A70" s="12" t="str">
        <f>IFERROR(INDEX(DQAF_Input!$E$2:$E$129,MATCH(69,DQAF_Input!$Z$2:$Z$129,0)),"")</f>
        <v/>
      </c>
      <c r="B70" s="4" t="str">
        <f>IF($A70="","",IF(IFERROR(VLOOKUP($A70,__rbp_p!$A:$B,2,FALSE),"")&lt;&gt;"",IFERROR(VLOOKUP($A70,__rbp_p!$A:$B,2,FALSE),""),IFERROR(INDEX(DQAF_Input!$F$2:$F$129,MATCH(69,DQAF_Input!$Z$2:$Z$129,0)),"")))</f>
        <v/>
      </c>
      <c r="C70" s="4" t="str">
        <f>IF($A70="","",INDEX(DQAF_Input!$H$2:$H$129,MATCH(69,DQAF_Input!$Z$2:$Z$129,0)))</f>
        <v/>
      </c>
    </row>
    <row r="71" spans="1:3" x14ac:dyDescent="0.3">
      <c r="A71" s="12" t="str">
        <f>IFERROR(INDEX(DQAF_Input!$E$2:$E$129,MATCH(70,DQAF_Input!$Z$2:$Z$129,0)),"")</f>
        <v/>
      </c>
      <c r="B71" s="4" t="str">
        <f>IF($A71="","",IF(IFERROR(VLOOKUP($A71,__rbp_p!$A:$B,2,FALSE),"")&lt;&gt;"",IFERROR(VLOOKUP($A71,__rbp_p!$A:$B,2,FALSE),""),IFERROR(INDEX(DQAF_Input!$F$2:$F$129,MATCH(70,DQAF_Input!$Z$2:$Z$129,0)),"")))</f>
        <v/>
      </c>
      <c r="C71" s="4" t="str">
        <f>IF($A71="","",INDEX(DQAF_Input!$H$2:$H$129,MATCH(70,DQAF_Input!$Z$2:$Z$129,0)))</f>
        <v/>
      </c>
    </row>
    <row r="72" spans="1:3" x14ac:dyDescent="0.3">
      <c r="A72" s="12" t="str">
        <f>IFERROR(INDEX(DQAF_Input!$E$2:$E$129,MATCH(71,DQAF_Input!$Z$2:$Z$129,0)),"")</f>
        <v/>
      </c>
      <c r="B72" s="4" t="str">
        <f>IF($A72="","",IF(IFERROR(VLOOKUP($A72,__rbp_p!$A:$B,2,FALSE),"")&lt;&gt;"",IFERROR(VLOOKUP($A72,__rbp_p!$A:$B,2,FALSE),""),IFERROR(INDEX(DQAF_Input!$F$2:$F$129,MATCH(71,DQAF_Input!$Z$2:$Z$129,0)),"")))</f>
        <v/>
      </c>
      <c r="C72" s="4" t="str">
        <f>IF($A72="","",INDEX(DQAF_Input!$H$2:$H$129,MATCH(71,DQAF_Input!$Z$2:$Z$129,0)))</f>
        <v/>
      </c>
    </row>
    <row r="73" spans="1:3" x14ac:dyDescent="0.3">
      <c r="A73" s="12" t="str">
        <f>IFERROR(INDEX(DQAF_Input!$E$2:$E$129,MATCH(72,DQAF_Input!$Z$2:$Z$129,0)),"")</f>
        <v/>
      </c>
      <c r="B73" s="4" t="str">
        <f>IF($A73="","",IF(IFERROR(VLOOKUP($A73,__rbp_p!$A:$B,2,FALSE),"")&lt;&gt;"",IFERROR(VLOOKUP($A73,__rbp_p!$A:$B,2,FALSE),""),IFERROR(INDEX(DQAF_Input!$F$2:$F$129,MATCH(72,DQAF_Input!$Z$2:$Z$129,0)),"")))</f>
        <v/>
      </c>
      <c r="C73" s="4" t="str">
        <f>IF($A73="","",INDEX(DQAF_Input!$H$2:$H$129,MATCH(72,DQAF_Input!$Z$2:$Z$129,0)))</f>
        <v/>
      </c>
    </row>
    <row r="74" spans="1:3" x14ac:dyDescent="0.3">
      <c r="A74" s="12" t="str">
        <f>IFERROR(INDEX(DQAF_Input!$E$2:$E$129,MATCH(73,DQAF_Input!$Z$2:$Z$129,0)),"")</f>
        <v/>
      </c>
      <c r="B74" s="4" t="str">
        <f>IF($A74="","",IF(IFERROR(VLOOKUP($A74,__rbp_p!$A:$B,2,FALSE),"")&lt;&gt;"",IFERROR(VLOOKUP($A74,__rbp_p!$A:$B,2,FALSE),""),IFERROR(INDEX(DQAF_Input!$F$2:$F$129,MATCH(73,DQAF_Input!$Z$2:$Z$129,0)),"")))</f>
        <v/>
      </c>
      <c r="C74" s="4" t="str">
        <f>IF($A74="","",INDEX(DQAF_Input!$H$2:$H$129,MATCH(73,DQAF_Input!$Z$2:$Z$129,0)))</f>
        <v/>
      </c>
    </row>
    <row r="75" spans="1:3" x14ac:dyDescent="0.3">
      <c r="A75" s="12" t="str">
        <f>IFERROR(INDEX(DQAF_Input!$E$2:$E$129,MATCH(74,DQAF_Input!$Z$2:$Z$129,0)),"")</f>
        <v/>
      </c>
      <c r="B75" s="4" t="str">
        <f>IF($A75="","",IF(IFERROR(VLOOKUP($A75,__rbp_p!$A:$B,2,FALSE),"")&lt;&gt;"",IFERROR(VLOOKUP($A75,__rbp_p!$A:$B,2,FALSE),""),IFERROR(INDEX(DQAF_Input!$F$2:$F$129,MATCH(74,DQAF_Input!$Z$2:$Z$129,0)),"")))</f>
        <v/>
      </c>
      <c r="C75" s="4" t="str">
        <f>IF($A75="","",INDEX(DQAF_Input!$H$2:$H$129,MATCH(74,DQAF_Input!$Z$2:$Z$129,0)))</f>
        <v/>
      </c>
    </row>
    <row r="76" spans="1:3" x14ac:dyDescent="0.3">
      <c r="A76" s="12" t="str">
        <f>IFERROR(INDEX(DQAF_Input!$E$2:$E$129,MATCH(75,DQAF_Input!$Z$2:$Z$129,0)),"")</f>
        <v/>
      </c>
      <c r="B76" s="4" t="str">
        <f>IF($A76="","",IF(IFERROR(VLOOKUP($A76,__rbp_p!$A:$B,2,FALSE),"")&lt;&gt;"",IFERROR(VLOOKUP($A76,__rbp_p!$A:$B,2,FALSE),""),IFERROR(INDEX(DQAF_Input!$F$2:$F$129,MATCH(75,DQAF_Input!$Z$2:$Z$129,0)),"")))</f>
        <v/>
      </c>
      <c r="C76" s="4" t="str">
        <f>IF($A76="","",INDEX(DQAF_Input!$H$2:$H$129,MATCH(75,DQAF_Input!$Z$2:$Z$129,0)))</f>
        <v/>
      </c>
    </row>
    <row r="77" spans="1:3" x14ac:dyDescent="0.3">
      <c r="A77" s="12" t="str">
        <f>IFERROR(INDEX(DQAF_Input!$E$2:$E$129,MATCH(76,DQAF_Input!$Z$2:$Z$129,0)),"")</f>
        <v/>
      </c>
      <c r="B77" s="4" t="str">
        <f>IF($A77="","",IF(IFERROR(VLOOKUP($A77,__rbp_p!$A:$B,2,FALSE),"")&lt;&gt;"",IFERROR(VLOOKUP($A77,__rbp_p!$A:$B,2,FALSE),""),IFERROR(INDEX(DQAF_Input!$F$2:$F$129,MATCH(76,DQAF_Input!$Z$2:$Z$129,0)),"")))</f>
        <v/>
      </c>
      <c r="C77" s="4" t="str">
        <f>IF($A77="","",INDEX(DQAF_Input!$H$2:$H$129,MATCH(76,DQAF_Input!$Z$2:$Z$129,0)))</f>
        <v/>
      </c>
    </row>
    <row r="78" spans="1:3" x14ac:dyDescent="0.3">
      <c r="A78" s="12" t="str">
        <f>IFERROR(INDEX(DQAF_Input!$E$2:$E$129,MATCH(77,DQAF_Input!$Z$2:$Z$129,0)),"")</f>
        <v/>
      </c>
      <c r="B78" s="4" t="str">
        <f>IF($A78="","",IF(IFERROR(VLOOKUP($A78,__rbp_p!$A:$B,2,FALSE),"")&lt;&gt;"",IFERROR(VLOOKUP($A78,__rbp_p!$A:$B,2,FALSE),""),IFERROR(INDEX(DQAF_Input!$F$2:$F$129,MATCH(77,DQAF_Input!$Z$2:$Z$129,0)),"")))</f>
        <v/>
      </c>
      <c r="C78" s="4" t="str">
        <f>IF($A78="","",INDEX(DQAF_Input!$H$2:$H$129,MATCH(77,DQAF_Input!$Z$2:$Z$129,0)))</f>
        <v/>
      </c>
    </row>
    <row r="79" spans="1:3" x14ac:dyDescent="0.3">
      <c r="A79" s="12" t="str">
        <f>IFERROR(INDEX(DQAF_Input!$E$2:$E$129,MATCH(78,DQAF_Input!$Z$2:$Z$129,0)),"")</f>
        <v/>
      </c>
      <c r="B79" s="4" t="str">
        <f>IF($A79="","",IF(IFERROR(VLOOKUP($A79,__rbp_p!$A:$B,2,FALSE),"")&lt;&gt;"",IFERROR(VLOOKUP($A79,__rbp_p!$A:$B,2,FALSE),""),IFERROR(INDEX(DQAF_Input!$F$2:$F$129,MATCH(78,DQAF_Input!$Z$2:$Z$129,0)),"")))</f>
        <v/>
      </c>
      <c r="C79" s="4" t="str">
        <f>IF($A79="","",INDEX(DQAF_Input!$H$2:$H$129,MATCH(78,DQAF_Input!$Z$2:$Z$129,0)))</f>
        <v/>
      </c>
    </row>
    <row r="80" spans="1:3" x14ac:dyDescent="0.3">
      <c r="A80" s="12" t="str">
        <f>IFERROR(INDEX(DQAF_Input!$E$2:$E$129,MATCH(79,DQAF_Input!$Z$2:$Z$129,0)),"")</f>
        <v/>
      </c>
      <c r="B80" s="4" t="str">
        <f>IF($A80="","",IF(IFERROR(VLOOKUP($A80,__rbp_p!$A:$B,2,FALSE),"")&lt;&gt;"",IFERROR(VLOOKUP($A80,__rbp_p!$A:$B,2,FALSE),""),IFERROR(INDEX(DQAF_Input!$F$2:$F$129,MATCH(79,DQAF_Input!$Z$2:$Z$129,0)),"")))</f>
        <v/>
      </c>
      <c r="C80" s="4" t="str">
        <f>IF($A80="","",INDEX(DQAF_Input!$H$2:$H$129,MATCH(79,DQAF_Input!$Z$2:$Z$129,0)))</f>
        <v/>
      </c>
    </row>
    <row r="81" spans="1:3" x14ac:dyDescent="0.3">
      <c r="A81" s="12" t="str">
        <f>IFERROR(INDEX(DQAF_Input!$E$2:$E$129,MATCH(80,DQAF_Input!$Z$2:$Z$129,0)),"")</f>
        <v/>
      </c>
      <c r="B81" s="4" t="str">
        <f>IF($A81="","",IF(IFERROR(VLOOKUP($A81,__rbp_p!$A:$B,2,FALSE),"")&lt;&gt;"",IFERROR(VLOOKUP($A81,__rbp_p!$A:$B,2,FALSE),""),IFERROR(INDEX(DQAF_Input!$F$2:$F$129,MATCH(80,DQAF_Input!$Z$2:$Z$129,0)),"")))</f>
        <v/>
      </c>
      <c r="C81" s="4" t="str">
        <f>IF($A81="","",INDEX(DQAF_Input!$H$2:$H$129,MATCH(80,DQAF_Input!$Z$2:$Z$129,0)))</f>
        <v/>
      </c>
    </row>
    <row r="82" spans="1:3" x14ac:dyDescent="0.3">
      <c r="A82" s="12" t="str">
        <f>IFERROR(INDEX(DQAF_Input!$E$2:$E$129,MATCH(81,DQAF_Input!$Z$2:$Z$129,0)),"")</f>
        <v/>
      </c>
      <c r="B82" s="4" t="str">
        <f>IF($A82="","",IF(IFERROR(VLOOKUP($A82,__rbp_p!$A:$B,2,FALSE),"")&lt;&gt;"",IFERROR(VLOOKUP($A82,__rbp_p!$A:$B,2,FALSE),""),IFERROR(INDEX(DQAF_Input!$F$2:$F$129,MATCH(81,DQAF_Input!$Z$2:$Z$129,0)),"")))</f>
        <v/>
      </c>
      <c r="C82" s="4" t="str">
        <f>IF($A82="","",INDEX(DQAF_Input!$H$2:$H$129,MATCH(81,DQAF_Input!$Z$2:$Z$129,0)))</f>
        <v/>
      </c>
    </row>
    <row r="83" spans="1:3" x14ac:dyDescent="0.3">
      <c r="A83" s="12" t="str">
        <f>IFERROR(INDEX(DQAF_Input!$E$2:$E$129,MATCH(82,DQAF_Input!$Z$2:$Z$129,0)),"")</f>
        <v/>
      </c>
      <c r="B83" s="4" t="str">
        <f>IF($A83="","",IF(IFERROR(VLOOKUP($A83,__rbp_p!$A:$B,2,FALSE),"")&lt;&gt;"",IFERROR(VLOOKUP($A83,__rbp_p!$A:$B,2,FALSE),""),IFERROR(INDEX(DQAF_Input!$F$2:$F$129,MATCH(82,DQAF_Input!$Z$2:$Z$129,0)),"")))</f>
        <v/>
      </c>
      <c r="C83" s="4" t="str">
        <f>IF($A83="","",INDEX(DQAF_Input!$H$2:$H$129,MATCH(82,DQAF_Input!$Z$2:$Z$129,0)))</f>
        <v/>
      </c>
    </row>
    <row r="84" spans="1:3" x14ac:dyDescent="0.3">
      <c r="A84" s="12" t="str">
        <f>IFERROR(INDEX(DQAF_Input!$E$2:$E$129,MATCH(83,DQAF_Input!$Z$2:$Z$129,0)),"")</f>
        <v/>
      </c>
      <c r="B84" s="4" t="str">
        <f>IF($A84="","",IF(IFERROR(VLOOKUP($A84,__rbp_p!$A:$B,2,FALSE),"")&lt;&gt;"",IFERROR(VLOOKUP($A84,__rbp_p!$A:$B,2,FALSE),""),IFERROR(INDEX(DQAF_Input!$F$2:$F$129,MATCH(83,DQAF_Input!$Z$2:$Z$129,0)),"")))</f>
        <v/>
      </c>
      <c r="C84" s="4" t="str">
        <f>IF($A84="","",INDEX(DQAF_Input!$H$2:$H$129,MATCH(83,DQAF_Input!$Z$2:$Z$129,0)))</f>
        <v/>
      </c>
    </row>
    <row r="85" spans="1:3" x14ac:dyDescent="0.3">
      <c r="A85" s="12" t="str">
        <f>IFERROR(INDEX(DQAF_Input!$E$2:$E$129,MATCH(84,DQAF_Input!$Z$2:$Z$129,0)),"")</f>
        <v/>
      </c>
      <c r="B85" s="4" t="str">
        <f>IF($A85="","",IF(IFERROR(VLOOKUP($A85,__rbp_p!$A:$B,2,FALSE),"")&lt;&gt;"",IFERROR(VLOOKUP($A85,__rbp_p!$A:$B,2,FALSE),""),IFERROR(INDEX(DQAF_Input!$F$2:$F$129,MATCH(84,DQAF_Input!$Z$2:$Z$129,0)),"")))</f>
        <v/>
      </c>
      <c r="C85" s="4" t="str">
        <f>IF($A85="","",INDEX(DQAF_Input!$H$2:$H$129,MATCH(84,DQAF_Input!$Z$2:$Z$129,0)))</f>
        <v/>
      </c>
    </row>
    <row r="86" spans="1:3" x14ac:dyDescent="0.3">
      <c r="A86" s="12" t="str">
        <f>IFERROR(INDEX(DQAF_Input!$E$2:$E$129,MATCH(85,DQAF_Input!$Z$2:$Z$129,0)),"")</f>
        <v/>
      </c>
      <c r="B86" s="4" t="str">
        <f>IF($A86="","",IF(IFERROR(VLOOKUP($A86,__rbp_p!$A:$B,2,FALSE),"")&lt;&gt;"",IFERROR(VLOOKUP($A86,__rbp_p!$A:$B,2,FALSE),""),IFERROR(INDEX(DQAF_Input!$F$2:$F$129,MATCH(85,DQAF_Input!$Z$2:$Z$129,0)),"")))</f>
        <v/>
      </c>
      <c r="C86" s="4" t="str">
        <f>IF($A86="","",INDEX(DQAF_Input!$H$2:$H$129,MATCH(85,DQAF_Input!$Z$2:$Z$129,0)))</f>
        <v/>
      </c>
    </row>
    <row r="87" spans="1:3" x14ac:dyDescent="0.3">
      <c r="A87" s="12" t="str">
        <f>IFERROR(INDEX(DQAF_Input!$E$2:$E$129,MATCH(86,DQAF_Input!$Z$2:$Z$129,0)),"")</f>
        <v/>
      </c>
      <c r="B87" s="4" t="str">
        <f>IF($A87="","",IF(IFERROR(VLOOKUP($A87,__rbp_p!$A:$B,2,FALSE),"")&lt;&gt;"",IFERROR(VLOOKUP($A87,__rbp_p!$A:$B,2,FALSE),""),IFERROR(INDEX(DQAF_Input!$F$2:$F$129,MATCH(86,DQAF_Input!$Z$2:$Z$129,0)),"")))</f>
        <v/>
      </c>
      <c r="C87" s="4" t="str">
        <f>IF($A87="","",INDEX(DQAF_Input!$H$2:$H$129,MATCH(86,DQAF_Input!$Z$2:$Z$129,0)))</f>
        <v/>
      </c>
    </row>
    <row r="88" spans="1:3" x14ac:dyDescent="0.3">
      <c r="A88" s="12" t="str">
        <f>IFERROR(INDEX(DQAF_Input!$E$2:$E$129,MATCH(87,DQAF_Input!$Z$2:$Z$129,0)),"")</f>
        <v/>
      </c>
      <c r="B88" s="4" t="str">
        <f>IF($A88="","",IF(IFERROR(VLOOKUP($A88,__rbp_p!$A:$B,2,FALSE),"")&lt;&gt;"",IFERROR(VLOOKUP($A88,__rbp_p!$A:$B,2,FALSE),""),IFERROR(INDEX(DQAF_Input!$F$2:$F$129,MATCH(87,DQAF_Input!$Z$2:$Z$129,0)),"")))</f>
        <v/>
      </c>
      <c r="C88" s="4" t="str">
        <f>IF($A88="","",INDEX(DQAF_Input!$H$2:$H$129,MATCH(87,DQAF_Input!$Z$2:$Z$129,0)))</f>
        <v/>
      </c>
    </row>
    <row r="89" spans="1:3" x14ac:dyDescent="0.3">
      <c r="A89" s="12" t="str">
        <f>IFERROR(INDEX(DQAF_Input!$E$2:$E$129,MATCH(88,DQAF_Input!$Z$2:$Z$129,0)),"")</f>
        <v/>
      </c>
      <c r="B89" s="4" t="str">
        <f>IF($A89="","",IF(IFERROR(VLOOKUP($A89,__rbp_p!$A:$B,2,FALSE),"")&lt;&gt;"",IFERROR(VLOOKUP($A89,__rbp_p!$A:$B,2,FALSE),""),IFERROR(INDEX(DQAF_Input!$F$2:$F$129,MATCH(88,DQAF_Input!$Z$2:$Z$129,0)),"")))</f>
        <v/>
      </c>
      <c r="C89" s="4" t="str">
        <f>IF($A89="","",INDEX(DQAF_Input!$H$2:$H$129,MATCH(88,DQAF_Input!$Z$2:$Z$129,0)))</f>
        <v/>
      </c>
    </row>
    <row r="90" spans="1:3" x14ac:dyDescent="0.3">
      <c r="A90" s="12" t="str">
        <f>IFERROR(INDEX(DQAF_Input!$E$2:$E$129,MATCH(89,DQAF_Input!$Z$2:$Z$129,0)),"")</f>
        <v/>
      </c>
      <c r="B90" s="4" t="str">
        <f>IF($A90="","",IF(IFERROR(VLOOKUP($A90,__rbp_p!$A:$B,2,FALSE),"")&lt;&gt;"",IFERROR(VLOOKUP($A90,__rbp_p!$A:$B,2,FALSE),""),IFERROR(INDEX(DQAF_Input!$F$2:$F$129,MATCH(89,DQAF_Input!$Z$2:$Z$129,0)),"")))</f>
        <v/>
      </c>
      <c r="C90" s="4" t="str">
        <f>IF($A90="","",INDEX(DQAF_Input!$H$2:$H$129,MATCH(89,DQAF_Input!$Z$2:$Z$129,0)))</f>
        <v/>
      </c>
    </row>
    <row r="91" spans="1:3" x14ac:dyDescent="0.3">
      <c r="A91" s="12" t="str">
        <f>IFERROR(INDEX(DQAF_Input!$E$2:$E$129,MATCH(90,DQAF_Input!$Z$2:$Z$129,0)),"")</f>
        <v/>
      </c>
      <c r="B91" s="4" t="str">
        <f>IF($A91="","",IF(IFERROR(VLOOKUP($A91,__rbp_p!$A:$B,2,FALSE),"")&lt;&gt;"",IFERROR(VLOOKUP($A91,__rbp_p!$A:$B,2,FALSE),""),IFERROR(INDEX(DQAF_Input!$F$2:$F$129,MATCH(90,DQAF_Input!$Z$2:$Z$129,0)),"")))</f>
        <v/>
      </c>
      <c r="C91" s="4" t="str">
        <f>IF($A91="","",INDEX(DQAF_Input!$H$2:$H$129,MATCH(90,DQAF_Input!$Z$2:$Z$129,0)))</f>
        <v/>
      </c>
    </row>
    <row r="92" spans="1:3" x14ac:dyDescent="0.3">
      <c r="A92" s="12" t="str">
        <f>IFERROR(INDEX(DQAF_Input!$E$2:$E$129,MATCH(91,DQAF_Input!$Z$2:$Z$129,0)),"")</f>
        <v/>
      </c>
      <c r="B92" s="4" t="str">
        <f>IF($A92="","",IF(IFERROR(VLOOKUP($A92,__rbp_p!$A:$B,2,FALSE),"")&lt;&gt;"",IFERROR(VLOOKUP($A92,__rbp_p!$A:$B,2,FALSE),""),IFERROR(INDEX(DQAF_Input!$F$2:$F$129,MATCH(91,DQAF_Input!$Z$2:$Z$129,0)),"")))</f>
        <v/>
      </c>
      <c r="C92" s="4" t="str">
        <f>IF($A92="","",INDEX(DQAF_Input!$H$2:$H$129,MATCH(91,DQAF_Input!$Z$2:$Z$129,0)))</f>
        <v/>
      </c>
    </row>
    <row r="93" spans="1:3" x14ac:dyDescent="0.3">
      <c r="A93" s="12" t="str">
        <f>IFERROR(INDEX(DQAF_Input!$E$2:$E$129,MATCH(92,DQAF_Input!$Z$2:$Z$129,0)),"")</f>
        <v/>
      </c>
      <c r="B93" s="4" t="str">
        <f>IF($A93="","",IF(IFERROR(VLOOKUP($A93,__rbp_p!$A:$B,2,FALSE),"")&lt;&gt;"",IFERROR(VLOOKUP($A93,__rbp_p!$A:$B,2,FALSE),""),IFERROR(INDEX(DQAF_Input!$F$2:$F$129,MATCH(92,DQAF_Input!$Z$2:$Z$129,0)),"")))</f>
        <v/>
      </c>
      <c r="C93" s="4" t="str">
        <f>IF($A93="","",INDEX(DQAF_Input!$H$2:$H$129,MATCH(92,DQAF_Input!$Z$2:$Z$129,0)))</f>
        <v/>
      </c>
    </row>
    <row r="94" spans="1:3" x14ac:dyDescent="0.3">
      <c r="A94" s="12" t="str">
        <f>IFERROR(INDEX(DQAF_Input!$E$2:$E$129,MATCH(93,DQAF_Input!$Z$2:$Z$129,0)),"")</f>
        <v/>
      </c>
      <c r="B94" s="4" t="str">
        <f>IF($A94="","",IF(IFERROR(VLOOKUP($A94,__rbp_p!$A:$B,2,FALSE),"")&lt;&gt;"",IFERROR(VLOOKUP($A94,__rbp_p!$A:$B,2,FALSE),""),IFERROR(INDEX(DQAF_Input!$F$2:$F$129,MATCH(93,DQAF_Input!$Z$2:$Z$129,0)),"")))</f>
        <v/>
      </c>
      <c r="C94" s="4" t="str">
        <f>IF($A94="","",INDEX(DQAF_Input!$H$2:$H$129,MATCH(93,DQAF_Input!$Z$2:$Z$129,0)))</f>
        <v/>
      </c>
    </row>
    <row r="95" spans="1:3" x14ac:dyDescent="0.3">
      <c r="A95" s="12" t="str">
        <f>IFERROR(INDEX(DQAF_Input!$E$2:$E$129,MATCH(94,DQAF_Input!$Z$2:$Z$129,0)),"")</f>
        <v/>
      </c>
      <c r="B95" s="4" t="str">
        <f>IF($A95="","",IF(IFERROR(VLOOKUP($A95,__rbp_p!$A:$B,2,FALSE),"")&lt;&gt;"",IFERROR(VLOOKUP($A95,__rbp_p!$A:$B,2,FALSE),""),IFERROR(INDEX(DQAF_Input!$F$2:$F$129,MATCH(94,DQAF_Input!$Z$2:$Z$129,0)),"")))</f>
        <v/>
      </c>
      <c r="C95" s="4" t="str">
        <f>IF($A95="","",INDEX(DQAF_Input!$H$2:$H$129,MATCH(94,DQAF_Input!$Z$2:$Z$129,0)))</f>
        <v/>
      </c>
    </row>
    <row r="96" spans="1:3" x14ac:dyDescent="0.3">
      <c r="A96" s="12" t="str">
        <f>IFERROR(INDEX(DQAF_Input!$E$2:$E$129,MATCH(95,DQAF_Input!$Z$2:$Z$129,0)),"")</f>
        <v/>
      </c>
      <c r="B96" s="4" t="str">
        <f>IF($A96="","",IF(IFERROR(VLOOKUP($A96,__rbp_p!$A:$B,2,FALSE),"")&lt;&gt;"",IFERROR(VLOOKUP($A96,__rbp_p!$A:$B,2,FALSE),""),IFERROR(INDEX(DQAF_Input!$F$2:$F$129,MATCH(95,DQAF_Input!$Z$2:$Z$129,0)),"")))</f>
        <v/>
      </c>
      <c r="C96" s="4" t="str">
        <f>IF($A96="","",INDEX(DQAF_Input!$H$2:$H$129,MATCH(95,DQAF_Input!$Z$2:$Z$129,0)))</f>
        <v/>
      </c>
    </row>
    <row r="97" spans="1:3" x14ac:dyDescent="0.3">
      <c r="A97" s="12" t="str">
        <f>IFERROR(INDEX(DQAF_Input!$E$2:$E$129,MATCH(96,DQAF_Input!$Z$2:$Z$129,0)),"")</f>
        <v/>
      </c>
      <c r="B97" s="4" t="str">
        <f>IF($A97="","",IF(IFERROR(VLOOKUP($A97,__rbp_p!$A:$B,2,FALSE),"")&lt;&gt;"",IFERROR(VLOOKUP($A97,__rbp_p!$A:$B,2,FALSE),""),IFERROR(INDEX(DQAF_Input!$F$2:$F$129,MATCH(96,DQAF_Input!$Z$2:$Z$129,0)),"")))</f>
        <v/>
      </c>
      <c r="C97" s="4" t="str">
        <f>IF($A97="","",INDEX(DQAF_Input!$H$2:$H$129,MATCH(96,DQAF_Input!$Z$2:$Z$129,0)))</f>
        <v/>
      </c>
    </row>
    <row r="98" spans="1:3" x14ac:dyDescent="0.3">
      <c r="A98" s="12" t="str">
        <f>IFERROR(INDEX(DQAF_Input!$E$2:$E$129,MATCH(97,DQAF_Input!$Z$2:$Z$129,0)),"")</f>
        <v/>
      </c>
      <c r="B98" s="4" t="str">
        <f>IF($A98="","",IF(IFERROR(VLOOKUP($A98,__rbp_p!$A:$B,2,FALSE),"")&lt;&gt;"",IFERROR(VLOOKUP($A98,__rbp_p!$A:$B,2,FALSE),""),IFERROR(INDEX(DQAF_Input!$F$2:$F$129,MATCH(97,DQAF_Input!$Z$2:$Z$129,0)),"")))</f>
        <v/>
      </c>
      <c r="C98" s="4" t="str">
        <f>IF($A98="","",INDEX(DQAF_Input!$H$2:$H$129,MATCH(97,DQAF_Input!$Z$2:$Z$129,0)))</f>
        <v/>
      </c>
    </row>
    <row r="99" spans="1:3" x14ac:dyDescent="0.3">
      <c r="A99" s="12" t="str">
        <f>IFERROR(INDEX(DQAF_Input!$E$2:$E$129,MATCH(98,DQAF_Input!$Z$2:$Z$129,0)),"")</f>
        <v/>
      </c>
      <c r="B99" s="4" t="str">
        <f>IF($A99="","",IF(IFERROR(VLOOKUP($A99,__rbp_p!$A:$B,2,FALSE),"")&lt;&gt;"",IFERROR(VLOOKUP($A99,__rbp_p!$A:$B,2,FALSE),""),IFERROR(INDEX(DQAF_Input!$F$2:$F$129,MATCH(98,DQAF_Input!$Z$2:$Z$129,0)),"")))</f>
        <v/>
      </c>
      <c r="C99" s="4" t="str">
        <f>IF($A99="","",INDEX(DQAF_Input!$H$2:$H$129,MATCH(98,DQAF_Input!$Z$2:$Z$129,0)))</f>
        <v/>
      </c>
    </row>
    <row r="100" spans="1:3" x14ac:dyDescent="0.3">
      <c r="A100" s="12" t="str">
        <f>IFERROR(INDEX(DQAF_Input!$E$2:$E$129,MATCH(99,DQAF_Input!$Z$2:$Z$129,0)),"")</f>
        <v/>
      </c>
      <c r="B100" s="4" t="str">
        <f>IF($A100="","",IF(IFERROR(VLOOKUP($A100,__rbp_p!$A:$B,2,FALSE),"")&lt;&gt;"",IFERROR(VLOOKUP($A100,__rbp_p!$A:$B,2,FALSE),""),IFERROR(INDEX(DQAF_Input!$F$2:$F$129,MATCH(99,DQAF_Input!$Z$2:$Z$129,0)),"")))</f>
        <v/>
      </c>
      <c r="C100" s="4" t="str">
        <f>IF($A100="","",INDEX(DQAF_Input!$H$2:$H$129,MATCH(99,DQAF_Input!$Z$2:$Z$129,0)))</f>
        <v/>
      </c>
    </row>
    <row r="101" spans="1:3" x14ac:dyDescent="0.3">
      <c r="A101" s="12" t="str">
        <f>IFERROR(INDEX(DQAF_Input!$E$2:$E$129,MATCH(100,DQAF_Input!$Z$2:$Z$129,0)),"")</f>
        <v/>
      </c>
      <c r="B101" s="4" t="str">
        <f>IF($A101="","",IF(IFERROR(VLOOKUP($A101,__rbp_p!$A:$B,2,FALSE),"")&lt;&gt;"",IFERROR(VLOOKUP($A101,__rbp_p!$A:$B,2,FALSE),""),IFERROR(INDEX(DQAF_Input!$F$2:$F$129,MATCH(100,DQAF_Input!$Z$2:$Z$129,0)),"")))</f>
        <v/>
      </c>
      <c r="C101" s="4" t="str">
        <f>IF($A101="","",INDEX(DQAF_Input!$H$2:$H$129,MATCH(100,DQAF_Input!$Z$2:$Z$129,0)))</f>
        <v/>
      </c>
    </row>
    <row r="102" spans="1:3" x14ac:dyDescent="0.3">
      <c r="A102" s="12" t="str">
        <f>IFERROR(INDEX(DQAF_Input!$E$2:$E$129,MATCH(101,DQAF_Input!$Z$2:$Z$129,0)),"")</f>
        <v/>
      </c>
      <c r="B102" s="4" t="str">
        <f>IF($A102="","",IF(IFERROR(VLOOKUP($A102,__rbp_p!$A:$B,2,FALSE),"")&lt;&gt;"",IFERROR(VLOOKUP($A102,__rbp_p!$A:$B,2,FALSE),""),IFERROR(INDEX(DQAF_Input!$F$2:$F$129,MATCH(101,DQAF_Input!$Z$2:$Z$129,0)),"")))</f>
        <v/>
      </c>
      <c r="C102" s="4" t="str">
        <f>IF($A102="","",INDEX(DQAF_Input!$H$2:$H$129,MATCH(101,DQAF_Input!$Z$2:$Z$129,0)))</f>
        <v/>
      </c>
    </row>
    <row r="103" spans="1:3" x14ac:dyDescent="0.3">
      <c r="A103" s="12" t="str">
        <f>IFERROR(INDEX(DQAF_Input!$E$2:$E$129,MATCH(102,DQAF_Input!$Z$2:$Z$129,0)),"")</f>
        <v/>
      </c>
      <c r="B103" s="4" t="str">
        <f>IF($A103="","",IF(IFERROR(VLOOKUP($A103,__rbp_p!$A:$B,2,FALSE),"")&lt;&gt;"",IFERROR(VLOOKUP($A103,__rbp_p!$A:$B,2,FALSE),""),IFERROR(INDEX(DQAF_Input!$F$2:$F$129,MATCH(102,DQAF_Input!$Z$2:$Z$129,0)),"")))</f>
        <v/>
      </c>
      <c r="C103" s="4" t="str">
        <f>IF($A103="","",INDEX(DQAF_Input!$H$2:$H$129,MATCH(102,DQAF_Input!$Z$2:$Z$129,0)))</f>
        <v/>
      </c>
    </row>
    <row r="104" spans="1:3" x14ac:dyDescent="0.3">
      <c r="A104" s="12" t="str">
        <f>IFERROR(INDEX(DQAF_Input!$E$2:$E$129,MATCH(103,DQAF_Input!$Z$2:$Z$129,0)),"")</f>
        <v/>
      </c>
      <c r="B104" s="4" t="str">
        <f>IF($A104="","",IF(IFERROR(VLOOKUP($A104,__rbp_p!$A:$B,2,FALSE),"")&lt;&gt;"",IFERROR(VLOOKUP($A104,__rbp_p!$A:$B,2,FALSE),""),IFERROR(INDEX(DQAF_Input!$F$2:$F$129,MATCH(103,DQAF_Input!$Z$2:$Z$129,0)),"")))</f>
        <v/>
      </c>
      <c r="C104" s="4" t="str">
        <f>IF($A104="","",INDEX(DQAF_Input!$H$2:$H$129,MATCH(103,DQAF_Input!$Z$2:$Z$129,0)))</f>
        <v/>
      </c>
    </row>
    <row r="105" spans="1:3" x14ac:dyDescent="0.3">
      <c r="A105" s="12" t="str">
        <f>IFERROR(INDEX(DQAF_Input!$E$2:$E$129,MATCH(104,DQAF_Input!$Z$2:$Z$129,0)),"")</f>
        <v/>
      </c>
      <c r="B105" s="4" t="str">
        <f>IF($A105="","",IF(IFERROR(VLOOKUP($A105,__rbp_p!$A:$B,2,FALSE),"")&lt;&gt;"",IFERROR(VLOOKUP($A105,__rbp_p!$A:$B,2,FALSE),""),IFERROR(INDEX(DQAF_Input!$F$2:$F$129,MATCH(104,DQAF_Input!$Z$2:$Z$129,0)),"")))</f>
        <v/>
      </c>
      <c r="C105" s="4" t="str">
        <f>IF($A105="","",INDEX(DQAF_Input!$H$2:$H$129,MATCH(104,DQAF_Input!$Z$2:$Z$129,0)))</f>
        <v/>
      </c>
    </row>
    <row r="106" spans="1:3" x14ac:dyDescent="0.3">
      <c r="A106" s="12" t="str">
        <f>IFERROR(INDEX(DQAF_Input!$E$2:$E$129,MATCH(105,DQAF_Input!$Z$2:$Z$129,0)),"")</f>
        <v/>
      </c>
      <c r="B106" s="4" t="str">
        <f>IF($A106="","",IF(IFERROR(VLOOKUP($A106,__rbp_p!$A:$B,2,FALSE),"")&lt;&gt;"",IFERROR(VLOOKUP($A106,__rbp_p!$A:$B,2,FALSE),""),IFERROR(INDEX(DQAF_Input!$F$2:$F$129,MATCH(105,DQAF_Input!$Z$2:$Z$129,0)),"")))</f>
        <v/>
      </c>
      <c r="C106" s="4" t="str">
        <f>IF($A106="","",INDEX(DQAF_Input!$H$2:$H$129,MATCH(105,DQAF_Input!$Z$2:$Z$129,0)))</f>
        <v/>
      </c>
    </row>
    <row r="107" spans="1:3" x14ac:dyDescent="0.3">
      <c r="A107" s="12" t="str">
        <f>IFERROR(INDEX(DQAF_Input!$E$2:$E$129,MATCH(106,DQAF_Input!$Z$2:$Z$129,0)),"")</f>
        <v/>
      </c>
      <c r="B107" s="4" t="str">
        <f>IF($A107="","",IF(IFERROR(VLOOKUP($A107,__rbp_p!$A:$B,2,FALSE),"")&lt;&gt;"",IFERROR(VLOOKUP($A107,__rbp_p!$A:$B,2,FALSE),""),IFERROR(INDEX(DQAF_Input!$F$2:$F$129,MATCH(106,DQAF_Input!$Z$2:$Z$129,0)),"")))</f>
        <v/>
      </c>
      <c r="C107" s="4" t="str">
        <f>IF($A107="","",INDEX(DQAF_Input!$H$2:$H$129,MATCH(106,DQAF_Input!$Z$2:$Z$129,0)))</f>
        <v/>
      </c>
    </row>
    <row r="108" spans="1:3" x14ac:dyDescent="0.3">
      <c r="A108" s="12" t="str">
        <f>IFERROR(INDEX(DQAF_Input!$E$2:$E$129,MATCH(107,DQAF_Input!$Z$2:$Z$129,0)),"")</f>
        <v/>
      </c>
      <c r="B108" s="4" t="str">
        <f>IF($A108="","",IF(IFERROR(VLOOKUP($A108,__rbp_p!$A:$B,2,FALSE),"")&lt;&gt;"",IFERROR(VLOOKUP($A108,__rbp_p!$A:$B,2,FALSE),""),IFERROR(INDEX(DQAF_Input!$F$2:$F$129,MATCH(107,DQAF_Input!$Z$2:$Z$129,0)),"")))</f>
        <v/>
      </c>
      <c r="C108" s="4" t="str">
        <f>IF($A108="","",INDEX(DQAF_Input!$H$2:$H$129,MATCH(107,DQAF_Input!$Z$2:$Z$129,0)))</f>
        <v/>
      </c>
    </row>
    <row r="109" spans="1:3" x14ac:dyDescent="0.3">
      <c r="A109" s="12" t="str">
        <f>IFERROR(INDEX(DQAF_Input!$E$2:$E$129,MATCH(108,DQAF_Input!$Z$2:$Z$129,0)),"")</f>
        <v/>
      </c>
      <c r="B109" s="4" t="str">
        <f>IF($A109="","",IF(IFERROR(VLOOKUP($A109,__rbp_p!$A:$B,2,FALSE),"")&lt;&gt;"",IFERROR(VLOOKUP($A109,__rbp_p!$A:$B,2,FALSE),""),IFERROR(INDEX(DQAF_Input!$F$2:$F$129,MATCH(108,DQAF_Input!$Z$2:$Z$129,0)),"")))</f>
        <v/>
      </c>
      <c r="C109" s="4" t="str">
        <f>IF($A109="","",INDEX(DQAF_Input!$H$2:$H$129,MATCH(108,DQAF_Input!$Z$2:$Z$129,0)))</f>
        <v/>
      </c>
    </row>
    <row r="110" spans="1:3" x14ac:dyDescent="0.3">
      <c r="A110" s="12" t="str">
        <f>IFERROR(INDEX(DQAF_Input!$E$2:$E$129,MATCH(109,DQAF_Input!$Z$2:$Z$129,0)),"")</f>
        <v/>
      </c>
      <c r="B110" s="4" t="str">
        <f>IF($A110="","",IF(IFERROR(VLOOKUP($A110,__rbp_p!$A:$B,2,FALSE),"")&lt;&gt;"",IFERROR(VLOOKUP($A110,__rbp_p!$A:$B,2,FALSE),""),IFERROR(INDEX(DQAF_Input!$F$2:$F$129,MATCH(109,DQAF_Input!$Z$2:$Z$129,0)),"")))</f>
        <v/>
      </c>
      <c r="C110" s="4" t="str">
        <f>IF($A110="","",INDEX(DQAF_Input!$H$2:$H$129,MATCH(109,DQAF_Input!$Z$2:$Z$129,0)))</f>
        <v/>
      </c>
    </row>
    <row r="111" spans="1:3" x14ac:dyDescent="0.3">
      <c r="A111" s="12" t="str">
        <f>IFERROR(INDEX(DQAF_Input!$E$2:$E$129,MATCH(110,DQAF_Input!$Z$2:$Z$129,0)),"")</f>
        <v/>
      </c>
      <c r="B111" s="4" t="str">
        <f>IF($A111="","",IF(IFERROR(VLOOKUP($A111,__rbp_p!$A:$B,2,FALSE),"")&lt;&gt;"",IFERROR(VLOOKUP($A111,__rbp_p!$A:$B,2,FALSE),""),IFERROR(INDEX(DQAF_Input!$F$2:$F$129,MATCH(110,DQAF_Input!$Z$2:$Z$129,0)),"")))</f>
        <v/>
      </c>
      <c r="C111" s="4" t="str">
        <f>IF($A111="","",INDEX(DQAF_Input!$H$2:$H$129,MATCH(110,DQAF_Input!$Z$2:$Z$129,0)))</f>
        <v/>
      </c>
    </row>
    <row r="112" spans="1:3" x14ac:dyDescent="0.3">
      <c r="A112" s="12" t="str">
        <f>IFERROR(INDEX(DQAF_Input!$E$2:$E$129,MATCH(111,DQAF_Input!$Z$2:$Z$129,0)),"")</f>
        <v/>
      </c>
      <c r="B112" s="4" t="str">
        <f>IF($A112="","",IF(IFERROR(VLOOKUP($A112,__rbp_p!$A:$B,2,FALSE),"")&lt;&gt;"",IFERROR(VLOOKUP($A112,__rbp_p!$A:$B,2,FALSE),""),IFERROR(INDEX(DQAF_Input!$F$2:$F$129,MATCH(111,DQAF_Input!$Z$2:$Z$129,0)),"")))</f>
        <v/>
      </c>
      <c r="C112" s="4" t="str">
        <f>IF($A112="","",INDEX(DQAF_Input!$H$2:$H$129,MATCH(111,DQAF_Input!$Z$2:$Z$129,0)))</f>
        <v/>
      </c>
    </row>
    <row r="113" spans="1:3" x14ac:dyDescent="0.3">
      <c r="A113" s="12" t="str">
        <f>IFERROR(INDEX(DQAF_Input!$E$2:$E$129,MATCH(112,DQAF_Input!$Z$2:$Z$129,0)),"")</f>
        <v/>
      </c>
      <c r="B113" s="4" t="str">
        <f>IF($A113="","",IF(IFERROR(VLOOKUP($A113,__rbp_p!$A:$B,2,FALSE),"")&lt;&gt;"",IFERROR(VLOOKUP($A113,__rbp_p!$A:$B,2,FALSE),""),IFERROR(INDEX(DQAF_Input!$F$2:$F$129,MATCH(112,DQAF_Input!$Z$2:$Z$129,0)),"")))</f>
        <v/>
      </c>
      <c r="C113" s="4" t="str">
        <f>IF($A113="","",INDEX(DQAF_Input!$H$2:$H$129,MATCH(112,DQAF_Input!$Z$2:$Z$129,0)))</f>
        <v/>
      </c>
    </row>
    <row r="114" spans="1:3" x14ac:dyDescent="0.3">
      <c r="A114" s="12" t="str">
        <f>IFERROR(INDEX(DQAF_Input!$E$2:$E$129,MATCH(113,DQAF_Input!$Z$2:$Z$129,0)),"")</f>
        <v/>
      </c>
      <c r="B114" s="4" t="str">
        <f>IF($A114="","",IF(IFERROR(VLOOKUP($A114,__rbp_p!$A:$B,2,FALSE),"")&lt;&gt;"",IFERROR(VLOOKUP($A114,__rbp_p!$A:$B,2,FALSE),""),IFERROR(INDEX(DQAF_Input!$F$2:$F$129,MATCH(113,DQAF_Input!$Z$2:$Z$129,0)),"")))</f>
        <v/>
      </c>
      <c r="C114" s="4" t="str">
        <f>IF($A114="","",INDEX(DQAF_Input!$H$2:$H$129,MATCH(113,DQAF_Input!$Z$2:$Z$129,0)))</f>
        <v/>
      </c>
    </row>
    <row r="115" spans="1:3" x14ac:dyDescent="0.3">
      <c r="A115" s="12" t="str">
        <f>IFERROR(INDEX(DQAF_Input!$E$2:$E$129,MATCH(114,DQAF_Input!$Z$2:$Z$129,0)),"")</f>
        <v/>
      </c>
      <c r="B115" s="4" t="str">
        <f>IF($A115="","",IF(IFERROR(VLOOKUP($A115,__rbp_p!$A:$B,2,FALSE),"")&lt;&gt;"",IFERROR(VLOOKUP($A115,__rbp_p!$A:$B,2,FALSE),""),IFERROR(INDEX(DQAF_Input!$F$2:$F$129,MATCH(114,DQAF_Input!$Z$2:$Z$129,0)),"")))</f>
        <v/>
      </c>
      <c r="C115" s="4" t="str">
        <f>IF($A115="","",INDEX(DQAF_Input!$H$2:$H$129,MATCH(114,DQAF_Input!$Z$2:$Z$129,0)))</f>
        <v/>
      </c>
    </row>
    <row r="116" spans="1:3" x14ac:dyDescent="0.3">
      <c r="A116" s="12" t="str">
        <f>IFERROR(INDEX(DQAF_Input!$E$2:$E$129,MATCH(115,DQAF_Input!$Z$2:$Z$129,0)),"")</f>
        <v/>
      </c>
      <c r="B116" s="4" t="str">
        <f>IF($A116="","",IF(IFERROR(VLOOKUP($A116,__rbp_p!$A:$B,2,FALSE),"")&lt;&gt;"",IFERROR(VLOOKUP($A116,__rbp_p!$A:$B,2,FALSE),""),IFERROR(INDEX(DQAF_Input!$F$2:$F$129,MATCH(115,DQAF_Input!$Z$2:$Z$129,0)),"")))</f>
        <v/>
      </c>
      <c r="C116" s="4" t="str">
        <f>IF($A116="","",INDEX(DQAF_Input!$H$2:$H$129,MATCH(115,DQAF_Input!$Z$2:$Z$129,0)))</f>
        <v/>
      </c>
    </row>
    <row r="117" spans="1:3" x14ac:dyDescent="0.3">
      <c r="A117" s="12" t="str">
        <f>IFERROR(INDEX(DQAF_Input!$E$2:$E$129,MATCH(116,DQAF_Input!$Z$2:$Z$129,0)),"")</f>
        <v/>
      </c>
      <c r="B117" s="4" t="str">
        <f>IF($A117="","",IF(IFERROR(VLOOKUP($A117,__rbp_p!$A:$B,2,FALSE),"")&lt;&gt;"",IFERROR(VLOOKUP($A117,__rbp_p!$A:$B,2,FALSE),""),IFERROR(INDEX(DQAF_Input!$F$2:$F$129,MATCH(116,DQAF_Input!$Z$2:$Z$129,0)),"")))</f>
        <v/>
      </c>
      <c r="C117" s="4" t="str">
        <f>IF($A117="","",INDEX(DQAF_Input!$H$2:$H$129,MATCH(116,DQAF_Input!$Z$2:$Z$129,0)))</f>
        <v/>
      </c>
    </row>
    <row r="118" spans="1:3" x14ac:dyDescent="0.3">
      <c r="A118" s="12" t="str">
        <f>IFERROR(INDEX(DQAF_Input!$E$2:$E$129,MATCH(117,DQAF_Input!$Z$2:$Z$129,0)),"")</f>
        <v/>
      </c>
      <c r="B118" s="4" t="str">
        <f>IF($A118="","",IF(IFERROR(VLOOKUP($A118,__rbp_p!$A:$B,2,FALSE),"")&lt;&gt;"",IFERROR(VLOOKUP($A118,__rbp_p!$A:$B,2,FALSE),""),IFERROR(INDEX(DQAF_Input!$F$2:$F$129,MATCH(117,DQAF_Input!$Z$2:$Z$129,0)),"")))</f>
        <v/>
      </c>
      <c r="C118" s="4" t="str">
        <f>IF($A118="","",INDEX(DQAF_Input!$H$2:$H$129,MATCH(117,DQAF_Input!$Z$2:$Z$129,0)))</f>
        <v/>
      </c>
    </row>
    <row r="119" spans="1:3" x14ac:dyDescent="0.3">
      <c r="A119" s="12" t="str">
        <f>IFERROR(INDEX(DQAF_Input!$E$2:$E$129,MATCH(118,DQAF_Input!$Z$2:$Z$129,0)),"")</f>
        <v/>
      </c>
      <c r="B119" s="4" t="str">
        <f>IF($A119="","",IF(IFERROR(VLOOKUP($A119,__rbp_p!$A:$B,2,FALSE),"")&lt;&gt;"",IFERROR(VLOOKUP($A119,__rbp_p!$A:$B,2,FALSE),""),IFERROR(INDEX(DQAF_Input!$F$2:$F$129,MATCH(118,DQAF_Input!$Z$2:$Z$129,0)),"")))</f>
        <v/>
      </c>
      <c r="C119" s="4" t="str">
        <f>IF($A119="","",INDEX(DQAF_Input!$H$2:$H$129,MATCH(118,DQAF_Input!$Z$2:$Z$129,0)))</f>
        <v/>
      </c>
    </row>
    <row r="120" spans="1:3" x14ac:dyDescent="0.3">
      <c r="A120" s="12" t="str">
        <f>IFERROR(INDEX(DQAF_Input!$E$2:$E$129,MATCH(119,DQAF_Input!$Z$2:$Z$129,0)),"")</f>
        <v/>
      </c>
      <c r="B120" s="4" t="str">
        <f>IF($A120="","",IF(IFERROR(VLOOKUP($A120,__rbp_p!$A:$B,2,FALSE),"")&lt;&gt;"",IFERROR(VLOOKUP($A120,__rbp_p!$A:$B,2,FALSE),""),IFERROR(INDEX(DQAF_Input!$F$2:$F$129,MATCH(119,DQAF_Input!$Z$2:$Z$129,0)),"")))</f>
        <v/>
      </c>
      <c r="C120" s="4" t="str">
        <f>IF($A120="","",INDEX(DQAF_Input!$H$2:$H$129,MATCH(119,DQAF_Input!$Z$2:$Z$129,0)))</f>
        <v/>
      </c>
    </row>
    <row r="121" spans="1:3" x14ac:dyDescent="0.3">
      <c r="A121" s="12" t="str">
        <f>IFERROR(INDEX(DQAF_Input!$E$2:$E$129,MATCH(120,DQAF_Input!$Z$2:$Z$129,0)),"")</f>
        <v/>
      </c>
      <c r="B121" s="4" t="str">
        <f>IF($A121="","",IF(IFERROR(VLOOKUP($A121,__rbp_p!$A:$B,2,FALSE),"")&lt;&gt;"",IFERROR(VLOOKUP($A121,__rbp_p!$A:$B,2,FALSE),""),IFERROR(INDEX(DQAF_Input!$F$2:$F$129,MATCH(120,DQAF_Input!$Z$2:$Z$129,0)),"")))</f>
        <v/>
      </c>
      <c r="C121" s="4" t="str">
        <f>IF($A121="","",INDEX(DQAF_Input!$H$2:$H$129,MATCH(120,DQAF_Input!$Z$2:$Z$129,0)))</f>
        <v/>
      </c>
    </row>
    <row r="122" spans="1:3" x14ac:dyDescent="0.3">
      <c r="A122" s="12" t="str">
        <f>IFERROR(INDEX(DQAF_Input!$E$2:$E$129,MATCH(121,DQAF_Input!$Z$2:$Z$129,0)),"")</f>
        <v/>
      </c>
      <c r="B122" s="4" t="str">
        <f>IF($A122="","",IF(IFERROR(VLOOKUP($A122,__rbp_p!$A:$B,2,FALSE),"")&lt;&gt;"",IFERROR(VLOOKUP($A122,__rbp_p!$A:$B,2,FALSE),""),IFERROR(INDEX(DQAF_Input!$F$2:$F$129,MATCH(121,DQAF_Input!$Z$2:$Z$129,0)),"")))</f>
        <v/>
      </c>
      <c r="C122" s="4" t="str">
        <f>IF($A122="","",INDEX(DQAF_Input!$H$2:$H$129,MATCH(121,DQAF_Input!$Z$2:$Z$129,0)))</f>
        <v/>
      </c>
    </row>
    <row r="123" spans="1:3" x14ac:dyDescent="0.3">
      <c r="A123" s="12" t="str">
        <f>IFERROR(INDEX(DQAF_Input!$E$2:$E$129,MATCH(122,DQAF_Input!$Z$2:$Z$129,0)),"")</f>
        <v/>
      </c>
      <c r="B123" s="4" t="str">
        <f>IF($A123="","",IF(IFERROR(VLOOKUP($A123,__rbp_p!$A:$B,2,FALSE),"")&lt;&gt;"",IFERROR(VLOOKUP($A123,__rbp_p!$A:$B,2,FALSE),""),IFERROR(INDEX(DQAF_Input!$F$2:$F$129,MATCH(122,DQAF_Input!$Z$2:$Z$129,0)),"")))</f>
        <v/>
      </c>
      <c r="C123" s="4" t="str">
        <f>IF($A123="","",INDEX(DQAF_Input!$H$2:$H$129,MATCH(122,DQAF_Input!$Z$2:$Z$129,0)))</f>
        <v/>
      </c>
    </row>
    <row r="124" spans="1:3" x14ac:dyDescent="0.3">
      <c r="A124" s="12" t="str">
        <f>IFERROR(INDEX(DQAF_Input!$E$2:$E$129,MATCH(123,DQAF_Input!$Z$2:$Z$129,0)),"")</f>
        <v/>
      </c>
      <c r="B124" s="4" t="str">
        <f>IF($A124="","",IF(IFERROR(VLOOKUP($A124,__rbp_p!$A:$B,2,FALSE),"")&lt;&gt;"",IFERROR(VLOOKUP($A124,__rbp_p!$A:$B,2,FALSE),""),IFERROR(INDEX(DQAF_Input!$F$2:$F$129,MATCH(123,DQAF_Input!$Z$2:$Z$129,0)),"")))</f>
        <v/>
      </c>
      <c r="C124" s="4" t="str">
        <f>IF($A124="","",INDEX(DQAF_Input!$H$2:$H$129,MATCH(123,DQAF_Input!$Z$2:$Z$129,0)))</f>
        <v/>
      </c>
    </row>
    <row r="125" spans="1:3" x14ac:dyDescent="0.3">
      <c r="A125" s="12" t="str">
        <f>IFERROR(INDEX(DQAF_Input!$E$2:$E$129,MATCH(124,DQAF_Input!$Z$2:$Z$129,0)),"")</f>
        <v/>
      </c>
      <c r="B125" s="4" t="str">
        <f>IF($A125="","",IF(IFERROR(VLOOKUP($A125,__rbp_p!$A:$B,2,FALSE),"")&lt;&gt;"",IFERROR(VLOOKUP($A125,__rbp_p!$A:$B,2,FALSE),""),IFERROR(INDEX(DQAF_Input!$F$2:$F$129,MATCH(124,DQAF_Input!$Z$2:$Z$129,0)),"")))</f>
        <v/>
      </c>
      <c r="C125" s="4" t="str">
        <f>IF($A125="","",INDEX(DQAF_Input!$H$2:$H$129,MATCH(124,DQAF_Input!$Z$2:$Z$129,0)))</f>
        <v/>
      </c>
    </row>
    <row r="126" spans="1:3" x14ac:dyDescent="0.3">
      <c r="A126" s="12" t="str">
        <f>IFERROR(INDEX(DQAF_Input!$E$2:$E$129,MATCH(125,DQAF_Input!$Z$2:$Z$129,0)),"")</f>
        <v/>
      </c>
      <c r="B126" s="4" t="str">
        <f>IF($A126="","",IF(IFERROR(VLOOKUP($A126,__rbp_p!$A:$B,2,FALSE),"")&lt;&gt;"",IFERROR(VLOOKUP($A126,__rbp_p!$A:$B,2,FALSE),""),IFERROR(INDEX(DQAF_Input!$F$2:$F$129,MATCH(125,DQAF_Input!$Z$2:$Z$129,0)),"")))</f>
        <v/>
      </c>
      <c r="C126" s="4" t="str">
        <f>IF($A126="","",INDEX(DQAF_Input!$H$2:$H$129,MATCH(125,DQAF_Input!$Z$2:$Z$129,0)))</f>
        <v/>
      </c>
    </row>
    <row r="127" spans="1:3" x14ac:dyDescent="0.3">
      <c r="A127" s="12" t="str">
        <f>IFERROR(INDEX(DQAF_Input!$E$2:$E$129,MATCH(126,DQAF_Input!$Z$2:$Z$129,0)),"")</f>
        <v/>
      </c>
      <c r="B127" s="4" t="str">
        <f>IF($A127="","",IF(IFERROR(VLOOKUP($A127,__rbp_p!$A:$B,2,FALSE),"")&lt;&gt;"",IFERROR(VLOOKUP($A127,__rbp_p!$A:$B,2,FALSE),""),IFERROR(INDEX(DQAF_Input!$F$2:$F$129,MATCH(126,DQAF_Input!$Z$2:$Z$129,0)),"")))</f>
        <v/>
      </c>
      <c r="C127" s="4" t="str">
        <f>IF($A127="","",INDEX(DQAF_Input!$H$2:$H$129,MATCH(126,DQAF_Input!$Z$2:$Z$129,0)))</f>
        <v/>
      </c>
    </row>
    <row r="128" spans="1:3" x14ac:dyDescent="0.3">
      <c r="A128" s="12" t="str">
        <f>IFERROR(INDEX(DQAF_Input!$E$2:$E$129,MATCH(127,DQAF_Input!$Z$2:$Z$129,0)),"")</f>
        <v/>
      </c>
      <c r="B128" s="4" t="str">
        <f>IF($A128="","",IF(IFERROR(VLOOKUP($A128,__rbp_p!$A:$B,2,FALSE),"")&lt;&gt;"",IFERROR(VLOOKUP($A128,__rbp_p!$A:$B,2,FALSE),""),IFERROR(INDEX(DQAF_Input!$F$2:$F$129,MATCH(127,DQAF_Input!$Z$2:$Z$129,0)),"")))</f>
        <v/>
      </c>
      <c r="C128" s="4" t="str">
        <f>IF($A128="","",INDEX(DQAF_Input!$H$2:$H$129,MATCH(127,DQAF_Input!$Z$2:$Z$129,0)))</f>
        <v/>
      </c>
    </row>
    <row r="129" spans="1:3" x14ac:dyDescent="0.3">
      <c r="A129" s="12" t="str">
        <f>IFERROR(INDEX(DQAF_Input!$E$2:$E$129,MATCH(128,DQAF_Input!$Z$2:$Z$129,0)),"")</f>
        <v/>
      </c>
      <c r="B129" s="4" t="str">
        <f>IF($A129="","",IF(IFERROR(VLOOKUP($A129,__rbp_p!$A:$B,2,FALSE),"")&lt;&gt;"",IFERROR(VLOOKUP($A129,__rbp_p!$A:$B,2,FALSE),""),IFERROR(INDEX(DQAF_Input!$F$2:$F$129,MATCH(128,DQAF_Input!$Z$2:$Z$129,0)),"")))</f>
        <v/>
      </c>
      <c r="C129" s="4" t="str">
        <f>IF($A129="","",INDEX(DQAF_Input!$H$2:$H$129,MATCH(128,DQAF_Input!$Z$2:$Z$129,0)))</f>
        <v/>
      </c>
    </row>
  </sheetData>
  <sheetProtection sheet="1"/>
  <pageMargins left="0.05" right="0.05" top="0.05" bottom="0.05" header="0" footer="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129"/>
  <sheetViews>
    <sheetView workbookViewId="0">
      <pane ySplit="1" topLeftCell="A2" activePane="bottomLeft" state="frozen"/>
      <selection pane="bottomLeft"/>
    </sheetView>
  </sheetViews>
  <sheetFormatPr defaultRowHeight="14.4" x14ac:dyDescent="0.3"/>
  <cols>
    <col min="1" max="1" width="18" customWidth="1"/>
    <col min="2" max="2" width="16" customWidth="1"/>
    <col min="3" max="3" width="60" customWidth="1"/>
    <col min="4" max="5" width="55" customWidth="1"/>
    <col min="6" max="6" width="75" customWidth="1"/>
  </cols>
  <sheetData>
    <row r="1" spans="1:6" ht="25.05" customHeight="1" x14ac:dyDescent="0.3">
      <c r="A1" s="2" t="s">
        <v>30</v>
      </c>
      <c r="B1" s="2" t="s">
        <v>20</v>
      </c>
      <c r="C1" s="2" t="s">
        <v>21</v>
      </c>
      <c r="D1" s="2" t="s">
        <v>23</v>
      </c>
      <c r="E1" s="2" t="s">
        <v>24</v>
      </c>
      <c r="F1" s="2" t="s">
        <v>26</v>
      </c>
    </row>
    <row r="2" spans="1:6" x14ac:dyDescent="0.3">
      <c r="A2" s="12">
        <f>IF($B2="","",IFERROR(INDEX(DQAF_Input!$P$2:$P$129,MATCH(1,DQAF_Input!$AG$2:$AG$129,0)),""))</f>
        <v>0</v>
      </c>
      <c r="B2" s="12" t="str">
        <f>IFERROR(INDEX(DQAF_Input!$E$2:$E$129,MATCH(1,DQAF_Input!$AG$2:$AG$129,0)),"")</f>
        <v>1_1_1_1</v>
      </c>
      <c r="C2" s="4" t="str">
        <f>IF($B2="","",IF(IFERROR(VLOOKUP($B2,__rbp_p!$A:$B,2,FALSE),"")&lt;&gt;"",IFERROR(VLOOKUP($B2,__rbp_p!$A:$B,2,FALSE),""),IFERROR(INDEX(DQAF_Input!$F$2:$F$129,MATCH(1,DQAF_Input!$AG$2:$AG$129,0)),"")))</f>
        <v>A statistical law or other relevant law establishes a clear legal framework for the development, production, and dissemination of official statistics.</v>
      </c>
      <c r="D2" s="4" t="str">
        <f>IF($B2="","",IFERROR(INDEX(DQAF_Input!$H$2:$H$129,MATCH(1,DQAF_Input!$AG$2:$AG$129,0)),""))</f>
        <v>Highly - This recommendation / best practice is implemented but minor gaps exist in coverage and/or the consistency of its application across the program / organization</v>
      </c>
      <c r="E2" s="4" t="str">
        <f>IF($B2="","",IFERROR(INDEX(DQAF_Input!$J$2:$J$129,MATCH(1,DQAF_Input!$AG$2:$AG$129,0)),""))</f>
        <v>Fully - This recommendation / best practice is fully implemented</v>
      </c>
      <c r="F2" s="4" t="str">
        <f>IF($B2="","",IFERROR(INDEX(DQAF_Input!$L$2:$L$129,MATCH(1,DQAF_Input!$AG$2:$AG$129,0)),""))</f>
        <v>Explicit statement of objective and scope of the national statistical system, covering all key statistical activities (Articles 1–2 GLOS). European Statistical Code of Practice Principle 1</v>
      </c>
    </row>
    <row r="3" spans="1:6" x14ac:dyDescent="0.3">
      <c r="A3" s="12">
        <f>IF($B3="","",IFERROR(INDEX(DQAF_Input!$P$2:$P$129,MATCH(2,DQAF_Input!$AG$2:$AG$129,0)),""))</f>
        <v>0</v>
      </c>
      <c r="B3" s="12" t="str">
        <f>IFERROR(INDEX(DQAF_Input!$E$2:$E$129,MATCH(2,DQAF_Input!$AG$2:$AG$129,0)),"")</f>
        <v>1_1_1_2</v>
      </c>
      <c r="C3" s="4" t="str">
        <f>IF($B3="","",IF(IFERROR(VLOOKUP($B3,__rbp_p!$A:$B,2,FALSE),"")&lt;&gt;"",IFERROR(VLOOKUP($B3,__rbp_p!$A:$B,2,FALSE),""),IFERROR(INDEX(DQAF_Input!$F$2:$F$129,MATCH(2,DQAF_Input!$AG$2:$AG$129,0)),"")))</f>
        <v>A statistical law or other relevant law clearly defines “official statistics” and distinguishes them from other statistics (e.g., administrative or private statistics).</v>
      </c>
      <c r="D3" s="4" t="str">
        <f>IF($B3="","",IFERROR(INDEX(DQAF_Input!$H$2:$H$129,MATCH(2,DQAF_Input!$AG$2:$AG$129,0)),""))</f>
        <v>Highly - This recommendation / best practice is implemented but minor gaps exist in coverage and/or the consistency of its application across the program / organization</v>
      </c>
      <c r="E3" s="4" t="str">
        <f>IF($B3="","",IFERROR(INDEX(DQAF_Input!$J$2:$J$129,MATCH(2,DQAF_Input!$AG$2:$AG$129,0)),""))</f>
        <v>Fully - This recommendation / best practice is fully implemented</v>
      </c>
      <c r="F3" s="4" t="str">
        <f>IF($B3="","",IFERROR(INDEX(DQAF_Input!$L$2:$L$129,MATCH(2,DQAF_Input!$AG$2:$AG$129,0)),""))</f>
        <v>Explicit statement of objective and scope of the national statistical system, covering all key statistical activities (Articles 1–2 GLOS). European Statistical Code of Practice Principle 1</v>
      </c>
    </row>
    <row r="4" spans="1:6" x14ac:dyDescent="0.3">
      <c r="A4" s="12">
        <f>IF($B4="","",IFERROR(INDEX(DQAF_Input!$P$2:$P$129,MATCH(3,DQAF_Input!$AG$2:$AG$129,0)),""))</f>
        <v>0</v>
      </c>
      <c r="B4" s="12" t="str">
        <f>IFERROR(INDEX(DQAF_Input!$E$2:$E$129,MATCH(3,DQAF_Input!$AG$2:$AG$129,0)),"")</f>
        <v>1_1_1_4</v>
      </c>
      <c r="C4" s="4" t="str">
        <f>IF($B4="","",IF(IFERROR(VLOOKUP($B4,__rbp_p!$A:$B,2,FALSE),"")&lt;&gt;"",IFERROR(VLOOKUP($B4,__rbp_p!$A:$B,2,FALSE),""),IFERROR(INDEX(DQAF_Input!$F$2:$F$129,MATCH(3,DQAF_Input!$AG$2:$AG$129,0)),"")))</f>
        <v>The statistical law or other relevant law provides a clear mandate for producers to collect data (including compulsory surveys when necessary) when such data are not otherwise available.</v>
      </c>
      <c r="D4" s="4" t="str">
        <f>IF($B4="","",IFERROR(INDEX(DQAF_Input!$H$2:$H$129,MATCH(3,DQAF_Input!$AG$2:$AG$129,0)),""))</f>
        <v>Highly - This recommendation / best practice is implemented but minor gaps exist in coverage and/or the consistency of its application across the program / organization</v>
      </c>
      <c r="E4" s="4" t="str">
        <f>IF($B4="","",IFERROR(INDEX(DQAF_Input!$J$2:$J$129,MATCH(3,DQAF_Input!$AG$2:$AG$129,0)),""))</f>
        <v>Fully - This recommendation / best practice is fully implemented</v>
      </c>
      <c r="F4" s="4" t="str">
        <f>IF($B4="","",IFERROR(INDEX(DQAF_Input!$L$2:$L$129,MATCH(3,DQAF_Input!$AG$2:$AG$129,0)),""))</f>
        <v>National authority is provided legal authority to conduct surveys, define methodologies, and require responses, minimizing duplication and burden (Articles 15–16 GLOS). European Statistical Code of Practice Principle 1</v>
      </c>
    </row>
    <row r="5" spans="1:6" x14ac:dyDescent="0.3">
      <c r="A5" s="12">
        <f>IF($B5="","",IFERROR(INDEX(DQAF_Input!$P$2:$P$129,MATCH(4,DQAF_Input!$AG$2:$AG$129,0)),""))</f>
        <v>0</v>
      </c>
      <c r="B5" s="12" t="str">
        <f>IFERROR(INDEX(DQAF_Input!$E$2:$E$129,MATCH(4,DQAF_Input!$AG$2:$AG$129,0)),"")</f>
        <v>1_1_1_6</v>
      </c>
      <c r="C5" s="4" t="str">
        <f>IF($B5="","",IF(IFERROR(VLOOKUP($B5,__rbp_p!$A:$B,2,FALSE),"")&lt;&gt;"",IFERROR(VLOOKUP($B5,__rbp_p!$A:$B,2,FALSE),""),IFERROR(INDEX(DQAF_Input!$F$2:$F$129,MATCH(4,DQAF_Input!$AG$2:$AG$129,0)),"")))</f>
        <v>The statistical law or other relevant law has been updated recently, and the date of the most recent update is documented.</v>
      </c>
      <c r="D5" s="4" t="str">
        <f>IF($B5="","",IFERROR(INDEX(DQAF_Input!$H$2:$H$129,MATCH(4,DQAF_Input!$AG$2:$AG$129,0)),""))</f>
        <v>Highly - Between the last 6 and 10 years</v>
      </c>
      <c r="E5" s="4" t="str">
        <f>IF($B5="","",IFERROR(INDEX(DQAF_Input!$J$2:$J$129,MATCH(4,DQAF_Input!$AG$2:$AG$129,0)),""))</f>
        <v>Fully - Within the last five years</v>
      </c>
      <c r="F5" s="4" t="str">
        <f>IF($B5="","",IFERROR(INDEX(DQAF_Input!$L$2:$L$129,MATCH(4,DQAF_Input!$AG$2:$AG$129,0)),""))</f>
        <v>European Statistical Code of Practice Principle 1</v>
      </c>
    </row>
    <row r="6" spans="1:6" x14ac:dyDescent="0.3">
      <c r="A6" s="12">
        <f>IF($B6="","",IFERROR(INDEX(DQAF_Input!$P$2:$P$129,MATCH(5,DQAF_Input!$AG$2:$AG$129,0)),""))</f>
        <v>0</v>
      </c>
      <c r="B6" s="12" t="str">
        <f>IFERROR(INDEX(DQAF_Input!$E$2:$E$129,MATCH(5,DQAF_Input!$AG$2:$AG$129,0)),"")</f>
        <v>1_1_1_7</v>
      </c>
      <c r="C6" s="4" t="str">
        <f>IF($B6="","",IF(IFERROR(VLOOKUP($B6,__rbp_p!$A:$B,2,FALSE),"")&lt;&gt;"",IFERROR(VLOOKUP($B6,__rbp_p!$A:$B,2,FALSE),""),IFERROR(INDEX(DQAF_Input!$F$2:$F$129,MATCH(5,DQAF_Input!$AG$2:$AG$129,0)),"")))</f>
        <v>The Fundamental Principle of Official Statistics—Professional Standards, Scientific Principles, and Professional Ethics—is embedded in the statistical law or other relevant law.</v>
      </c>
      <c r="D6" s="4" t="str">
        <f>IF($B6="","",IFERROR(INDEX(DQAF_Input!$H$2:$H$129,MATCH(5,DQAF_Input!$AG$2:$AG$129,0)),""))</f>
        <v>Highly - This recommendation / best practice is implemented but minor gaps exist in coverage and/or the consistency of its application across the program / organization</v>
      </c>
      <c r="E6" s="4" t="str">
        <f>IF($B6="","",IFERROR(INDEX(DQAF_Input!$J$2:$J$129,MATCH(5,DQAF_Input!$AG$2:$AG$129,0)),""))</f>
        <v>Fully - This recommendation / best practice is fully implemented</v>
      </c>
      <c r="F6" s="4" t="str">
        <f>IF($B6="","",IFERROR(INDEX(DQAF_Input!$L$2:$L$129,MATCH(5,DQAF_Input!$AG$2:$AG$129,0)),""))</f>
        <v>European Statistical Code of Practice Principle 1</v>
      </c>
    </row>
    <row r="7" spans="1:6" x14ac:dyDescent="0.3">
      <c r="A7" s="12">
        <f>IF($B7="","",IFERROR(INDEX(DQAF_Input!$P$2:$P$129,MATCH(6,DQAF_Input!$AG$2:$AG$129,0)),""))</f>
        <v>0</v>
      </c>
      <c r="B7" s="12" t="str">
        <f>IFERROR(INDEX(DQAF_Input!$E$2:$E$129,MATCH(6,DQAF_Input!$AG$2:$AG$129,0)),"")</f>
        <v>1_1_1_14</v>
      </c>
      <c r="C7" s="4" t="str">
        <f>IF($B7="","",IF(IFERROR(VLOOKUP($B7,__rbp_p!$A:$B,2,FALSE),"")&lt;&gt;"",IFERROR(VLOOKUP($B7,__rbp_p!$A:$B,2,FALSE),""),IFERROR(INDEX(DQAF_Input!$F$2:$F$129,MATCH(6,DQAF_Input!$AG$2:$AG$129,0)),"")))</f>
        <v>The Fundamental Principle of Official Statistics—Use of International Standards—is embedded in the statistical law or other relevant law.</v>
      </c>
      <c r="D7" s="4" t="str">
        <f>IF($B7="","",IFERROR(INDEX(DQAF_Input!$H$2:$H$129,MATCH(6,DQAF_Input!$AG$2:$AG$129,0)),""))</f>
        <v>Highly - This recommendation / best practice is implemented but minor gaps exist in coverage and/or the consistency of its application across the program / organization</v>
      </c>
      <c r="E7" s="4" t="str">
        <f>IF($B7="","",IFERROR(INDEX(DQAF_Input!$J$2:$J$129,MATCH(6,DQAF_Input!$AG$2:$AG$129,0)),""))</f>
        <v>Fully - This recommendation / best practice is fully implemented</v>
      </c>
      <c r="F7" s="4" t="str">
        <f>IF($B7="","",IFERROR(INDEX(DQAF_Input!$L$2:$L$129,MATCH(6,DQAF_Input!$AG$2:$AG$129,0)),""))</f>
        <v>European Statistical Code of Practice Principle 1</v>
      </c>
    </row>
    <row r="8" spans="1:6" x14ac:dyDescent="0.3">
      <c r="A8" s="12">
        <f>IF($B8="","",IFERROR(INDEX(DQAF_Input!$P$2:$P$129,MATCH(7,DQAF_Input!$AG$2:$AG$129,0)),""))</f>
        <v>0</v>
      </c>
      <c r="B8" s="12" t="str">
        <f>IFERROR(INDEX(DQAF_Input!$E$2:$E$129,MATCH(7,DQAF_Input!$AG$2:$AG$129,0)),"")</f>
        <v>1_1_1_15</v>
      </c>
      <c r="C8" s="4" t="str">
        <f>IF($B8="","",IF(IFERROR(VLOOKUP($B8,__rbp_p!$A:$B,2,FALSE),"")&lt;&gt;"",IFERROR(VLOOKUP($B8,__rbp_p!$A:$B,2,FALSE),""),IFERROR(INDEX(DQAF_Input!$F$2:$F$129,MATCH(7,DQAF_Input!$AG$2:$AG$129,0)),"")))</f>
        <v>The Fundamental Principle of Official Statistics—International Cooperation—is embedded in the statistical law or other relevant law.</v>
      </c>
      <c r="D8" s="4" t="str">
        <f>IF($B8="","",IFERROR(INDEX(DQAF_Input!$H$2:$H$129,MATCH(7,DQAF_Input!$AG$2:$AG$129,0)),""))</f>
        <v>Highly - This recommendation / best practice is implemented but minor gaps exist in coverage and/or the consistency of its application across the program / organization</v>
      </c>
      <c r="E8" s="4" t="str">
        <f>IF($B8="","",IFERROR(INDEX(DQAF_Input!$J$2:$J$129,MATCH(7,DQAF_Input!$AG$2:$AG$129,0)),""))</f>
        <v>Fully - This recommendation / best practice is fully implemented</v>
      </c>
      <c r="F8" s="4" t="str">
        <f>IF($B8="","",IFERROR(INDEX(DQAF_Input!$L$2:$L$129,MATCH(7,DQAF_Input!$AG$2:$AG$129,0)),""))</f>
        <v>European Statistical Code of Practice Principle 1</v>
      </c>
    </row>
    <row r="9" spans="1:6" x14ac:dyDescent="0.3">
      <c r="A9" s="12">
        <f>IF($B9="","",IFERROR(INDEX(DQAF_Input!$P$2:$P$129,MATCH(8,DQAF_Input!$AG$2:$AG$129,0)),""))</f>
        <v>0</v>
      </c>
      <c r="B9" s="12" t="str">
        <f>IFERROR(INDEX(DQAF_Input!$E$2:$E$129,MATCH(8,DQAF_Input!$AG$2:$AG$129,0)),"")</f>
        <v>1_2_1_3</v>
      </c>
      <c r="C9" s="4" t="str">
        <f>IF($B9="","",IF(IFERROR(VLOOKUP($B9,__rbp_p!$A:$B,2,FALSE),"")&lt;&gt;"",IFERROR(VLOOKUP($B9,__rbp_p!$A:$B,2,FALSE),""),IFERROR(INDEX(DQAF_Input!$F$2:$F$129,MATCH(8,DQAF_Input!$AG$2:$AG$129,0)),"")))</f>
        <v>The head of the statistical organization is appointed through an open, merit-based process for a fixed term, with strictly limited and clearly defined grounds for dismissal.</v>
      </c>
      <c r="D9" s="4" t="str">
        <f>IF($B9="","",IFERROR(INDEX(DQAF_Input!$H$2:$H$129,MATCH(8,DQAF_Input!$AG$2:$AG$129,0)),""))</f>
        <v>Highly - This recommendation / best practice is implemented but minor gaps exist in coverage and/or the consistency of its application across the program / organization</v>
      </c>
      <c r="E9" s="4" t="str">
        <f>IF($B9="","",IFERROR(INDEX(DQAF_Input!$J$2:$J$129,MATCH(8,DQAF_Input!$AG$2:$AG$129,0)),""))</f>
        <v>Fully - This recommendation / best practice is fully implemented</v>
      </c>
      <c r="F9" s="4" t="str">
        <f>IF($B9="","",IFERROR(INDEX(DQAF_Input!$L$2:$L$129,MATCH(8,DQAF_Input!$AG$2:$AG$129,0)),""))</f>
        <v>Transparent appointment with legal protection of tenure (Article 6 GLOS). European Statistical Code of Practice Principle 1</v>
      </c>
    </row>
    <row r="10" spans="1:6" x14ac:dyDescent="0.3">
      <c r="A10" s="12">
        <f>IF($B10="","",IFERROR(INDEX(DQAF_Input!$P$2:$P$129,MATCH(9,DQAF_Input!$AG$2:$AG$129,0)),""))</f>
        <v>0</v>
      </c>
      <c r="B10" s="12" t="str">
        <f>IFERROR(INDEX(DQAF_Input!$E$2:$E$129,MATCH(9,DQAF_Input!$AG$2:$AG$129,0)),"")</f>
        <v>1_11_1_6</v>
      </c>
      <c r="C10" s="4" t="str">
        <f>IF($B10="","",IF(IFERROR(VLOOKUP($B10,__rbp_p!$A:$B,2,FALSE),"")&lt;&gt;"",IFERROR(VLOOKUP($B10,__rbp_p!$A:$B,2,FALSE),""),IFERROR(INDEX(DQAF_Input!$F$2:$F$129,MATCH(9,DQAF_Input!$AG$2:$AG$129,0)),"")))</f>
        <v>Monitoring processes (e.g., response rates, editing rates, revision history) are in place to inform managers about current quality levels of ongoing statistical activities.</v>
      </c>
      <c r="D10" s="4" t="str">
        <f>IF($B10="","",IFERROR(INDEX(DQAF_Input!$H$2:$H$129,MATCH(9,DQAF_Input!$AG$2:$AG$129,0)),""))</f>
        <v>Not aligned - This best practice is not implemented</v>
      </c>
      <c r="E10" s="4" t="str">
        <f>IF($B10="","",IFERROR(INDEX(DQAF_Input!$J$2:$J$129,MATCH(9,DQAF_Input!$AG$2:$AG$129,0)),""))</f>
        <v>Highly - This recommendation / best practice is implemented but minor gaps exist in coverage and/or the consistency of its application across the program / organization</v>
      </c>
      <c r="F10" s="4" t="str">
        <f>IF($B10="","",IFERROR(INDEX(DQAF_Input!$L$2:$L$129,MATCH(9,DQAF_Input!$AG$2:$AG$129,0)),""))</f>
        <v>European Statistical Code of Practice Principle 4</v>
      </c>
    </row>
    <row r="11" spans="1:6" x14ac:dyDescent="0.3">
      <c r="A11" s="12" t="str">
        <f>IF($B11="","",IFERROR(INDEX(DQAF_Input!$P$2:$P$129,MATCH(10,DQAF_Input!$AG$2:$AG$129,0)),""))</f>
        <v/>
      </c>
      <c r="B11" s="12" t="str">
        <f>IFERROR(INDEX(DQAF_Input!$E$2:$E$129,MATCH(10,DQAF_Input!$AG$2:$AG$129,0)),"")</f>
        <v/>
      </c>
      <c r="C11" s="4" t="str">
        <f>IF($B11="","",IF(IFERROR(VLOOKUP($B11,__rbp_p!$A:$B,2,FALSE),"")&lt;&gt;"",IFERROR(VLOOKUP($B11,__rbp_p!$A:$B,2,FALSE),""),IFERROR(INDEX(DQAF_Input!$F$2:$F$129,MATCH(10,DQAF_Input!$AG$2:$AG$129,0)),"")))</f>
        <v/>
      </c>
      <c r="D11" s="4" t="str">
        <f>IF($B11="","",IFERROR(INDEX(DQAF_Input!$H$2:$H$129,MATCH(10,DQAF_Input!$AG$2:$AG$129,0)),""))</f>
        <v/>
      </c>
      <c r="E11" s="4" t="str">
        <f>IF($B11="","",IFERROR(INDEX(DQAF_Input!$J$2:$J$129,MATCH(10,DQAF_Input!$AG$2:$AG$129,0)),""))</f>
        <v/>
      </c>
      <c r="F11" s="4" t="str">
        <f>IF($B11="","",IFERROR(INDEX(DQAF_Input!$L$2:$L$129,MATCH(10,DQAF_Input!$AG$2:$AG$129,0)),""))</f>
        <v/>
      </c>
    </row>
    <row r="12" spans="1:6" x14ac:dyDescent="0.3">
      <c r="A12" s="12" t="str">
        <f>IF($B12="","",IFERROR(INDEX(DQAF_Input!$P$2:$P$129,MATCH(11,DQAF_Input!$AG$2:$AG$129,0)),""))</f>
        <v/>
      </c>
      <c r="B12" s="12" t="str">
        <f>IFERROR(INDEX(DQAF_Input!$E$2:$E$129,MATCH(11,DQAF_Input!$AG$2:$AG$129,0)),"")</f>
        <v/>
      </c>
      <c r="C12" s="4" t="str">
        <f>IF($B12="","",IF(IFERROR(VLOOKUP($B12,__rbp_p!$A:$B,2,FALSE),"")&lt;&gt;"",IFERROR(VLOOKUP($B12,__rbp_p!$A:$B,2,FALSE),""),IFERROR(INDEX(DQAF_Input!$F$2:$F$129,MATCH(11,DQAF_Input!$AG$2:$AG$129,0)),"")))</f>
        <v/>
      </c>
      <c r="D12" s="4" t="str">
        <f>IF($B12="","",IFERROR(INDEX(DQAF_Input!$H$2:$H$129,MATCH(11,DQAF_Input!$AG$2:$AG$129,0)),""))</f>
        <v/>
      </c>
      <c r="E12" s="4" t="str">
        <f>IF($B12="","",IFERROR(INDEX(DQAF_Input!$J$2:$J$129,MATCH(11,DQAF_Input!$AG$2:$AG$129,0)),""))</f>
        <v/>
      </c>
      <c r="F12" s="4" t="str">
        <f>IF($B12="","",IFERROR(INDEX(DQAF_Input!$L$2:$L$129,MATCH(11,DQAF_Input!$AG$2:$AG$129,0)),""))</f>
        <v/>
      </c>
    </row>
    <row r="13" spans="1:6" x14ac:dyDescent="0.3">
      <c r="A13" s="12" t="str">
        <f>IF($B13="","",IFERROR(INDEX(DQAF_Input!$P$2:$P$129,MATCH(12,DQAF_Input!$AG$2:$AG$129,0)),""))</f>
        <v/>
      </c>
      <c r="B13" s="12" t="str">
        <f>IFERROR(INDEX(DQAF_Input!$E$2:$E$129,MATCH(12,DQAF_Input!$AG$2:$AG$129,0)),"")</f>
        <v/>
      </c>
      <c r="C13" s="4" t="str">
        <f>IF($B13="","",IF(IFERROR(VLOOKUP($B13,__rbp_p!$A:$B,2,FALSE),"")&lt;&gt;"",IFERROR(VLOOKUP($B13,__rbp_p!$A:$B,2,FALSE),""),IFERROR(INDEX(DQAF_Input!$F$2:$F$129,MATCH(12,DQAF_Input!$AG$2:$AG$129,0)),"")))</f>
        <v/>
      </c>
      <c r="D13" s="4" t="str">
        <f>IF($B13="","",IFERROR(INDEX(DQAF_Input!$H$2:$H$129,MATCH(12,DQAF_Input!$AG$2:$AG$129,0)),""))</f>
        <v/>
      </c>
      <c r="E13" s="4" t="str">
        <f>IF($B13="","",IFERROR(INDEX(DQAF_Input!$J$2:$J$129,MATCH(12,DQAF_Input!$AG$2:$AG$129,0)),""))</f>
        <v/>
      </c>
      <c r="F13" s="4" t="str">
        <f>IF($B13="","",IFERROR(INDEX(DQAF_Input!$L$2:$L$129,MATCH(12,DQAF_Input!$AG$2:$AG$129,0)),""))</f>
        <v/>
      </c>
    </row>
    <row r="14" spans="1:6" x14ac:dyDescent="0.3">
      <c r="A14" s="12" t="str">
        <f>IF($B14="","",IFERROR(INDEX(DQAF_Input!$P$2:$P$129,MATCH(13,DQAF_Input!$AG$2:$AG$129,0)),""))</f>
        <v/>
      </c>
      <c r="B14" s="12" t="str">
        <f>IFERROR(INDEX(DQAF_Input!$E$2:$E$129,MATCH(13,DQAF_Input!$AG$2:$AG$129,0)),"")</f>
        <v/>
      </c>
      <c r="C14" s="4" t="str">
        <f>IF($B14="","",IF(IFERROR(VLOOKUP($B14,__rbp_p!$A:$B,2,FALSE),"")&lt;&gt;"",IFERROR(VLOOKUP($B14,__rbp_p!$A:$B,2,FALSE),""),IFERROR(INDEX(DQAF_Input!$F$2:$F$129,MATCH(13,DQAF_Input!$AG$2:$AG$129,0)),"")))</f>
        <v/>
      </c>
      <c r="D14" s="4" t="str">
        <f>IF($B14="","",IFERROR(INDEX(DQAF_Input!$H$2:$H$129,MATCH(13,DQAF_Input!$AG$2:$AG$129,0)),""))</f>
        <v/>
      </c>
      <c r="E14" s="4" t="str">
        <f>IF($B14="","",IFERROR(INDEX(DQAF_Input!$J$2:$J$129,MATCH(13,DQAF_Input!$AG$2:$AG$129,0)),""))</f>
        <v/>
      </c>
      <c r="F14" s="4" t="str">
        <f>IF($B14="","",IFERROR(INDEX(DQAF_Input!$L$2:$L$129,MATCH(13,DQAF_Input!$AG$2:$AG$129,0)),""))</f>
        <v/>
      </c>
    </row>
    <row r="15" spans="1:6" x14ac:dyDescent="0.3">
      <c r="A15" s="12" t="str">
        <f>IF($B15="","",IFERROR(INDEX(DQAF_Input!$P$2:$P$129,MATCH(14,DQAF_Input!$AG$2:$AG$129,0)),""))</f>
        <v/>
      </c>
      <c r="B15" s="12" t="str">
        <f>IFERROR(INDEX(DQAF_Input!$E$2:$E$129,MATCH(14,DQAF_Input!$AG$2:$AG$129,0)),"")</f>
        <v/>
      </c>
      <c r="C15" s="4" t="str">
        <f>IF($B15="","",IF(IFERROR(VLOOKUP($B15,__rbp_p!$A:$B,2,FALSE),"")&lt;&gt;"",IFERROR(VLOOKUP($B15,__rbp_p!$A:$B,2,FALSE),""),IFERROR(INDEX(DQAF_Input!$F$2:$F$129,MATCH(14,DQAF_Input!$AG$2:$AG$129,0)),"")))</f>
        <v/>
      </c>
      <c r="D15" s="4" t="str">
        <f>IF($B15="","",IFERROR(INDEX(DQAF_Input!$H$2:$H$129,MATCH(14,DQAF_Input!$AG$2:$AG$129,0)),""))</f>
        <v/>
      </c>
      <c r="E15" s="4" t="str">
        <f>IF($B15="","",IFERROR(INDEX(DQAF_Input!$J$2:$J$129,MATCH(14,DQAF_Input!$AG$2:$AG$129,0)),""))</f>
        <v/>
      </c>
      <c r="F15" s="4" t="str">
        <f>IF($B15="","",IFERROR(INDEX(DQAF_Input!$L$2:$L$129,MATCH(14,DQAF_Input!$AG$2:$AG$129,0)),""))</f>
        <v/>
      </c>
    </row>
    <row r="16" spans="1:6" x14ac:dyDescent="0.3">
      <c r="A16" s="12" t="str">
        <f>IF($B16="","",IFERROR(INDEX(DQAF_Input!$P$2:$P$129,MATCH(15,DQAF_Input!$AG$2:$AG$129,0)),""))</f>
        <v/>
      </c>
      <c r="B16" s="12" t="str">
        <f>IFERROR(INDEX(DQAF_Input!$E$2:$E$129,MATCH(15,DQAF_Input!$AG$2:$AG$129,0)),"")</f>
        <v/>
      </c>
      <c r="C16" s="4" t="str">
        <f>IF($B16="","",IF(IFERROR(VLOOKUP($B16,__rbp_p!$A:$B,2,FALSE),"")&lt;&gt;"",IFERROR(VLOOKUP($B16,__rbp_p!$A:$B,2,FALSE),""),IFERROR(INDEX(DQAF_Input!$F$2:$F$129,MATCH(15,DQAF_Input!$AG$2:$AG$129,0)),"")))</f>
        <v/>
      </c>
      <c r="D16" s="4" t="str">
        <f>IF($B16="","",IFERROR(INDEX(DQAF_Input!$H$2:$H$129,MATCH(15,DQAF_Input!$AG$2:$AG$129,0)),""))</f>
        <v/>
      </c>
      <c r="E16" s="4" t="str">
        <f>IF($B16="","",IFERROR(INDEX(DQAF_Input!$J$2:$J$129,MATCH(15,DQAF_Input!$AG$2:$AG$129,0)),""))</f>
        <v/>
      </c>
      <c r="F16" s="4" t="str">
        <f>IF($B16="","",IFERROR(INDEX(DQAF_Input!$L$2:$L$129,MATCH(15,DQAF_Input!$AG$2:$AG$129,0)),""))</f>
        <v/>
      </c>
    </row>
    <row r="17" spans="1:6" x14ac:dyDescent="0.3">
      <c r="A17" s="12" t="str">
        <f>IF($B17="","",IFERROR(INDEX(DQAF_Input!$P$2:$P$129,MATCH(16,DQAF_Input!$AG$2:$AG$129,0)),""))</f>
        <v/>
      </c>
      <c r="B17" s="12" t="str">
        <f>IFERROR(INDEX(DQAF_Input!$E$2:$E$129,MATCH(16,DQAF_Input!$AG$2:$AG$129,0)),"")</f>
        <v/>
      </c>
      <c r="C17" s="4" t="str">
        <f>IF($B17="","",IF(IFERROR(VLOOKUP($B17,__rbp_p!$A:$B,2,FALSE),"")&lt;&gt;"",IFERROR(VLOOKUP($B17,__rbp_p!$A:$B,2,FALSE),""),IFERROR(INDEX(DQAF_Input!$F$2:$F$129,MATCH(16,DQAF_Input!$AG$2:$AG$129,0)),"")))</f>
        <v/>
      </c>
      <c r="D17" s="4" t="str">
        <f>IF($B17="","",IFERROR(INDEX(DQAF_Input!$H$2:$H$129,MATCH(16,DQAF_Input!$AG$2:$AG$129,0)),""))</f>
        <v/>
      </c>
      <c r="E17" s="4" t="str">
        <f>IF($B17="","",IFERROR(INDEX(DQAF_Input!$J$2:$J$129,MATCH(16,DQAF_Input!$AG$2:$AG$129,0)),""))</f>
        <v/>
      </c>
      <c r="F17" s="4" t="str">
        <f>IF($B17="","",IFERROR(INDEX(DQAF_Input!$L$2:$L$129,MATCH(16,DQAF_Input!$AG$2:$AG$129,0)),""))</f>
        <v/>
      </c>
    </row>
    <row r="18" spans="1:6" x14ac:dyDescent="0.3">
      <c r="A18" s="12" t="str">
        <f>IF($B18="","",IFERROR(INDEX(DQAF_Input!$P$2:$P$129,MATCH(17,DQAF_Input!$AG$2:$AG$129,0)),""))</f>
        <v/>
      </c>
      <c r="B18" s="12" t="str">
        <f>IFERROR(INDEX(DQAF_Input!$E$2:$E$129,MATCH(17,DQAF_Input!$AG$2:$AG$129,0)),"")</f>
        <v/>
      </c>
      <c r="C18" s="4" t="str">
        <f>IF($B18="","",IF(IFERROR(VLOOKUP($B18,__rbp_p!$A:$B,2,FALSE),"")&lt;&gt;"",IFERROR(VLOOKUP($B18,__rbp_p!$A:$B,2,FALSE),""),IFERROR(INDEX(DQAF_Input!$F$2:$F$129,MATCH(17,DQAF_Input!$AG$2:$AG$129,0)),"")))</f>
        <v/>
      </c>
      <c r="D18" s="4" t="str">
        <f>IF($B18="","",IFERROR(INDEX(DQAF_Input!$H$2:$H$129,MATCH(17,DQAF_Input!$AG$2:$AG$129,0)),""))</f>
        <v/>
      </c>
      <c r="E18" s="4" t="str">
        <f>IF($B18="","",IFERROR(INDEX(DQAF_Input!$J$2:$J$129,MATCH(17,DQAF_Input!$AG$2:$AG$129,0)),""))</f>
        <v/>
      </c>
      <c r="F18" s="4" t="str">
        <f>IF($B18="","",IFERROR(INDEX(DQAF_Input!$L$2:$L$129,MATCH(17,DQAF_Input!$AG$2:$AG$129,0)),""))</f>
        <v/>
      </c>
    </row>
    <row r="19" spans="1:6" x14ac:dyDescent="0.3">
      <c r="A19" s="12" t="str">
        <f>IF($B19="","",IFERROR(INDEX(DQAF_Input!$P$2:$P$129,MATCH(18,DQAF_Input!$AG$2:$AG$129,0)),""))</f>
        <v/>
      </c>
      <c r="B19" s="12" t="str">
        <f>IFERROR(INDEX(DQAF_Input!$E$2:$E$129,MATCH(18,DQAF_Input!$AG$2:$AG$129,0)),"")</f>
        <v/>
      </c>
      <c r="C19" s="4" t="str">
        <f>IF($B19="","",IF(IFERROR(VLOOKUP($B19,__rbp_p!$A:$B,2,FALSE),"")&lt;&gt;"",IFERROR(VLOOKUP($B19,__rbp_p!$A:$B,2,FALSE),""),IFERROR(INDEX(DQAF_Input!$F$2:$F$129,MATCH(18,DQAF_Input!$AG$2:$AG$129,0)),"")))</f>
        <v/>
      </c>
      <c r="D19" s="4" t="str">
        <f>IF($B19="","",IFERROR(INDEX(DQAF_Input!$H$2:$H$129,MATCH(18,DQAF_Input!$AG$2:$AG$129,0)),""))</f>
        <v/>
      </c>
      <c r="E19" s="4" t="str">
        <f>IF($B19="","",IFERROR(INDEX(DQAF_Input!$J$2:$J$129,MATCH(18,DQAF_Input!$AG$2:$AG$129,0)),""))</f>
        <v/>
      </c>
      <c r="F19" s="4" t="str">
        <f>IF($B19="","",IFERROR(INDEX(DQAF_Input!$L$2:$L$129,MATCH(18,DQAF_Input!$AG$2:$AG$129,0)),""))</f>
        <v/>
      </c>
    </row>
    <row r="20" spans="1:6" x14ac:dyDescent="0.3">
      <c r="A20" s="12" t="str">
        <f>IF($B20="","",IFERROR(INDEX(DQAF_Input!$P$2:$P$129,MATCH(19,DQAF_Input!$AG$2:$AG$129,0)),""))</f>
        <v/>
      </c>
      <c r="B20" s="12" t="str">
        <f>IFERROR(INDEX(DQAF_Input!$E$2:$E$129,MATCH(19,DQAF_Input!$AG$2:$AG$129,0)),"")</f>
        <v/>
      </c>
      <c r="C20" s="4" t="str">
        <f>IF($B20="","",IF(IFERROR(VLOOKUP($B20,__rbp_p!$A:$B,2,FALSE),"")&lt;&gt;"",IFERROR(VLOOKUP($B20,__rbp_p!$A:$B,2,FALSE),""),IFERROR(INDEX(DQAF_Input!$F$2:$F$129,MATCH(19,DQAF_Input!$AG$2:$AG$129,0)),"")))</f>
        <v/>
      </c>
      <c r="D20" s="4" t="str">
        <f>IF($B20="","",IFERROR(INDEX(DQAF_Input!$H$2:$H$129,MATCH(19,DQAF_Input!$AG$2:$AG$129,0)),""))</f>
        <v/>
      </c>
      <c r="E20" s="4" t="str">
        <f>IF($B20="","",IFERROR(INDEX(DQAF_Input!$J$2:$J$129,MATCH(19,DQAF_Input!$AG$2:$AG$129,0)),""))</f>
        <v/>
      </c>
      <c r="F20" s="4" t="str">
        <f>IF($B20="","",IFERROR(INDEX(DQAF_Input!$L$2:$L$129,MATCH(19,DQAF_Input!$AG$2:$AG$129,0)),""))</f>
        <v/>
      </c>
    </row>
    <row r="21" spans="1:6" x14ac:dyDescent="0.3">
      <c r="A21" s="12" t="str">
        <f>IF($B21="","",IFERROR(INDEX(DQAF_Input!$P$2:$P$129,MATCH(20,DQAF_Input!$AG$2:$AG$129,0)),""))</f>
        <v/>
      </c>
      <c r="B21" s="12" t="str">
        <f>IFERROR(INDEX(DQAF_Input!$E$2:$E$129,MATCH(20,DQAF_Input!$AG$2:$AG$129,0)),"")</f>
        <v/>
      </c>
      <c r="C21" s="4" t="str">
        <f>IF($B21="","",IF(IFERROR(VLOOKUP($B21,__rbp_p!$A:$B,2,FALSE),"")&lt;&gt;"",IFERROR(VLOOKUP($B21,__rbp_p!$A:$B,2,FALSE),""),IFERROR(INDEX(DQAF_Input!$F$2:$F$129,MATCH(20,DQAF_Input!$AG$2:$AG$129,0)),"")))</f>
        <v/>
      </c>
      <c r="D21" s="4" t="str">
        <f>IF($B21="","",IFERROR(INDEX(DQAF_Input!$H$2:$H$129,MATCH(20,DQAF_Input!$AG$2:$AG$129,0)),""))</f>
        <v/>
      </c>
      <c r="E21" s="4" t="str">
        <f>IF($B21="","",IFERROR(INDEX(DQAF_Input!$J$2:$J$129,MATCH(20,DQAF_Input!$AG$2:$AG$129,0)),""))</f>
        <v/>
      </c>
      <c r="F21" s="4" t="str">
        <f>IF($B21="","",IFERROR(INDEX(DQAF_Input!$L$2:$L$129,MATCH(20,DQAF_Input!$AG$2:$AG$129,0)),""))</f>
        <v/>
      </c>
    </row>
    <row r="22" spans="1:6" x14ac:dyDescent="0.3">
      <c r="A22" s="12" t="str">
        <f>IF($B22="","",IFERROR(INDEX(DQAF_Input!$P$2:$P$129,MATCH(21,DQAF_Input!$AG$2:$AG$129,0)),""))</f>
        <v/>
      </c>
      <c r="B22" s="12" t="str">
        <f>IFERROR(INDEX(DQAF_Input!$E$2:$E$129,MATCH(21,DQAF_Input!$AG$2:$AG$129,0)),"")</f>
        <v/>
      </c>
      <c r="C22" s="4" t="str">
        <f>IF($B22="","",IF(IFERROR(VLOOKUP($B22,__rbp_p!$A:$B,2,FALSE),"")&lt;&gt;"",IFERROR(VLOOKUP($B22,__rbp_p!$A:$B,2,FALSE),""),IFERROR(INDEX(DQAF_Input!$F$2:$F$129,MATCH(21,DQAF_Input!$AG$2:$AG$129,0)),"")))</f>
        <v/>
      </c>
      <c r="D22" s="4" t="str">
        <f>IF($B22="","",IFERROR(INDEX(DQAF_Input!$H$2:$H$129,MATCH(21,DQAF_Input!$AG$2:$AG$129,0)),""))</f>
        <v/>
      </c>
      <c r="E22" s="4" t="str">
        <f>IF($B22="","",IFERROR(INDEX(DQAF_Input!$J$2:$J$129,MATCH(21,DQAF_Input!$AG$2:$AG$129,0)),""))</f>
        <v/>
      </c>
      <c r="F22" s="4" t="str">
        <f>IF($B22="","",IFERROR(INDEX(DQAF_Input!$L$2:$L$129,MATCH(21,DQAF_Input!$AG$2:$AG$129,0)),""))</f>
        <v/>
      </c>
    </row>
    <row r="23" spans="1:6" x14ac:dyDescent="0.3">
      <c r="A23" s="12" t="str">
        <f>IF($B23="","",IFERROR(INDEX(DQAF_Input!$P$2:$P$129,MATCH(22,DQAF_Input!$AG$2:$AG$129,0)),""))</f>
        <v/>
      </c>
      <c r="B23" s="12" t="str">
        <f>IFERROR(INDEX(DQAF_Input!$E$2:$E$129,MATCH(22,DQAF_Input!$AG$2:$AG$129,0)),"")</f>
        <v/>
      </c>
      <c r="C23" s="4" t="str">
        <f>IF($B23="","",IF(IFERROR(VLOOKUP($B23,__rbp_p!$A:$B,2,FALSE),"")&lt;&gt;"",IFERROR(VLOOKUP($B23,__rbp_p!$A:$B,2,FALSE),""),IFERROR(INDEX(DQAF_Input!$F$2:$F$129,MATCH(22,DQAF_Input!$AG$2:$AG$129,0)),"")))</f>
        <v/>
      </c>
      <c r="D23" s="4" t="str">
        <f>IF($B23="","",IFERROR(INDEX(DQAF_Input!$H$2:$H$129,MATCH(22,DQAF_Input!$AG$2:$AG$129,0)),""))</f>
        <v/>
      </c>
      <c r="E23" s="4" t="str">
        <f>IF($B23="","",IFERROR(INDEX(DQAF_Input!$J$2:$J$129,MATCH(22,DQAF_Input!$AG$2:$AG$129,0)),""))</f>
        <v/>
      </c>
      <c r="F23" s="4" t="str">
        <f>IF($B23="","",IFERROR(INDEX(DQAF_Input!$L$2:$L$129,MATCH(22,DQAF_Input!$AG$2:$AG$129,0)),""))</f>
        <v/>
      </c>
    </row>
    <row r="24" spans="1:6" x14ac:dyDescent="0.3">
      <c r="A24" s="12" t="str">
        <f>IF($B24="","",IFERROR(INDEX(DQAF_Input!$P$2:$P$129,MATCH(23,DQAF_Input!$AG$2:$AG$129,0)),""))</f>
        <v/>
      </c>
      <c r="B24" s="12" t="str">
        <f>IFERROR(INDEX(DQAF_Input!$E$2:$E$129,MATCH(23,DQAF_Input!$AG$2:$AG$129,0)),"")</f>
        <v/>
      </c>
      <c r="C24" s="4" t="str">
        <f>IF($B24="","",IF(IFERROR(VLOOKUP($B24,__rbp_p!$A:$B,2,FALSE),"")&lt;&gt;"",IFERROR(VLOOKUP($B24,__rbp_p!$A:$B,2,FALSE),""),IFERROR(INDEX(DQAF_Input!$F$2:$F$129,MATCH(23,DQAF_Input!$AG$2:$AG$129,0)),"")))</f>
        <v/>
      </c>
      <c r="D24" s="4" t="str">
        <f>IF($B24="","",IFERROR(INDEX(DQAF_Input!$H$2:$H$129,MATCH(23,DQAF_Input!$AG$2:$AG$129,0)),""))</f>
        <v/>
      </c>
      <c r="E24" s="4" t="str">
        <f>IF($B24="","",IFERROR(INDEX(DQAF_Input!$J$2:$J$129,MATCH(23,DQAF_Input!$AG$2:$AG$129,0)),""))</f>
        <v/>
      </c>
      <c r="F24" s="4" t="str">
        <f>IF($B24="","",IFERROR(INDEX(DQAF_Input!$L$2:$L$129,MATCH(23,DQAF_Input!$AG$2:$AG$129,0)),""))</f>
        <v/>
      </c>
    </row>
    <row r="25" spans="1:6" x14ac:dyDescent="0.3">
      <c r="A25" s="12" t="str">
        <f>IF($B25="","",IFERROR(INDEX(DQAF_Input!$P$2:$P$129,MATCH(24,DQAF_Input!$AG$2:$AG$129,0)),""))</f>
        <v/>
      </c>
      <c r="B25" s="12" t="str">
        <f>IFERROR(INDEX(DQAF_Input!$E$2:$E$129,MATCH(24,DQAF_Input!$AG$2:$AG$129,0)),"")</f>
        <v/>
      </c>
      <c r="C25" s="4" t="str">
        <f>IF($B25="","",IF(IFERROR(VLOOKUP($B25,__rbp_p!$A:$B,2,FALSE),"")&lt;&gt;"",IFERROR(VLOOKUP($B25,__rbp_p!$A:$B,2,FALSE),""),IFERROR(INDEX(DQAF_Input!$F$2:$F$129,MATCH(24,DQAF_Input!$AG$2:$AG$129,0)),"")))</f>
        <v/>
      </c>
      <c r="D25" s="4" t="str">
        <f>IF($B25="","",IFERROR(INDEX(DQAF_Input!$H$2:$H$129,MATCH(24,DQAF_Input!$AG$2:$AG$129,0)),""))</f>
        <v/>
      </c>
      <c r="E25" s="4" t="str">
        <f>IF($B25="","",IFERROR(INDEX(DQAF_Input!$J$2:$J$129,MATCH(24,DQAF_Input!$AG$2:$AG$129,0)),""))</f>
        <v/>
      </c>
      <c r="F25" s="4" t="str">
        <f>IF($B25="","",IFERROR(INDEX(DQAF_Input!$L$2:$L$129,MATCH(24,DQAF_Input!$AG$2:$AG$129,0)),""))</f>
        <v/>
      </c>
    </row>
    <row r="26" spans="1:6" x14ac:dyDescent="0.3">
      <c r="A26" s="12" t="str">
        <f>IF($B26="","",IFERROR(INDEX(DQAF_Input!$P$2:$P$129,MATCH(25,DQAF_Input!$AG$2:$AG$129,0)),""))</f>
        <v/>
      </c>
      <c r="B26" s="12" t="str">
        <f>IFERROR(INDEX(DQAF_Input!$E$2:$E$129,MATCH(25,DQAF_Input!$AG$2:$AG$129,0)),"")</f>
        <v/>
      </c>
      <c r="C26" s="4" t="str">
        <f>IF($B26="","",IF(IFERROR(VLOOKUP($B26,__rbp_p!$A:$B,2,FALSE),"")&lt;&gt;"",IFERROR(VLOOKUP($B26,__rbp_p!$A:$B,2,FALSE),""),IFERROR(INDEX(DQAF_Input!$F$2:$F$129,MATCH(25,DQAF_Input!$AG$2:$AG$129,0)),"")))</f>
        <v/>
      </c>
      <c r="D26" s="4" t="str">
        <f>IF($B26="","",IFERROR(INDEX(DQAF_Input!$H$2:$H$129,MATCH(25,DQAF_Input!$AG$2:$AG$129,0)),""))</f>
        <v/>
      </c>
      <c r="E26" s="4" t="str">
        <f>IF($B26="","",IFERROR(INDEX(DQAF_Input!$J$2:$J$129,MATCH(25,DQAF_Input!$AG$2:$AG$129,0)),""))</f>
        <v/>
      </c>
      <c r="F26" s="4" t="str">
        <f>IF($B26="","",IFERROR(INDEX(DQAF_Input!$L$2:$L$129,MATCH(25,DQAF_Input!$AG$2:$AG$129,0)),""))</f>
        <v/>
      </c>
    </row>
    <row r="27" spans="1:6" x14ac:dyDescent="0.3">
      <c r="A27" s="12" t="str">
        <f>IF($B27="","",IFERROR(INDEX(DQAF_Input!$P$2:$P$129,MATCH(26,DQAF_Input!$AG$2:$AG$129,0)),""))</f>
        <v/>
      </c>
      <c r="B27" s="12" t="str">
        <f>IFERROR(INDEX(DQAF_Input!$E$2:$E$129,MATCH(26,DQAF_Input!$AG$2:$AG$129,0)),"")</f>
        <v/>
      </c>
      <c r="C27" s="4" t="str">
        <f>IF($B27="","",IF(IFERROR(VLOOKUP($B27,__rbp_p!$A:$B,2,FALSE),"")&lt;&gt;"",IFERROR(VLOOKUP($B27,__rbp_p!$A:$B,2,FALSE),""),IFERROR(INDEX(DQAF_Input!$F$2:$F$129,MATCH(26,DQAF_Input!$AG$2:$AG$129,0)),"")))</f>
        <v/>
      </c>
      <c r="D27" s="4" t="str">
        <f>IF($B27="","",IFERROR(INDEX(DQAF_Input!$H$2:$H$129,MATCH(26,DQAF_Input!$AG$2:$AG$129,0)),""))</f>
        <v/>
      </c>
      <c r="E27" s="4" t="str">
        <f>IF($B27="","",IFERROR(INDEX(DQAF_Input!$J$2:$J$129,MATCH(26,DQAF_Input!$AG$2:$AG$129,0)),""))</f>
        <v/>
      </c>
      <c r="F27" s="4" t="str">
        <f>IF($B27="","",IFERROR(INDEX(DQAF_Input!$L$2:$L$129,MATCH(26,DQAF_Input!$AG$2:$AG$129,0)),""))</f>
        <v/>
      </c>
    </row>
    <row r="28" spans="1:6" x14ac:dyDescent="0.3">
      <c r="A28" s="12" t="str">
        <f>IF($B28="","",IFERROR(INDEX(DQAF_Input!$P$2:$P$129,MATCH(27,DQAF_Input!$AG$2:$AG$129,0)),""))</f>
        <v/>
      </c>
      <c r="B28" s="12" t="str">
        <f>IFERROR(INDEX(DQAF_Input!$E$2:$E$129,MATCH(27,DQAF_Input!$AG$2:$AG$129,0)),"")</f>
        <v/>
      </c>
      <c r="C28" s="4" t="str">
        <f>IF($B28="","",IF(IFERROR(VLOOKUP($B28,__rbp_p!$A:$B,2,FALSE),"")&lt;&gt;"",IFERROR(VLOOKUP($B28,__rbp_p!$A:$B,2,FALSE),""),IFERROR(INDEX(DQAF_Input!$F$2:$F$129,MATCH(27,DQAF_Input!$AG$2:$AG$129,0)),"")))</f>
        <v/>
      </c>
      <c r="D28" s="4" t="str">
        <f>IF($B28="","",IFERROR(INDEX(DQAF_Input!$H$2:$H$129,MATCH(27,DQAF_Input!$AG$2:$AG$129,0)),""))</f>
        <v/>
      </c>
      <c r="E28" s="4" t="str">
        <f>IF($B28="","",IFERROR(INDEX(DQAF_Input!$J$2:$J$129,MATCH(27,DQAF_Input!$AG$2:$AG$129,0)),""))</f>
        <v/>
      </c>
      <c r="F28" s="4" t="str">
        <f>IF($B28="","",IFERROR(INDEX(DQAF_Input!$L$2:$L$129,MATCH(27,DQAF_Input!$AG$2:$AG$129,0)),""))</f>
        <v/>
      </c>
    </row>
    <row r="29" spans="1:6" x14ac:dyDescent="0.3">
      <c r="A29" s="12" t="str">
        <f>IF($B29="","",IFERROR(INDEX(DQAF_Input!$P$2:$P$129,MATCH(28,DQAF_Input!$AG$2:$AG$129,0)),""))</f>
        <v/>
      </c>
      <c r="B29" s="12" t="str">
        <f>IFERROR(INDEX(DQAF_Input!$E$2:$E$129,MATCH(28,DQAF_Input!$AG$2:$AG$129,0)),"")</f>
        <v/>
      </c>
      <c r="C29" s="4" t="str">
        <f>IF($B29="","",IF(IFERROR(VLOOKUP($B29,__rbp_p!$A:$B,2,FALSE),"")&lt;&gt;"",IFERROR(VLOOKUP($B29,__rbp_p!$A:$B,2,FALSE),""),IFERROR(INDEX(DQAF_Input!$F$2:$F$129,MATCH(28,DQAF_Input!$AG$2:$AG$129,0)),"")))</f>
        <v/>
      </c>
      <c r="D29" s="4" t="str">
        <f>IF($B29="","",IFERROR(INDEX(DQAF_Input!$H$2:$H$129,MATCH(28,DQAF_Input!$AG$2:$AG$129,0)),""))</f>
        <v/>
      </c>
      <c r="E29" s="4" t="str">
        <f>IF($B29="","",IFERROR(INDEX(DQAF_Input!$J$2:$J$129,MATCH(28,DQAF_Input!$AG$2:$AG$129,0)),""))</f>
        <v/>
      </c>
      <c r="F29" s="4" t="str">
        <f>IF($B29="","",IFERROR(INDEX(DQAF_Input!$L$2:$L$129,MATCH(28,DQAF_Input!$AG$2:$AG$129,0)),""))</f>
        <v/>
      </c>
    </row>
    <row r="30" spans="1:6" x14ac:dyDescent="0.3">
      <c r="A30" s="12" t="str">
        <f>IF($B30="","",IFERROR(INDEX(DQAF_Input!$P$2:$P$129,MATCH(29,DQAF_Input!$AG$2:$AG$129,0)),""))</f>
        <v/>
      </c>
      <c r="B30" s="12" t="str">
        <f>IFERROR(INDEX(DQAF_Input!$E$2:$E$129,MATCH(29,DQAF_Input!$AG$2:$AG$129,0)),"")</f>
        <v/>
      </c>
      <c r="C30" s="4" t="str">
        <f>IF($B30="","",IF(IFERROR(VLOOKUP($B30,__rbp_p!$A:$B,2,FALSE),"")&lt;&gt;"",IFERROR(VLOOKUP($B30,__rbp_p!$A:$B,2,FALSE),""),IFERROR(INDEX(DQAF_Input!$F$2:$F$129,MATCH(29,DQAF_Input!$AG$2:$AG$129,0)),"")))</f>
        <v/>
      </c>
      <c r="D30" s="4" t="str">
        <f>IF($B30="","",IFERROR(INDEX(DQAF_Input!$H$2:$H$129,MATCH(29,DQAF_Input!$AG$2:$AG$129,0)),""))</f>
        <v/>
      </c>
      <c r="E30" s="4" t="str">
        <f>IF($B30="","",IFERROR(INDEX(DQAF_Input!$J$2:$J$129,MATCH(29,DQAF_Input!$AG$2:$AG$129,0)),""))</f>
        <v/>
      </c>
      <c r="F30" s="4" t="str">
        <f>IF($B30="","",IFERROR(INDEX(DQAF_Input!$L$2:$L$129,MATCH(29,DQAF_Input!$AG$2:$AG$129,0)),""))</f>
        <v/>
      </c>
    </row>
    <row r="31" spans="1:6" x14ac:dyDescent="0.3">
      <c r="A31" s="12" t="str">
        <f>IF($B31="","",IFERROR(INDEX(DQAF_Input!$P$2:$P$129,MATCH(30,DQAF_Input!$AG$2:$AG$129,0)),""))</f>
        <v/>
      </c>
      <c r="B31" s="12" t="str">
        <f>IFERROR(INDEX(DQAF_Input!$E$2:$E$129,MATCH(30,DQAF_Input!$AG$2:$AG$129,0)),"")</f>
        <v/>
      </c>
      <c r="C31" s="4" t="str">
        <f>IF($B31="","",IF(IFERROR(VLOOKUP($B31,__rbp_p!$A:$B,2,FALSE),"")&lt;&gt;"",IFERROR(VLOOKUP($B31,__rbp_p!$A:$B,2,FALSE),""),IFERROR(INDEX(DQAF_Input!$F$2:$F$129,MATCH(30,DQAF_Input!$AG$2:$AG$129,0)),"")))</f>
        <v/>
      </c>
      <c r="D31" s="4" t="str">
        <f>IF($B31="","",IFERROR(INDEX(DQAF_Input!$H$2:$H$129,MATCH(30,DQAF_Input!$AG$2:$AG$129,0)),""))</f>
        <v/>
      </c>
      <c r="E31" s="4" t="str">
        <f>IF($B31="","",IFERROR(INDEX(DQAF_Input!$J$2:$J$129,MATCH(30,DQAF_Input!$AG$2:$AG$129,0)),""))</f>
        <v/>
      </c>
      <c r="F31" s="4" t="str">
        <f>IF($B31="","",IFERROR(INDEX(DQAF_Input!$L$2:$L$129,MATCH(30,DQAF_Input!$AG$2:$AG$129,0)),""))</f>
        <v/>
      </c>
    </row>
    <row r="32" spans="1:6" x14ac:dyDescent="0.3">
      <c r="A32" s="12" t="str">
        <f>IF($B32="","",IFERROR(INDEX(DQAF_Input!$P$2:$P$129,MATCH(31,DQAF_Input!$AG$2:$AG$129,0)),""))</f>
        <v/>
      </c>
      <c r="B32" s="12" t="str">
        <f>IFERROR(INDEX(DQAF_Input!$E$2:$E$129,MATCH(31,DQAF_Input!$AG$2:$AG$129,0)),"")</f>
        <v/>
      </c>
      <c r="C32" s="4" t="str">
        <f>IF($B32="","",IF(IFERROR(VLOOKUP($B32,__rbp_p!$A:$B,2,FALSE),"")&lt;&gt;"",IFERROR(VLOOKUP($B32,__rbp_p!$A:$B,2,FALSE),""),IFERROR(INDEX(DQAF_Input!$F$2:$F$129,MATCH(31,DQAF_Input!$AG$2:$AG$129,0)),"")))</f>
        <v/>
      </c>
      <c r="D32" s="4" t="str">
        <f>IF($B32="","",IFERROR(INDEX(DQAF_Input!$H$2:$H$129,MATCH(31,DQAF_Input!$AG$2:$AG$129,0)),""))</f>
        <v/>
      </c>
      <c r="E32" s="4" t="str">
        <f>IF($B32="","",IFERROR(INDEX(DQAF_Input!$J$2:$J$129,MATCH(31,DQAF_Input!$AG$2:$AG$129,0)),""))</f>
        <v/>
      </c>
      <c r="F32" s="4" t="str">
        <f>IF($B32="","",IFERROR(INDEX(DQAF_Input!$L$2:$L$129,MATCH(31,DQAF_Input!$AG$2:$AG$129,0)),""))</f>
        <v/>
      </c>
    </row>
    <row r="33" spans="1:6" x14ac:dyDescent="0.3">
      <c r="A33" s="12" t="str">
        <f>IF($B33="","",IFERROR(INDEX(DQAF_Input!$P$2:$P$129,MATCH(32,DQAF_Input!$AG$2:$AG$129,0)),""))</f>
        <v/>
      </c>
      <c r="B33" s="12" t="str">
        <f>IFERROR(INDEX(DQAF_Input!$E$2:$E$129,MATCH(32,DQAF_Input!$AG$2:$AG$129,0)),"")</f>
        <v/>
      </c>
      <c r="C33" s="4" t="str">
        <f>IF($B33="","",IF(IFERROR(VLOOKUP($B33,__rbp_p!$A:$B,2,FALSE),"")&lt;&gt;"",IFERROR(VLOOKUP($B33,__rbp_p!$A:$B,2,FALSE),""),IFERROR(INDEX(DQAF_Input!$F$2:$F$129,MATCH(32,DQAF_Input!$AG$2:$AG$129,0)),"")))</f>
        <v/>
      </c>
      <c r="D33" s="4" t="str">
        <f>IF($B33="","",IFERROR(INDEX(DQAF_Input!$H$2:$H$129,MATCH(32,DQAF_Input!$AG$2:$AG$129,0)),""))</f>
        <v/>
      </c>
      <c r="E33" s="4" t="str">
        <f>IF($B33="","",IFERROR(INDEX(DQAF_Input!$J$2:$J$129,MATCH(32,DQAF_Input!$AG$2:$AG$129,0)),""))</f>
        <v/>
      </c>
      <c r="F33" s="4" t="str">
        <f>IF($B33="","",IFERROR(INDEX(DQAF_Input!$L$2:$L$129,MATCH(32,DQAF_Input!$AG$2:$AG$129,0)),""))</f>
        <v/>
      </c>
    </row>
    <row r="34" spans="1:6" x14ac:dyDescent="0.3">
      <c r="A34" s="12" t="str">
        <f>IF($B34="","",IFERROR(INDEX(DQAF_Input!$P$2:$P$129,MATCH(33,DQAF_Input!$AG$2:$AG$129,0)),""))</f>
        <v/>
      </c>
      <c r="B34" s="12" t="str">
        <f>IFERROR(INDEX(DQAF_Input!$E$2:$E$129,MATCH(33,DQAF_Input!$AG$2:$AG$129,0)),"")</f>
        <v/>
      </c>
      <c r="C34" s="4" t="str">
        <f>IF($B34="","",IF(IFERROR(VLOOKUP($B34,__rbp_p!$A:$B,2,FALSE),"")&lt;&gt;"",IFERROR(VLOOKUP($B34,__rbp_p!$A:$B,2,FALSE),""),IFERROR(INDEX(DQAF_Input!$F$2:$F$129,MATCH(33,DQAF_Input!$AG$2:$AG$129,0)),"")))</f>
        <v/>
      </c>
      <c r="D34" s="4" t="str">
        <f>IF($B34="","",IFERROR(INDEX(DQAF_Input!$H$2:$H$129,MATCH(33,DQAF_Input!$AG$2:$AG$129,0)),""))</f>
        <v/>
      </c>
      <c r="E34" s="4" t="str">
        <f>IF($B34="","",IFERROR(INDEX(DQAF_Input!$J$2:$J$129,MATCH(33,DQAF_Input!$AG$2:$AG$129,0)),""))</f>
        <v/>
      </c>
      <c r="F34" s="4" t="str">
        <f>IF($B34="","",IFERROR(INDEX(DQAF_Input!$L$2:$L$129,MATCH(33,DQAF_Input!$AG$2:$AG$129,0)),""))</f>
        <v/>
      </c>
    </row>
    <row r="35" spans="1:6" x14ac:dyDescent="0.3">
      <c r="A35" s="12" t="str">
        <f>IF($B35="","",IFERROR(INDEX(DQAF_Input!$P$2:$P$129,MATCH(34,DQAF_Input!$AG$2:$AG$129,0)),""))</f>
        <v/>
      </c>
      <c r="B35" s="12" t="str">
        <f>IFERROR(INDEX(DQAF_Input!$E$2:$E$129,MATCH(34,DQAF_Input!$AG$2:$AG$129,0)),"")</f>
        <v/>
      </c>
      <c r="C35" s="4" t="str">
        <f>IF($B35="","",IF(IFERROR(VLOOKUP($B35,__rbp_p!$A:$B,2,FALSE),"")&lt;&gt;"",IFERROR(VLOOKUP($B35,__rbp_p!$A:$B,2,FALSE),""),IFERROR(INDEX(DQAF_Input!$F$2:$F$129,MATCH(34,DQAF_Input!$AG$2:$AG$129,0)),"")))</f>
        <v/>
      </c>
      <c r="D35" s="4" t="str">
        <f>IF($B35="","",IFERROR(INDEX(DQAF_Input!$H$2:$H$129,MATCH(34,DQAF_Input!$AG$2:$AG$129,0)),""))</f>
        <v/>
      </c>
      <c r="E35" s="4" t="str">
        <f>IF($B35="","",IFERROR(INDEX(DQAF_Input!$J$2:$J$129,MATCH(34,DQAF_Input!$AG$2:$AG$129,0)),""))</f>
        <v/>
      </c>
      <c r="F35" s="4" t="str">
        <f>IF($B35="","",IFERROR(INDEX(DQAF_Input!$L$2:$L$129,MATCH(34,DQAF_Input!$AG$2:$AG$129,0)),""))</f>
        <v/>
      </c>
    </row>
    <row r="36" spans="1:6" x14ac:dyDescent="0.3">
      <c r="A36" s="12" t="str">
        <f>IF($B36="","",IFERROR(INDEX(DQAF_Input!$P$2:$P$129,MATCH(35,DQAF_Input!$AG$2:$AG$129,0)),""))</f>
        <v/>
      </c>
      <c r="B36" s="12" t="str">
        <f>IFERROR(INDEX(DQAF_Input!$E$2:$E$129,MATCH(35,DQAF_Input!$AG$2:$AG$129,0)),"")</f>
        <v/>
      </c>
      <c r="C36" s="4" t="str">
        <f>IF($B36="","",IF(IFERROR(VLOOKUP($B36,__rbp_p!$A:$B,2,FALSE),"")&lt;&gt;"",IFERROR(VLOOKUP($B36,__rbp_p!$A:$B,2,FALSE),""),IFERROR(INDEX(DQAF_Input!$F$2:$F$129,MATCH(35,DQAF_Input!$AG$2:$AG$129,0)),"")))</f>
        <v/>
      </c>
      <c r="D36" s="4" t="str">
        <f>IF($B36="","",IFERROR(INDEX(DQAF_Input!$H$2:$H$129,MATCH(35,DQAF_Input!$AG$2:$AG$129,0)),""))</f>
        <v/>
      </c>
      <c r="E36" s="4" t="str">
        <f>IF($B36="","",IFERROR(INDEX(DQAF_Input!$J$2:$J$129,MATCH(35,DQAF_Input!$AG$2:$AG$129,0)),""))</f>
        <v/>
      </c>
      <c r="F36" s="4" t="str">
        <f>IF($B36="","",IFERROR(INDEX(DQAF_Input!$L$2:$L$129,MATCH(35,DQAF_Input!$AG$2:$AG$129,0)),""))</f>
        <v/>
      </c>
    </row>
    <row r="37" spans="1:6" x14ac:dyDescent="0.3">
      <c r="A37" s="12" t="str">
        <f>IF($B37="","",IFERROR(INDEX(DQAF_Input!$P$2:$P$129,MATCH(36,DQAF_Input!$AG$2:$AG$129,0)),""))</f>
        <v/>
      </c>
      <c r="B37" s="12" t="str">
        <f>IFERROR(INDEX(DQAF_Input!$E$2:$E$129,MATCH(36,DQAF_Input!$AG$2:$AG$129,0)),"")</f>
        <v/>
      </c>
      <c r="C37" s="4" t="str">
        <f>IF($B37="","",IF(IFERROR(VLOOKUP($B37,__rbp_p!$A:$B,2,FALSE),"")&lt;&gt;"",IFERROR(VLOOKUP($B37,__rbp_p!$A:$B,2,FALSE),""),IFERROR(INDEX(DQAF_Input!$F$2:$F$129,MATCH(36,DQAF_Input!$AG$2:$AG$129,0)),"")))</f>
        <v/>
      </c>
      <c r="D37" s="4" t="str">
        <f>IF($B37="","",IFERROR(INDEX(DQAF_Input!$H$2:$H$129,MATCH(36,DQAF_Input!$AG$2:$AG$129,0)),""))</f>
        <v/>
      </c>
      <c r="E37" s="4" t="str">
        <f>IF($B37="","",IFERROR(INDEX(DQAF_Input!$J$2:$J$129,MATCH(36,DQAF_Input!$AG$2:$AG$129,0)),""))</f>
        <v/>
      </c>
      <c r="F37" s="4" t="str">
        <f>IF($B37="","",IFERROR(INDEX(DQAF_Input!$L$2:$L$129,MATCH(36,DQAF_Input!$AG$2:$AG$129,0)),""))</f>
        <v/>
      </c>
    </row>
    <row r="38" spans="1:6" x14ac:dyDescent="0.3">
      <c r="A38" s="12" t="str">
        <f>IF($B38="","",IFERROR(INDEX(DQAF_Input!$P$2:$P$129,MATCH(37,DQAF_Input!$AG$2:$AG$129,0)),""))</f>
        <v/>
      </c>
      <c r="B38" s="12" t="str">
        <f>IFERROR(INDEX(DQAF_Input!$E$2:$E$129,MATCH(37,DQAF_Input!$AG$2:$AG$129,0)),"")</f>
        <v/>
      </c>
      <c r="C38" s="4" t="str">
        <f>IF($B38="","",IF(IFERROR(VLOOKUP($B38,__rbp_p!$A:$B,2,FALSE),"")&lt;&gt;"",IFERROR(VLOOKUP($B38,__rbp_p!$A:$B,2,FALSE),""),IFERROR(INDEX(DQAF_Input!$F$2:$F$129,MATCH(37,DQAF_Input!$AG$2:$AG$129,0)),"")))</f>
        <v/>
      </c>
      <c r="D38" s="4" t="str">
        <f>IF($B38="","",IFERROR(INDEX(DQAF_Input!$H$2:$H$129,MATCH(37,DQAF_Input!$AG$2:$AG$129,0)),""))</f>
        <v/>
      </c>
      <c r="E38" s="4" t="str">
        <f>IF($B38="","",IFERROR(INDEX(DQAF_Input!$J$2:$J$129,MATCH(37,DQAF_Input!$AG$2:$AG$129,0)),""))</f>
        <v/>
      </c>
      <c r="F38" s="4" t="str">
        <f>IF($B38="","",IFERROR(INDEX(DQAF_Input!$L$2:$L$129,MATCH(37,DQAF_Input!$AG$2:$AG$129,0)),""))</f>
        <v/>
      </c>
    </row>
    <row r="39" spans="1:6" x14ac:dyDescent="0.3">
      <c r="A39" s="12" t="str">
        <f>IF($B39="","",IFERROR(INDEX(DQAF_Input!$P$2:$P$129,MATCH(38,DQAF_Input!$AG$2:$AG$129,0)),""))</f>
        <v/>
      </c>
      <c r="B39" s="12" t="str">
        <f>IFERROR(INDEX(DQAF_Input!$E$2:$E$129,MATCH(38,DQAF_Input!$AG$2:$AG$129,0)),"")</f>
        <v/>
      </c>
      <c r="C39" s="4" t="str">
        <f>IF($B39="","",IF(IFERROR(VLOOKUP($B39,__rbp_p!$A:$B,2,FALSE),"")&lt;&gt;"",IFERROR(VLOOKUP($B39,__rbp_p!$A:$B,2,FALSE),""),IFERROR(INDEX(DQAF_Input!$F$2:$F$129,MATCH(38,DQAF_Input!$AG$2:$AG$129,0)),"")))</f>
        <v/>
      </c>
      <c r="D39" s="4" t="str">
        <f>IF($B39="","",IFERROR(INDEX(DQAF_Input!$H$2:$H$129,MATCH(38,DQAF_Input!$AG$2:$AG$129,0)),""))</f>
        <v/>
      </c>
      <c r="E39" s="4" t="str">
        <f>IF($B39="","",IFERROR(INDEX(DQAF_Input!$J$2:$J$129,MATCH(38,DQAF_Input!$AG$2:$AG$129,0)),""))</f>
        <v/>
      </c>
      <c r="F39" s="4" t="str">
        <f>IF($B39="","",IFERROR(INDEX(DQAF_Input!$L$2:$L$129,MATCH(38,DQAF_Input!$AG$2:$AG$129,0)),""))</f>
        <v/>
      </c>
    </row>
    <row r="40" spans="1:6" x14ac:dyDescent="0.3">
      <c r="A40" s="12" t="str">
        <f>IF($B40="","",IFERROR(INDEX(DQAF_Input!$P$2:$P$129,MATCH(39,DQAF_Input!$AG$2:$AG$129,0)),""))</f>
        <v/>
      </c>
      <c r="B40" s="12" t="str">
        <f>IFERROR(INDEX(DQAF_Input!$E$2:$E$129,MATCH(39,DQAF_Input!$AG$2:$AG$129,0)),"")</f>
        <v/>
      </c>
      <c r="C40" s="4" t="str">
        <f>IF($B40="","",IF(IFERROR(VLOOKUP($B40,__rbp_p!$A:$B,2,FALSE),"")&lt;&gt;"",IFERROR(VLOOKUP($B40,__rbp_p!$A:$B,2,FALSE),""),IFERROR(INDEX(DQAF_Input!$F$2:$F$129,MATCH(39,DQAF_Input!$AG$2:$AG$129,0)),"")))</f>
        <v/>
      </c>
      <c r="D40" s="4" t="str">
        <f>IF($B40="","",IFERROR(INDEX(DQAF_Input!$H$2:$H$129,MATCH(39,DQAF_Input!$AG$2:$AG$129,0)),""))</f>
        <v/>
      </c>
      <c r="E40" s="4" t="str">
        <f>IF($B40="","",IFERROR(INDEX(DQAF_Input!$J$2:$J$129,MATCH(39,DQAF_Input!$AG$2:$AG$129,0)),""))</f>
        <v/>
      </c>
      <c r="F40" s="4" t="str">
        <f>IF($B40="","",IFERROR(INDEX(DQAF_Input!$L$2:$L$129,MATCH(39,DQAF_Input!$AG$2:$AG$129,0)),""))</f>
        <v/>
      </c>
    </row>
    <row r="41" spans="1:6" x14ac:dyDescent="0.3">
      <c r="A41" s="12" t="str">
        <f>IF($B41="","",IFERROR(INDEX(DQAF_Input!$P$2:$P$129,MATCH(40,DQAF_Input!$AG$2:$AG$129,0)),""))</f>
        <v/>
      </c>
      <c r="B41" s="12" t="str">
        <f>IFERROR(INDEX(DQAF_Input!$E$2:$E$129,MATCH(40,DQAF_Input!$AG$2:$AG$129,0)),"")</f>
        <v/>
      </c>
      <c r="C41" s="4" t="str">
        <f>IF($B41="","",IF(IFERROR(VLOOKUP($B41,__rbp_p!$A:$B,2,FALSE),"")&lt;&gt;"",IFERROR(VLOOKUP($B41,__rbp_p!$A:$B,2,FALSE),""),IFERROR(INDEX(DQAF_Input!$F$2:$F$129,MATCH(40,DQAF_Input!$AG$2:$AG$129,0)),"")))</f>
        <v/>
      </c>
      <c r="D41" s="4" t="str">
        <f>IF($B41="","",IFERROR(INDEX(DQAF_Input!$H$2:$H$129,MATCH(40,DQAF_Input!$AG$2:$AG$129,0)),""))</f>
        <v/>
      </c>
      <c r="E41" s="4" t="str">
        <f>IF($B41="","",IFERROR(INDEX(DQAF_Input!$J$2:$J$129,MATCH(40,DQAF_Input!$AG$2:$AG$129,0)),""))</f>
        <v/>
      </c>
      <c r="F41" s="4" t="str">
        <f>IF($B41="","",IFERROR(INDEX(DQAF_Input!$L$2:$L$129,MATCH(40,DQAF_Input!$AG$2:$AG$129,0)),""))</f>
        <v/>
      </c>
    </row>
    <row r="42" spans="1:6" x14ac:dyDescent="0.3">
      <c r="A42" s="12" t="str">
        <f>IF($B42="","",IFERROR(INDEX(DQAF_Input!$P$2:$P$129,MATCH(41,DQAF_Input!$AG$2:$AG$129,0)),""))</f>
        <v/>
      </c>
      <c r="B42" s="12" t="str">
        <f>IFERROR(INDEX(DQAF_Input!$E$2:$E$129,MATCH(41,DQAF_Input!$AG$2:$AG$129,0)),"")</f>
        <v/>
      </c>
      <c r="C42" s="4" t="str">
        <f>IF($B42="","",IF(IFERROR(VLOOKUP($B42,__rbp_p!$A:$B,2,FALSE),"")&lt;&gt;"",IFERROR(VLOOKUP($B42,__rbp_p!$A:$B,2,FALSE),""),IFERROR(INDEX(DQAF_Input!$F$2:$F$129,MATCH(41,DQAF_Input!$AG$2:$AG$129,0)),"")))</f>
        <v/>
      </c>
      <c r="D42" s="4" t="str">
        <f>IF($B42="","",IFERROR(INDEX(DQAF_Input!$H$2:$H$129,MATCH(41,DQAF_Input!$AG$2:$AG$129,0)),""))</f>
        <v/>
      </c>
      <c r="E42" s="4" t="str">
        <f>IF($B42="","",IFERROR(INDEX(DQAF_Input!$J$2:$J$129,MATCH(41,DQAF_Input!$AG$2:$AG$129,0)),""))</f>
        <v/>
      </c>
      <c r="F42" s="4" t="str">
        <f>IF($B42="","",IFERROR(INDEX(DQAF_Input!$L$2:$L$129,MATCH(41,DQAF_Input!$AG$2:$AG$129,0)),""))</f>
        <v/>
      </c>
    </row>
    <row r="43" spans="1:6" x14ac:dyDescent="0.3">
      <c r="A43" s="12" t="str">
        <f>IF($B43="","",IFERROR(INDEX(DQAF_Input!$P$2:$P$129,MATCH(42,DQAF_Input!$AG$2:$AG$129,0)),""))</f>
        <v/>
      </c>
      <c r="B43" s="12" t="str">
        <f>IFERROR(INDEX(DQAF_Input!$E$2:$E$129,MATCH(42,DQAF_Input!$AG$2:$AG$129,0)),"")</f>
        <v/>
      </c>
      <c r="C43" s="4" t="str">
        <f>IF($B43="","",IF(IFERROR(VLOOKUP($B43,__rbp_p!$A:$B,2,FALSE),"")&lt;&gt;"",IFERROR(VLOOKUP($B43,__rbp_p!$A:$B,2,FALSE),""),IFERROR(INDEX(DQAF_Input!$F$2:$F$129,MATCH(42,DQAF_Input!$AG$2:$AG$129,0)),"")))</f>
        <v/>
      </c>
      <c r="D43" s="4" t="str">
        <f>IF($B43="","",IFERROR(INDEX(DQAF_Input!$H$2:$H$129,MATCH(42,DQAF_Input!$AG$2:$AG$129,0)),""))</f>
        <v/>
      </c>
      <c r="E43" s="4" t="str">
        <f>IF($B43="","",IFERROR(INDEX(DQAF_Input!$J$2:$J$129,MATCH(42,DQAF_Input!$AG$2:$AG$129,0)),""))</f>
        <v/>
      </c>
      <c r="F43" s="4" t="str">
        <f>IF($B43="","",IFERROR(INDEX(DQAF_Input!$L$2:$L$129,MATCH(42,DQAF_Input!$AG$2:$AG$129,0)),""))</f>
        <v/>
      </c>
    </row>
    <row r="44" spans="1:6" x14ac:dyDescent="0.3">
      <c r="A44" s="12" t="str">
        <f>IF($B44="","",IFERROR(INDEX(DQAF_Input!$P$2:$P$129,MATCH(43,DQAF_Input!$AG$2:$AG$129,0)),""))</f>
        <v/>
      </c>
      <c r="B44" s="12" t="str">
        <f>IFERROR(INDEX(DQAF_Input!$E$2:$E$129,MATCH(43,DQAF_Input!$AG$2:$AG$129,0)),"")</f>
        <v/>
      </c>
      <c r="C44" s="4" t="str">
        <f>IF($B44="","",IF(IFERROR(VLOOKUP($B44,__rbp_p!$A:$B,2,FALSE),"")&lt;&gt;"",IFERROR(VLOOKUP($B44,__rbp_p!$A:$B,2,FALSE),""),IFERROR(INDEX(DQAF_Input!$F$2:$F$129,MATCH(43,DQAF_Input!$AG$2:$AG$129,0)),"")))</f>
        <v/>
      </c>
      <c r="D44" s="4" t="str">
        <f>IF($B44="","",IFERROR(INDEX(DQAF_Input!$H$2:$H$129,MATCH(43,DQAF_Input!$AG$2:$AG$129,0)),""))</f>
        <v/>
      </c>
      <c r="E44" s="4" t="str">
        <f>IF($B44="","",IFERROR(INDEX(DQAF_Input!$J$2:$J$129,MATCH(43,DQAF_Input!$AG$2:$AG$129,0)),""))</f>
        <v/>
      </c>
      <c r="F44" s="4" t="str">
        <f>IF($B44="","",IFERROR(INDEX(DQAF_Input!$L$2:$L$129,MATCH(43,DQAF_Input!$AG$2:$AG$129,0)),""))</f>
        <v/>
      </c>
    </row>
    <row r="45" spans="1:6" x14ac:dyDescent="0.3">
      <c r="A45" s="12" t="str">
        <f>IF($B45="","",IFERROR(INDEX(DQAF_Input!$P$2:$P$129,MATCH(44,DQAF_Input!$AG$2:$AG$129,0)),""))</f>
        <v/>
      </c>
      <c r="B45" s="12" t="str">
        <f>IFERROR(INDEX(DQAF_Input!$E$2:$E$129,MATCH(44,DQAF_Input!$AG$2:$AG$129,0)),"")</f>
        <v/>
      </c>
      <c r="C45" s="4" t="str">
        <f>IF($B45="","",IF(IFERROR(VLOOKUP($B45,__rbp_p!$A:$B,2,FALSE),"")&lt;&gt;"",IFERROR(VLOOKUP($B45,__rbp_p!$A:$B,2,FALSE),""),IFERROR(INDEX(DQAF_Input!$F$2:$F$129,MATCH(44,DQAF_Input!$AG$2:$AG$129,0)),"")))</f>
        <v/>
      </c>
      <c r="D45" s="4" t="str">
        <f>IF($B45="","",IFERROR(INDEX(DQAF_Input!$H$2:$H$129,MATCH(44,DQAF_Input!$AG$2:$AG$129,0)),""))</f>
        <v/>
      </c>
      <c r="E45" s="4" t="str">
        <f>IF($B45="","",IFERROR(INDEX(DQAF_Input!$J$2:$J$129,MATCH(44,DQAF_Input!$AG$2:$AG$129,0)),""))</f>
        <v/>
      </c>
      <c r="F45" s="4" t="str">
        <f>IF($B45="","",IFERROR(INDEX(DQAF_Input!$L$2:$L$129,MATCH(44,DQAF_Input!$AG$2:$AG$129,0)),""))</f>
        <v/>
      </c>
    </row>
    <row r="46" spans="1:6" x14ac:dyDescent="0.3">
      <c r="A46" s="12" t="str">
        <f>IF($B46="","",IFERROR(INDEX(DQAF_Input!$P$2:$P$129,MATCH(45,DQAF_Input!$AG$2:$AG$129,0)),""))</f>
        <v/>
      </c>
      <c r="B46" s="12" t="str">
        <f>IFERROR(INDEX(DQAF_Input!$E$2:$E$129,MATCH(45,DQAF_Input!$AG$2:$AG$129,0)),"")</f>
        <v/>
      </c>
      <c r="C46" s="4" t="str">
        <f>IF($B46="","",IF(IFERROR(VLOOKUP($B46,__rbp_p!$A:$B,2,FALSE),"")&lt;&gt;"",IFERROR(VLOOKUP($B46,__rbp_p!$A:$B,2,FALSE),""),IFERROR(INDEX(DQAF_Input!$F$2:$F$129,MATCH(45,DQAF_Input!$AG$2:$AG$129,0)),"")))</f>
        <v/>
      </c>
      <c r="D46" s="4" t="str">
        <f>IF($B46="","",IFERROR(INDEX(DQAF_Input!$H$2:$H$129,MATCH(45,DQAF_Input!$AG$2:$AG$129,0)),""))</f>
        <v/>
      </c>
      <c r="E46" s="4" t="str">
        <f>IF($B46="","",IFERROR(INDEX(DQAF_Input!$J$2:$J$129,MATCH(45,DQAF_Input!$AG$2:$AG$129,0)),""))</f>
        <v/>
      </c>
      <c r="F46" s="4" t="str">
        <f>IF($B46="","",IFERROR(INDEX(DQAF_Input!$L$2:$L$129,MATCH(45,DQAF_Input!$AG$2:$AG$129,0)),""))</f>
        <v/>
      </c>
    </row>
    <row r="47" spans="1:6" x14ac:dyDescent="0.3">
      <c r="A47" s="12" t="str">
        <f>IF($B47="","",IFERROR(INDEX(DQAF_Input!$P$2:$P$129,MATCH(46,DQAF_Input!$AG$2:$AG$129,0)),""))</f>
        <v/>
      </c>
      <c r="B47" s="12" t="str">
        <f>IFERROR(INDEX(DQAF_Input!$E$2:$E$129,MATCH(46,DQAF_Input!$AG$2:$AG$129,0)),"")</f>
        <v/>
      </c>
      <c r="C47" s="4" t="str">
        <f>IF($B47="","",IF(IFERROR(VLOOKUP($B47,__rbp_p!$A:$B,2,FALSE),"")&lt;&gt;"",IFERROR(VLOOKUP($B47,__rbp_p!$A:$B,2,FALSE),""),IFERROR(INDEX(DQAF_Input!$F$2:$F$129,MATCH(46,DQAF_Input!$AG$2:$AG$129,0)),"")))</f>
        <v/>
      </c>
      <c r="D47" s="4" t="str">
        <f>IF($B47="","",IFERROR(INDEX(DQAF_Input!$H$2:$H$129,MATCH(46,DQAF_Input!$AG$2:$AG$129,0)),""))</f>
        <v/>
      </c>
      <c r="E47" s="4" t="str">
        <f>IF($B47="","",IFERROR(INDEX(DQAF_Input!$J$2:$J$129,MATCH(46,DQAF_Input!$AG$2:$AG$129,0)),""))</f>
        <v/>
      </c>
      <c r="F47" s="4" t="str">
        <f>IF($B47="","",IFERROR(INDEX(DQAF_Input!$L$2:$L$129,MATCH(46,DQAF_Input!$AG$2:$AG$129,0)),""))</f>
        <v/>
      </c>
    </row>
    <row r="48" spans="1:6" x14ac:dyDescent="0.3">
      <c r="A48" s="12" t="str">
        <f>IF($B48="","",IFERROR(INDEX(DQAF_Input!$P$2:$P$129,MATCH(47,DQAF_Input!$AG$2:$AG$129,0)),""))</f>
        <v/>
      </c>
      <c r="B48" s="12" t="str">
        <f>IFERROR(INDEX(DQAF_Input!$E$2:$E$129,MATCH(47,DQAF_Input!$AG$2:$AG$129,0)),"")</f>
        <v/>
      </c>
      <c r="C48" s="4" t="str">
        <f>IF($B48="","",IF(IFERROR(VLOOKUP($B48,__rbp_p!$A:$B,2,FALSE),"")&lt;&gt;"",IFERROR(VLOOKUP($B48,__rbp_p!$A:$B,2,FALSE),""),IFERROR(INDEX(DQAF_Input!$F$2:$F$129,MATCH(47,DQAF_Input!$AG$2:$AG$129,0)),"")))</f>
        <v/>
      </c>
      <c r="D48" s="4" t="str">
        <f>IF($B48="","",IFERROR(INDEX(DQAF_Input!$H$2:$H$129,MATCH(47,DQAF_Input!$AG$2:$AG$129,0)),""))</f>
        <v/>
      </c>
      <c r="E48" s="4" t="str">
        <f>IF($B48="","",IFERROR(INDEX(DQAF_Input!$J$2:$J$129,MATCH(47,DQAF_Input!$AG$2:$AG$129,0)),""))</f>
        <v/>
      </c>
      <c r="F48" s="4" t="str">
        <f>IF($B48="","",IFERROR(INDEX(DQAF_Input!$L$2:$L$129,MATCH(47,DQAF_Input!$AG$2:$AG$129,0)),""))</f>
        <v/>
      </c>
    </row>
    <row r="49" spans="1:6" x14ac:dyDescent="0.3">
      <c r="A49" s="12" t="str">
        <f>IF($B49="","",IFERROR(INDEX(DQAF_Input!$P$2:$P$129,MATCH(48,DQAF_Input!$AG$2:$AG$129,0)),""))</f>
        <v/>
      </c>
      <c r="B49" s="12" t="str">
        <f>IFERROR(INDEX(DQAF_Input!$E$2:$E$129,MATCH(48,DQAF_Input!$AG$2:$AG$129,0)),"")</f>
        <v/>
      </c>
      <c r="C49" s="4" t="str">
        <f>IF($B49="","",IF(IFERROR(VLOOKUP($B49,__rbp_p!$A:$B,2,FALSE),"")&lt;&gt;"",IFERROR(VLOOKUP($B49,__rbp_p!$A:$B,2,FALSE),""),IFERROR(INDEX(DQAF_Input!$F$2:$F$129,MATCH(48,DQAF_Input!$AG$2:$AG$129,0)),"")))</f>
        <v/>
      </c>
      <c r="D49" s="4" t="str">
        <f>IF($B49="","",IFERROR(INDEX(DQAF_Input!$H$2:$H$129,MATCH(48,DQAF_Input!$AG$2:$AG$129,0)),""))</f>
        <v/>
      </c>
      <c r="E49" s="4" t="str">
        <f>IF($B49="","",IFERROR(INDEX(DQAF_Input!$J$2:$J$129,MATCH(48,DQAF_Input!$AG$2:$AG$129,0)),""))</f>
        <v/>
      </c>
      <c r="F49" s="4" t="str">
        <f>IF($B49="","",IFERROR(INDEX(DQAF_Input!$L$2:$L$129,MATCH(48,DQAF_Input!$AG$2:$AG$129,0)),""))</f>
        <v/>
      </c>
    </row>
    <row r="50" spans="1:6" x14ac:dyDescent="0.3">
      <c r="A50" s="12" t="str">
        <f>IF($B50="","",IFERROR(INDEX(DQAF_Input!$P$2:$P$129,MATCH(49,DQAF_Input!$AG$2:$AG$129,0)),""))</f>
        <v/>
      </c>
      <c r="B50" s="12" t="str">
        <f>IFERROR(INDEX(DQAF_Input!$E$2:$E$129,MATCH(49,DQAF_Input!$AG$2:$AG$129,0)),"")</f>
        <v/>
      </c>
      <c r="C50" s="4" t="str">
        <f>IF($B50="","",IF(IFERROR(VLOOKUP($B50,__rbp_p!$A:$B,2,FALSE),"")&lt;&gt;"",IFERROR(VLOOKUP($B50,__rbp_p!$A:$B,2,FALSE),""),IFERROR(INDEX(DQAF_Input!$F$2:$F$129,MATCH(49,DQAF_Input!$AG$2:$AG$129,0)),"")))</f>
        <v/>
      </c>
      <c r="D50" s="4" t="str">
        <f>IF($B50="","",IFERROR(INDEX(DQAF_Input!$H$2:$H$129,MATCH(49,DQAF_Input!$AG$2:$AG$129,0)),""))</f>
        <v/>
      </c>
      <c r="E50" s="4" t="str">
        <f>IF($B50="","",IFERROR(INDEX(DQAF_Input!$J$2:$J$129,MATCH(49,DQAF_Input!$AG$2:$AG$129,0)),""))</f>
        <v/>
      </c>
      <c r="F50" s="4" t="str">
        <f>IF($B50="","",IFERROR(INDEX(DQAF_Input!$L$2:$L$129,MATCH(49,DQAF_Input!$AG$2:$AG$129,0)),""))</f>
        <v/>
      </c>
    </row>
    <row r="51" spans="1:6" x14ac:dyDescent="0.3">
      <c r="A51" s="12" t="str">
        <f>IF($B51="","",IFERROR(INDEX(DQAF_Input!$P$2:$P$129,MATCH(50,DQAF_Input!$AG$2:$AG$129,0)),""))</f>
        <v/>
      </c>
      <c r="B51" s="12" t="str">
        <f>IFERROR(INDEX(DQAF_Input!$E$2:$E$129,MATCH(50,DQAF_Input!$AG$2:$AG$129,0)),"")</f>
        <v/>
      </c>
      <c r="C51" s="4" t="str">
        <f>IF($B51="","",IF(IFERROR(VLOOKUP($B51,__rbp_p!$A:$B,2,FALSE),"")&lt;&gt;"",IFERROR(VLOOKUP($B51,__rbp_p!$A:$B,2,FALSE),""),IFERROR(INDEX(DQAF_Input!$F$2:$F$129,MATCH(50,DQAF_Input!$AG$2:$AG$129,0)),"")))</f>
        <v/>
      </c>
      <c r="D51" s="4" t="str">
        <f>IF($B51="","",IFERROR(INDEX(DQAF_Input!$H$2:$H$129,MATCH(50,DQAF_Input!$AG$2:$AG$129,0)),""))</f>
        <v/>
      </c>
      <c r="E51" s="4" t="str">
        <f>IF($B51="","",IFERROR(INDEX(DQAF_Input!$J$2:$J$129,MATCH(50,DQAF_Input!$AG$2:$AG$129,0)),""))</f>
        <v/>
      </c>
      <c r="F51" s="4" t="str">
        <f>IF($B51="","",IFERROR(INDEX(DQAF_Input!$L$2:$L$129,MATCH(50,DQAF_Input!$AG$2:$AG$129,0)),""))</f>
        <v/>
      </c>
    </row>
    <row r="52" spans="1:6" x14ac:dyDescent="0.3">
      <c r="A52" s="12" t="str">
        <f>IF($B52="","",IFERROR(INDEX(DQAF_Input!$P$2:$P$129,MATCH(51,DQAF_Input!$AG$2:$AG$129,0)),""))</f>
        <v/>
      </c>
      <c r="B52" s="12" t="str">
        <f>IFERROR(INDEX(DQAF_Input!$E$2:$E$129,MATCH(51,DQAF_Input!$AG$2:$AG$129,0)),"")</f>
        <v/>
      </c>
      <c r="C52" s="4" t="str">
        <f>IF($B52="","",IF(IFERROR(VLOOKUP($B52,__rbp_p!$A:$B,2,FALSE),"")&lt;&gt;"",IFERROR(VLOOKUP($B52,__rbp_p!$A:$B,2,FALSE),""),IFERROR(INDEX(DQAF_Input!$F$2:$F$129,MATCH(51,DQAF_Input!$AG$2:$AG$129,0)),"")))</f>
        <v/>
      </c>
      <c r="D52" s="4" t="str">
        <f>IF($B52="","",IFERROR(INDEX(DQAF_Input!$H$2:$H$129,MATCH(51,DQAF_Input!$AG$2:$AG$129,0)),""))</f>
        <v/>
      </c>
      <c r="E52" s="4" t="str">
        <f>IF($B52="","",IFERROR(INDEX(DQAF_Input!$J$2:$J$129,MATCH(51,DQAF_Input!$AG$2:$AG$129,0)),""))</f>
        <v/>
      </c>
      <c r="F52" s="4" t="str">
        <f>IF($B52="","",IFERROR(INDEX(DQAF_Input!$L$2:$L$129,MATCH(51,DQAF_Input!$AG$2:$AG$129,0)),""))</f>
        <v/>
      </c>
    </row>
    <row r="53" spans="1:6" x14ac:dyDescent="0.3">
      <c r="A53" s="12" t="str">
        <f>IF($B53="","",IFERROR(INDEX(DQAF_Input!$P$2:$P$129,MATCH(52,DQAF_Input!$AG$2:$AG$129,0)),""))</f>
        <v/>
      </c>
      <c r="B53" s="12" t="str">
        <f>IFERROR(INDEX(DQAF_Input!$E$2:$E$129,MATCH(52,DQAF_Input!$AG$2:$AG$129,0)),"")</f>
        <v/>
      </c>
      <c r="C53" s="4" t="str">
        <f>IF($B53="","",IF(IFERROR(VLOOKUP($B53,__rbp_p!$A:$B,2,FALSE),"")&lt;&gt;"",IFERROR(VLOOKUP($B53,__rbp_p!$A:$B,2,FALSE),""),IFERROR(INDEX(DQAF_Input!$F$2:$F$129,MATCH(52,DQAF_Input!$AG$2:$AG$129,0)),"")))</f>
        <v/>
      </c>
      <c r="D53" s="4" t="str">
        <f>IF($B53="","",IFERROR(INDEX(DQAF_Input!$H$2:$H$129,MATCH(52,DQAF_Input!$AG$2:$AG$129,0)),""))</f>
        <v/>
      </c>
      <c r="E53" s="4" t="str">
        <f>IF($B53="","",IFERROR(INDEX(DQAF_Input!$J$2:$J$129,MATCH(52,DQAF_Input!$AG$2:$AG$129,0)),""))</f>
        <v/>
      </c>
      <c r="F53" s="4" t="str">
        <f>IF($B53="","",IFERROR(INDEX(DQAF_Input!$L$2:$L$129,MATCH(52,DQAF_Input!$AG$2:$AG$129,0)),""))</f>
        <v/>
      </c>
    </row>
    <row r="54" spans="1:6" x14ac:dyDescent="0.3">
      <c r="A54" s="12" t="str">
        <f>IF($B54="","",IFERROR(INDEX(DQAF_Input!$P$2:$P$129,MATCH(53,DQAF_Input!$AG$2:$AG$129,0)),""))</f>
        <v/>
      </c>
      <c r="B54" s="12" t="str">
        <f>IFERROR(INDEX(DQAF_Input!$E$2:$E$129,MATCH(53,DQAF_Input!$AG$2:$AG$129,0)),"")</f>
        <v/>
      </c>
      <c r="C54" s="4" t="str">
        <f>IF($B54="","",IF(IFERROR(VLOOKUP($B54,__rbp_p!$A:$B,2,FALSE),"")&lt;&gt;"",IFERROR(VLOOKUP($B54,__rbp_p!$A:$B,2,FALSE),""),IFERROR(INDEX(DQAF_Input!$F$2:$F$129,MATCH(53,DQAF_Input!$AG$2:$AG$129,0)),"")))</f>
        <v/>
      </c>
      <c r="D54" s="4" t="str">
        <f>IF($B54="","",IFERROR(INDEX(DQAF_Input!$H$2:$H$129,MATCH(53,DQAF_Input!$AG$2:$AG$129,0)),""))</f>
        <v/>
      </c>
      <c r="E54" s="4" t="str">
        <f>IF($B54="","",IFERROR(INDEX(DQAF_Input!$J$2:$J$129,MATCH(53,DQAF_Input!$AG$2:$AG$129,0)),""))</f>
        <v/>
      </c>
      <c r="F54" s="4" t="str">
        <f>IF($B54="","",IFERROR(INDEX(DQAF_Input!$L$2:$L$129,MATCH(53,DQAF_Input!$AG$2:$AG$129,0)),""))</f>
        <v/>
      </c>
    </row>
    <row r="55" spans="1:6" x14ac:dyDescent="0.3">
      <c r="A55" s="12" t="str">
        <f>IF($B55="","",IFERROR(INDEX(DQAF_Input!$P$2:$P$129,MATCH(54,DQAF_Input!$AG$2:$AG$129,0)),""))</f>
        <v/>
      </c>
      <c r="B55" s="12" t="str">
        <f>IFERROR(INDEX(DQAF_Input!$E$2:$E$129,MATCH(54,DQAF_Input!$AG$2:$AG$129,0)),"")</f>
        <v/>
      </c>
      <c r="C55" s="4" t="str">
        <f>IF($B55="","",IF(IFERROR(VLOOKUP($B55,__rbp_p!$A:$B,2,FALSE),"")&lt;&gt;"",IFERROR(VLOOKUP($B55,__rbp_p!$A:$B,2,FALSE),""),IFERROR(INDEX(DQAF_Input!$F$2:$F$129,MATCH(54,DQAF_Input!$AG$2:$AG$129,0)),"")))</f>
        <v/>
      </c>
      <c r="D55" s="4" t="str">
        <f>IF($B55="","",IFERROR(INDEX(DQAF_Input!$H$2:$H$129,MATCH(54,DQAF_Input!$AG$2:$AG$129,0)),""))</f>
        <v/>
      </c>
      <c r="E55" s="4" t="str">
        <f>IF($B55="","",IFERROR(INDEX(DQAF_Input!$J$2:$J$129,MATCH(54,DQAF_Input!$AG$2:$AG$129,0)),""))</f>
        <v/>
      </c>
      <c r="F55" s="4" t="str">
        <f>IF($B55="","",IFERROR(INDEX(DQAF_Input!$L$2:$L$129,MATCH(54,DQAF_Input!$AG$2:$AG$129,0)),""))</f>
        <v/>
      </c>
    </row>
    <row r="56" spans="1:6" x14ac:dyDescent="0.3">
      <c r="A56" s="12" t="str">
        <f>IF($B56="","",IFERROR(INDEX(DQAF_Input!$P$2:$P$129,MATCH(55,DQAF_Input!$AG$2:$AG$129,0)),""))</f>
        <v/>
      </c>
      <c r="B56" s="12" t="str">
        <f>IFERROR(INDEX(DQAF_Input!$E$2:$E$129,MATCH(55,DQAF_Input!$AG$2:$AG$129,0)),"")</f>
        <v/>
      </c>
      <c r="C56" s="4" t="str">
        <f>IF($B56="","",IF(IFERROR(VLOOKUP($B56,__rbp_p!$A:$B,2,FALSE),"")&lt;&gt;"",IFERROR(VLOOKUP($B56,__rbp_p!$A:$B,2,FALSE),""),IFERROR(INDEX(DQAF_Input!$F$2:$F$129,MATCH(55,DQAF_Input!$AG$2:$AG$129,0)),"")))</f>
        <v/>
      </c>
      <c r="D56" s="4" t="str">
        <f>IF($B56="","",IFERROR(INDEX(DQAF_Input!$H$2:$H$129,MATCH(55,DQAF_Input!$AG$2:$AG$129,0)),""))</f>
        <v/>
      </c>
      <c r="E56" s="4" t="str">
        <f>IF($B56="","",IFERROR(INDEX(DQAF_Input!$J$2:$J$129,MATCH(55,DQAF_Input!$AG$2:$AG$129,0)),""))</f>
        <v/>
      </c>
      <c r="F56" s="4" t="str">
        <f>IF($B56="","",IFERROR(INDEX(DQAF_Input!$L$2:$L$129,MATCH(55,DQAF_Input!$AG$2:$AG$129,0)),""))</f>
        <v/>
      </c>
    </row>
    <row r="57" spans="1:6" x14ac:dyDescent="0.3">
      <c r="A57" s="12" t="str">
        <f>IF($B57="","",IFERROR(INDEX(DQAF_Input!$P$2:$P$129,MATCH(56,DQAF_Input!$AG$2:$AG$129,0)),""))</f>
        <v/>
      </c>
      <c r="B57" s="12" t="str">
        <f>IFERROR(INDEX(DQAF_Input!$E$2:$E$129,MATCH(56,DQAF_Input!$AG$2:$AG$129,0)),"")</f>
        <v/>
      </c>
      <c r="C57" s="4" t="str">
        <f>IF($B57="","",IF(IFERROR(VLOOKUP($B57,__rbp_p!$A:$B,2,FALSE),"")&lt;&gt;"",IFERROR(VLOOKUP($B57,__rbp_p!$A:$B,2,FALSE),""),IFERROR(INDEX(DQAF_Input!$F$2:$F$129,MATCH(56,DQAF_Input!$AG$2:$AG$129,0)),"")))</f>
        <v/>
      </c>
      <c r="D57" s="4" t="str">
        <f>IF($B57="","",IFERROR(INDEX(DQAF_Input!$H$2:$H$129,MATCH(56,DQAF_Input!$AG$2:$AG$129,0)),""))</f>
        <v/>
      </c>
      <c r="E57" s="4" t="str">
        <f>IF($B57="","",IFERROR(INDEX(DQAF_Input!$J$2:$J$129,MATCH(56,DQAF_Input!$AG$2:$AG$129,0)),""))</f>
        <v/>
      </c>
      <c r="F57" s="4" t="str">
        <f>IF($B57="","",IFERROR(INDEX(DQAF_Input!$L$2:$L$129,MATCH(56,DQAF_Input!$AG$2:$AG$129,0)),""))</f>
        <v/>
      </c>
    </row>
    <row r="58" spans="1:6" x14ac:dyDescent="0.3">
      <c r="A58" s="12" t="str">
        <f>IF($B58="","",IFERROR(INDEX(DQAF_Input!$P$2:$P$129,MATCH(57,DQAF_Input!$AG$2:$AG$129,0)),""))</f>
        <v/>
      </c>
      <c r="B58" s="12" t="str">
        <f>IFERROR(INDEX(DQAF_Input!$E$2:$E$129,MATCH(57,DQAF_Input!$AG$2:$AG$129,0)),"")</f>
        <v/>
      </c>
      <c r="C58" s="4" t="str">
        <f>IF($B58="","",IF(IFERROR(VLOOKUP($B58,__rbp_p!$A:$B,2,FALSE),"")&lt;&gt;"",IFERROR(VLOOKUP($B58,__rbp_p!$A:$B,2,FALSE),""),IFERROR(INDEX(DQAF_Input!$F$2:$F$129,MATCH(57,DQAF_Input!$AG$2:$AG$129,0)),"")))</f>
        <v/>
      </c>
      <c r="D58" s="4" t="str">
        <f>IF($B58="","",IFERROR(INDEX(DQAF_Input!$H$2:$H$129,MATCH(57,DQAF_Input!$AG$2:$AG$129,0)),""))</f>
        <v/>
      </c>
      <c r="E58" s="4" t="str">
        <f>IF($B58="","",IFERROR(INDEX(DQAF_Input!$J$2:$J$129,MATCH(57,DQAF_Input!$AG$2:$AG$129,0)),""))</f>
        <v/>
      </c>
      <c r="F58" s="4" t="str">
        <f>IF($B58="","",IFERROR(INDEX(DQAF_Input!$L$2:$L$129,MATCH(57,DQAF_Input!$AG$2:$AG$129,0)),""))</f>
        <v/>
      </c>
    </row>
    <row r="59" spans="1:6" x14ac:dyDescent="0.3">
      <c r="A59" s="12" t="str">
        <f>IF($B59="","",IFERROR(INDEX(DQAF_Input!$P$2:$P$129,MATCH(58,DQAF_Input!$AG$2:$AG$129,0)),""))</f>
        <v/>
      </c>
      <c r="B59" s="12" t="str">
        <f>IFERROR(INDEX(DQAF_Input!$E$2:$E$129,MATCH(58,DQAF_Input!$AG$2:$AG$129,0)),"")</f>
        <v/>
      </c>
      <c r="C59" s="4" t="str">
        <f>IF($B59="","",IF(IFERROR(VLOOKUP($B59,__rbp_p!$A:$B,2,FALSE),"")&lt;&gt;"",IFERROR(VLOOKUP($B59,__rbp_p!$A:$B,2,FALSE),""),IFERROR(INDEX(DQAF_Input!$F$2:$F$129,MATCH(58,DQAF_Input!$AG$2:$AG$129,0)),"")))</f>
        <v/>
      </c>
      <c r="D59" s="4" t="str">
        <f>IF($B59="","",IFERROR(INDEX(DQAF_Input!$H$2:$H$129,MATCH(58,DQAF_Input!$AG$2:$AG$129,0)),""))</f>
        <v/>
      </c>
      <c r="E59" s="4" t="str">
        <f>IF($B59="","",IFERROR(INDEX(DQAF_Input!$J$2:$J$129,MATCH(58,DQAF_Input!$AG$2:$AG$129,0)),""))</f>
        <v/>
      </c>
      <c r="F59" s="4" t="str">
        <f>IF($B59="","",IFERROR(INDEX(DQAF_Input!$L$2:$L$129,MATCH(58,DQAF_Input!$AG$2:$AG$129,0)),""))</f>
        <v/>
      </c>
    </row>
    <row r="60" spans="1:6" x14ac:dyDescent="0.3">
      <c r="A60" s="12" t="str">
        <f>IF($B60="","",IFERROR(INDEX(DQAF_Input!$P$2:$P$129,MATCH(59,DQAF_Input!$AG$2:$AG$129,0)),""))</f>
        <v/>
      </c>
      <c r="B60" s="12" t="str">
        <f>IFERROR(INDEX(DQAF_Input!$E$2:$E$129,MATCH(59,DQAF_Input!$AG$2:$AG$129,0)),"")</f>
        <v/>
      </c>
      <c r="C60" s="4" t="str">
        <f>IF($B60="","",IF(IFERROR(VLOOKUP($B60,__rbp_p!$A:$B,2,FALSE),"")&lt;&gt;"",IFERROR(VLOOKUP($B60,__rbp_p!$A:$B,2,FALSE),""),IFERROR(INDEX(DQAF_Input!$F$2:$F$129,MATCH(59,DQAF_Input!$AG$2:$AG$129,0)),"")))</f>
        <v/>
      </c>
      <c r="D60" s="4" t="str">
        <f>IF($B60="","",IFERROR(INDEX(DQAF_Input!$H$2:$H$129,MATCH(59,DQAF_Input!$AG$2:$AG$129,0)),""))</f>
        <v/>
      </c>
      <c r="E60" s="4" t="str">
        <f>IF($B60="","",IFERROR(INDEX(DQAF_Input!$J$2:$J$129,MATCH(59,DQAF_Input!$AG$2:$AG$129,0)),""))</f>
        <v/>
      </c>
      <c r="F60" s="4" t="str">
        <f>IF($B60="","",IFERROR(INDEX(DQAF_Input!$L$2:$L$129,MATCH(59,DQAF_Input!$AG$2:$AG$129,0)),""))</f>
        <v/>
      </c>
    </row>
    <row r="61" spans="1:6" x14ac:dyDescent="0.3">
      <c r="A61" s="12" t="str">
        <f>IF($B61="","",IFERROR(INDEX(DQAF_Input!$P$2:$P$129,MATCH(60,DQAF_Input!$AG$2:$AG$129,0)),""))</f>
        <v/>
      </c>
      <c r="B61" s="12" t="str">
        <f>IFERROR(INDEX(DQAF_Input!$E$2:$E$129,MATCH(60,DQAF_Input!$AG$2:$AG$129,0)),"")</f>
        <v/>
      </c>
      <c r="C61" s="4" t="str">
        <f>IF($B61="","",IF(IFERROR(VLOOKUP($B61,__rbp_p!$A:$B,2,FALSE),"")&lt;&gt;"",IFERROR(VLOOKUP($B61,__rbp_p!$A:$B,2,FALSE),""),IFERROR(INDEX(DQAF_Input!$F$2:$F$129,MATCH(60,DQAF_Input!$AG$2:$AG$129,0)),"")))</f>
        <v/>
      </c>
      <c r="D61" s="4" t="str">
        <f>IF($B61="","",IFERROR(INDEX(DQAF_Input!$H$2:$H$129,MATCH(60,DQAF_Input!$AG$2:$AG$129,0)),""))</f>
        <v/>
      </c>
      <c r="E61" s="4" t="str">
        <f>IF($B61="","",IFERROR(INDEX(DQAF_Input!$J$2:$J$129,MATCH(60,DQAF_Input!$AG$2:$AG$129,0)),""))</f>
        <v/>
      </c>
      <c r="F61" s="4" t="str">
        <f>IF($B61="","",IFERROR(INDEX(DQAF_Input!$L$2:$L$129,MATCH(60,DQAF_Input!$AG$2:$AG$129,0)),""))</f>
        <v/>
      </c>
    </row>
    <row r="62" spans="1:6" x14ac:dyDescent="0.3">
      <c r="A62" s="12" t="str">
        <f>IF($B62="","",IFERROR(INDEX(DQAF_Input!$P$2:$P$129,MATCH(61,DQAF_Input!$AG$2:$AG$129,0)),""))</f>
        <v/>
      </c>
      <c r="B62" s="12" t="str">
        <f>IFERROR(INDEX(DQAF_Input!$E$2:$E$129,MATCH(61,DQAF_Input!$AG$2:$AG$129,0)),"")</f>
        <v/>
      </c>
      <c r="C62" s="4" t="str">
        <f>IF($B62="","",IF(IFERROR(VLOOKUP($B62,__rbp_p!$A:$B,2,FALSE),"")&lt;&gt;"",IFERROR(VLOOKUP($B62,__rbp_p!$A:$B,2,FALSE),""),IFERROR(INDEX(DQAF_Input!$F$2:$F$129,MATCH(61,DQAF_Input!$AG$2:$AG$129,0)),"")))</f>
        <v/>
      </c>
      <c r="D62" s="4" t="str">
        <f>IF($B62="","",IFERROR(INDEX(DQAF_Input!$H$2:$H$129,MATCH(61,DQAF_Input!$AG$2:$AG$129,0)),""))</f>
        <v/>
      </c>
      <c r="E62" s="4" t="str">
        <f>IF($B62="","",IFERROR(INDEX(DQAF_Input!$J$2:$J$129,MATCH(61,DQAF_Input!$AG$2:$AG$129,0)),""))</f>
        <v/>
      </c>
      <c r="F62" s="4" t="str">
        <f>IF($B62="","",IFERROR(INDEX(DQAF_Input!$L$2:$L$129,MATCH(61,DQAF_Input!$AG$2:$AG$129,0)),""))</f>
        <v/>
      </c>
    </row>
    <row r="63" spans="1:6" x14ac:dyDescent="0.3">
      <c r="A63" s="12" t="str">
        <f>IF($B63="","",IFERROR(INDEX(DQAF_Input!$P$2:$P$129,MATCH(62,DQAF_Input!$AG$2:$AG$129,0)),""))</f>
        <v/>
      </c>
      <c r="B63" s="12" t="str">
        <f>IFERROR(INDEX(DQAF_Input!$E$2:$E$129,MATCH(62,DQAF_Input!$AG$2:$AG$129,0)),"")</f>
        <v/>
      </c>
      <c r="C63" s="4" t="str">
        <f>IF($B63="","",IF(IFERROR(VLOOKUP($B63,__rbp_p!$A:$B,2,FALSE),"")&lt;&gt;"",IFERROR(VLOOKUP($B63,__rbp_p!$A:$B,2,FALSE),""),IFERROR(INDEX(DQAF_Input!$F$2:$F$129,MATCH(62,DQAF_Input!$AG$2:$AG$129,0)),"")))</f>
        <v/>
      </c>
      <c r="D63" s="4" t="str">
        <f>IF($B63="","",IFERROR(INDEX(DQAF_Input!$H$2:$H$129,MATCH(62,DQAF_Input!$AG$2:$AG$129,0)),""))</f>
        <v/>
      </c>
      <c r="E63" s="4" t="str">
        <f>IF($B63="","",IFERROR(INDEX(DQAF_Input!$J$2:$J$129,MATCH(62,DQAF_Input!$AG$2:$AG$129,0)),""))</f>
        <v/>
      </c>
      <c r="F63" s="4" t="str">
        <f>IF($B63="","",IFERROR(INDEX(DQAF_Input!$L$2:$L$129,MATCH(62,DQAF_Input!$AG$2:$AG$129,0)),""))</f>
        <v/>
      </c>
    </row>
    <row r="64" spans="1:6" x14ac:dyDescent="0.3">
      <c r="A64" s="12" t="str">
        <f>IF($B64="","",IFERROR(INDEX(DQAF_Input!$P$2:$P$129,MATCH(63,DQAF_Input!$AG$2:$AG$129,0)),""))</f>
        <v/>
      </c>
      <c r="B64" s="12" t="str">
        <f>IFERROR(INDEX(DQAF_Input!$E$2:$E$129,MATCH(63,DQAF_Input!$AG$2:$AG$129,0)),"")</f>
        <v/>
      </c>
      <c r="C64" s="4" t="str">
        <f>IF($B64="","",IF(IFERROR(VLOOKUP($B64,__rbp_p!$A:$B,2,FALSE),"")&lt;&gt;"",IFERROR(VLOOKUP($B64,__rbp_p!$A:$B,2,FALSE),""),IFERROR(INDEX(DQAF_Input!$F$2:$F$129,MATCH(63,DQAF_Input!$AG$2:$AG$129,0)),"")))</f>
        <v/>
      </c>
      <c r="D64" s="4" t="str">
        <f>IF($B64="","",IFERROR(INDEX(DQAF_Input!$H$2:$H$129,MATCH(63,DQAF_Input!$AG$2:$AG$129,0)),""))</f>
        <v/>
      </c>
      <c r="E64" s="4" t="str">
        <f>IF($B64="","",IFERROR(INDEX(DQAF_Input!$J$2:$J$129,MATCH(63,DQAF_Input!$AG$2:$AG$129,0)),""))</f>
        <v/>
      </c>
      <c r="F64" s="4" t="str">
        <f>IF($B64="","",IFERROR(INDEX(DQAF_Input!$L$2:$L$129,MATCH(63,DQAF_Input!$AG$2:$AG$129,0)),""))</f>
        <v/>
      </c>
    </row>
    <row r="65" spans="1:6" x14ac:dyDescent="0.3">
      <c r="A65" s="12" t="str">
        <f>IF($B65="","",IFERROR(INDEX(DQAF_Input!$P$2:$P$129,MATCH(64,DQAF_Input!$AG$2:$AG$129,0)),""))</f>
        <v/>
      </c>
      <c r="B65" s="12" t="str">
        <f>IFERROR(INDEX(DQAF_Input!$E$2:$E$129,MATCH(64,DQAF_Input!$AG$2:$AG$129,0)),"")</f>
        <v/>
      </c>
      <c r="C65" s="4" t="str">
        <f>IF($B65="","",IF(IFERROR(VLOOKUP($B65,__rbp_p!$A:$B,2,FALSE),"")&lt;&gt;"",IFERROR(VLOOKUP($B65,__rbp_p!$A:$B,2,FALSE),""),IFERROR(INDEX(DQAF_Input!$F$2:$F$129,MATCH(64,DQAF_Input!$AG$2:$AG$129,0)),"")))</f>
        <v/>
      </c>
      <c r="D65" s="4" t="str">
        <f>IF($B65="","",IFERROR(INDEX(DQAF_Input!$H$2:$H$129,MATCH(64,DQAF_Input!$AG$2:$AG$129,0)),""))</f>
        <v/>
      </c>
      <c r="E65" s="4" t="str">
        <f>IF($B65="","",IFERROR(INDEX(DQAF_Input!$J$2:$J$129,MATCH(64,DQAF_Input!$AG$2:$AG$129,0)),""))</f>
        <v/>
      </c>
      <c r="F65" s="4" t="str">
        <f>IF($B65="","",IFERROR(INDEX(DQAF_Input!$L$2:$L$129,MATCH(64,DQAF_Input!$AG$2:$AG$129,0)),""))</f>
        <v/>
      </c>
    </row>
    <row r="66" spans="1:6" x14ac:dyDescent="0.3">
      <c r="A66" s="12" t="str">
        <f>IF($B66="","",IFERROR(INDEX(DQAF_Input!$P$2:$P$129,MATCH(65,DQAF_Input!$AG$2:$AG$129,0)),""))</f>
        <v/>
      </c>
      <c r="B66" s="12" t="str">
        <f>IFERROR(INDEX(DQAF_Input!$E$2:$E$129,MATCH(65,DQAF_Input!$AG$2:$AG$129,0)),"")</f>
        <v/>
      </c>
      <c r="C66" s="4" t="str">
        <f>IF($B66="","",IF(IFERROR(VLOOKUP($B66,__rbp_p!$A:$B,2,FALSE),"")&lt;&gt;"",IFERROR(VLOOKUP($B66,__rbp_p!$A:$B,2,FALSE),""),IFERROR(INDEX(DQAF_Input!$F$2:$F$129,MATCH(65,DQAF_Input!$AG$2:$AG$129,0)),"")))</f>
        <v/>
      </c>
      <c r="D66" s="4" t="str">
        <f>IF($B66="","",IFERROR(INDEX(DQAF_Input!$H$2:$H$129,MATCH(65,DQAF_Input!$AG$2:$AG$129,0)),""))</f>
        <v/>
      </c>
      <c r="E66" s="4" t="str">
        <f>IF($B66="","",IFERROR(INDEX(DQAF_Input!$J$2:$J$129,MATCH(65,DQAF_Input!$AG$2:$AG$129,0)),""))</f>
        <v/>
      </c>
      <c r="F66" s="4" t="str">
        <f>IF($B66="","",IFERROR(INDEX(DQAF_Input!$L$2:$L$129,MATCH(65,DQAF_Input!$AG$2:$AG$129,0)),""))</f>
        <v/>
      </c>
    </row>
    <row r="67" spans="1:6" x14ac:dyDescent="0.3">
      <c r="A67" s="12" t="str">
        <f>IF($B67="","",IFERROR(INDEX(DQAF_Input!$P$2:$P$129,MATCH(66,DQAF_Input!$AG$2:$AG$129,0)),""))</f>
        <v/>
      </c>
      <c r="B67" s="12" t="str">
        <f>IFERROR(INDEX(DQAF_Input!$E$2:$E$129,MATCH(66,DQAF_Input!$AG$2:$AG$129,0)),"")</f>
        <v/>
      </c>
      <c r="C67" s="4" t="str">
        <f>IF($B67="","",IF(IFERROR(VLOOKUP($B67,__rbp_p!$A:$B,2,FALSE),"")&lt;&gt;"",IFERROR(VLOOKUP($B67,__rbp_p!$A:$B,2,FALSE),""),IFERROR(INDEX(DQAF_Input!$F$2:$F$129,MATCH(66,DQAF_Input!$AG$2:$AG$129,0)),"")))</f>
        <v/>
      </c>
      <c r="D67" s="4" t="str">
        <f>IF($B67="","",IFERROR(INDEX(DQAF_Input!$H$2:$H$129,MATCH(66,DQAF_Input!$AG$2:$AG$129,0)),""))</f>
        <v/>
      </c>
      <c r="E67" s="4" t="str">
        <f>IF($B67="","",IFERROR(INDEX(DQAF_Input!$J$2:$J$129,MATCH(66,DQAF_Input!$AG$2:$AG$129,0)),""))</f>
        <v/>
      </c>
      <c r="F67" s="4" t="str">
        <f>IF($B67="","",IFERROR(INDEX(DQAF_Input!$L$2:$L$129,MATCH(66,DQAF_Input!$AG$2:$AG$129,0)),""))</f>
        <v/>
      </c>
    </row>
    <row r="68" spans="1:6" x14ac:dyDescent="0.3">
      <c r="A68" s="12" t="str">
        <f>IF($B68="","",IFERROR(INDEX(DQAF_Input!$P$2:$P$129,MATCH(67,DQAF_Input!$AG$2:$AG$129,0)),""))</f>
        <v/>
      </c>
      <c r="B68" s="12" t="str">
        <f>IFERROR(INDEX(DQAF_Input!$E$2:$E$129,MATCH(67,DQAF_Input!$AG$2:$AG$129,0)),"")</f>
        <v/>
      </c>
      <c r="C68" s="4" t="str">
        <f>IF($B68="","",IF(IFERROR(VLOOKUP($B68,__rbp_p!$A:$B,2,FALSE),"")&lt;&gt;"",IFERROR(VLOOKUP($B68,__rbp_p!$A:$B,2,FALSE),""),IFERROR(INDEX(DQAF_Input!$F$2:$F$129,MATCH(67,DQAF_Input!$AG$2:$AG$129,0)),"")))</f>
        <v/>
      </c>
      <c r="D68" s="4" t="str">
        <f>IF($B68="","",IFERROR(INDEX(DQAF_Input!$H$2:$H$129,MATCH(67,DQAF_Input!$AG$2:$AG$129,0)),""))</f>
        <v/>
      </c>
      <c r="E68" s="4" t="str">
        <f>IF($B68="","",IFERROR(INDEX(DQAF_Input!$J$2:$J$129,MATCH(67,DQAF_Input!$AG$2:$AG$129,0)),""))</f>
        <v/>
      </c>
      <c r="F68" s="4" t="str">
        <f>IF($B68="","",IFERROR(INDEX(DQAF_Input!$L$2:$L$129,MATCH(67,DQAF_Input!$AG$2:$AG$129,0)),""))</f>
        <v/>
      </c>
    </row>
    <row r="69" spans="1:6" x14ac:dyDescent="0.3">
      <c r="A69" s="12" t="str">
        <f>IF($B69="","",IFERROR(INDEX(DQAF_Input!$P$2:$P$129,MATCH(68,DQAF_Input!$AG$2:$AG$129,0)),""))</f>
        <v/>
      </c>
      <c r="B69" s="12" t="str">
        <f>IFERROR(INDEX(DQAF_Input!$E$2:$E$129,MATCH(68,DQAF_Input!$AG$2:$AG$129,0)),"")</f>
        <v/>
      </c>
      <c r="C69" s="4" t="str">
        <f>IF($B69="","",IF(IFERROR(VLOOKUP($B69,__rbp_p!$A:$B,2,FALSE),"")&lt;&gt;"",IFERROR(VLOOKUP($B69,__rbp_p!$A:$B,2,FALSE),""),IFERROR(INDEX(DQAF_Input!$F$2:$F$129,MATCH(68,DQAF_Input!$AG$2:$AG$129,0)),"")))</f>
        <v/>
      </c>
      <c r="D69" s="4" t="str">
        <f>IF($B69="","",IFERROR(INDEX(DQAF_Input!$H$2:$H$129,MATCH(68,DQAF_Input!$AG$2:$AG$129,0)),""))</f>
        <v/>
      </c>
      <c r="E69" s="4" t="str">
        <f>IF($B69="","",IFERROR(INDEX(DQAF_Input!$J$2:$J$129,MATCH(68,DQAF_Input!$AG$2:$AG$129,0)),""))</f>
        <v/>
      </c>
      <c r="F69" s="4" t="str">
        <f>IF($B69="","",IFERROR(INDEX(DQAF_Input!$L$2:$L$129,MATCH(68,DQAF_Input!$AG$2:$AG$129,0)),""))</f>
        <v/>
      </c>
    </row>
    <row r="70" spans="1:6" x14ac:dyDescent="0.3">
      <c r="A70" s="12" t="str">
        <f>IF($B70="","",IFERROR(INDEX(DQAF_Input!$P$2:$P$129,MATCH(69,DQAF_Input!$AG$2:$AG$129,0)),""))</f>
        <v/>
      </c>
      <c r="B70" s="12" t="str">
        <f>IFERROR(INDEX(DQAF_Input!$E$2:$E$129,MATCH(69,DQAF_Input!$AG$2:$AG$129,0)),"")</f>
        <v/>
      </c>
      <c r="C70" s="4" t="str">
        <f>IF($B70="","",IF(IFERROR(VLOOKUP($B70,__rbp_p!$A:$B,2,FALSE),"")&lt;&gt;"",IFERROR(VLOOKUP($B70,__rbp_p!$A:$B,2,FALSE),""),IFERROR(INDEX(DQAF_Input!$F$2:$F$129,MATCH(69,DQAF_Input!$AG$2:$AG$129,0)),"")))</f>
        <v/>
      </c>
      <c r="D70" s="4" t="str">
        <f>IF($B70="","",IFERROR(INDEX(DQAF_Input!$H$2:$H$129,MATCH(69,DQAF_Input!$AG$2:$AG$129,0)),""))</f>
        <v/>
      </c>
      <c r="E70" s="4" t="str">
        <f>IF($B70="","",IFERROR(INDEX(DQAF_Input!$J$2:$J$129,MATCH(69,DQAF_Input!$AG$2:$AG$129,0)),""))</f>
        <v/>
      </c>
      <c r="F70" s="4" t="str">
        <f>IF($B70="","",IFERROR(INDEX(DQAF_Input!$L$2:$L$129,MATCH(69,DQAF_Input!$AG$2:$AG$129,0)),""))</f>
        <v/>
      </c>
    </row>
    <row r="71" spans="1:6" x14ac:dyDescent="0.3">
      <c r="A71" s="12" t="str">
        <f>IF($B71="","",IFERROR(INDEX(DQAF_Input!$P$2:$P$129,MATCH(70,DQAF_Input!$AG$2:$AG$129,0)),""))</f>
        <v/>
      </c>
      <c r="B71" s="12" t="str">
        <f>IFERROR(INDEX(DQAF_Input!$E$2:$E$129,MATCH(70,DQAF_Input!$AG$2:$AG$129,0)),"")</f>
        <v/>
      </c>
      <c r="C71" s="4" t="str">
        <f>IF($B71="","",IF(IFERROR(VLOOKUP($B71,__rbp_p!$A:$B,2,FALSE),"")&lt;&gt;"",IFERROR(VLOOKUP($B71,__rbp_p!$A:$B,2,FALSE),""),IFERROR(INDEX(DQAF_Input!$F$2:$F$129,MATCH(70,DQAF_Input!$AG$2:$AG$129,0)),"")))</f>
        <v/>
      </c>
      <c r="D71" s="4" t="str">
        <f>IF($B71="","",IFERROR(INDEX(DQAF_Input!$H$2:$H$129,MATCH(70,DQAF_Input!$AG$2:$AG$129,0)),""))</f>
        <v/>
      </c>
      <c r="E71" s="4" t="str">
        <f>IF($B71="","",IFERROR(INDEX(DQAF_Input!$J$2:$J$129,MATCH(70,DQAF_Input!$AG$2:$AG$129,0)),""))</f>
        <v/>
      </c>
      <c r="F71" s="4" t="str">
        <f>IF($B71="","",IFERROR(INDEX(DQAF_Input!$L$2:$L$129,MATCH(70,DQAF_Input!$AG$2:$AG$129,0)),""))</f>
        <v/>
      </c>
    </row>
    <row r="72" spans="1:6" x14ac:dyDescent="0.3">
      <c r="A72" s="12" t="str">
        <f>IF($B72="","",IFERROR(INDEX(DQAF_Input!$P$2:$P$129,MATCH(71,DQAF_Input!$AG$2:$AG$129,0)),""))</f>
        <v/>
      </c>
      <c r="B72" s="12" t="str">
        <f>IFERROR(INDEX(DQAF_Input!$E$2:$E$129,MATCH(71,DQAF_Input!$AG$2:$AG$129,0)),"")</f>
        <v/>
      </c>
      <c r="C72" s="4" t="str">
        <f>IF($B72="","",IF(IFERROR(VLOOKUP($B72,__rbp_p!$A:$B,2,FALSE),"")&lt;&gt;"",IFERROR(VLOOKUP($B72,__rbp_p!$A:$B,2,FALSE),""),IFERROR(INDEX(DQAF_Input!$F$2:$F$129,MATCH(71,DQAF_Input!$AG$2:$AG$129,0)),"")))</f>
        <v/>
      </c>
      <c r="D72" s="4" t="str">
        <f>IF($B72="","",IFERROR(INDEX(DQAF_Input!$H$2:$H$129,MATCH(71,DQAF_Input!$AG$2:$AG$129,0)),""))</f>
        <v/>
      </c>
      <c r="E72" s="4" t="str">
        <f>IF($B72="","",IFERROR(INDEX(DQAF_Input!$J$2:$J$129,MATCH(71,DQAF_Input!$AG$2:$AG$129,0)),""))</f>
        <v/>
      </c>
      <c r="F72" s="4" t="str">
        <f>IF($B72="","",IFERROR(INDEX(DQAF_Input!$L$2:$L$129,MATCH(71,DQAF_Input!$AG$2:$AG$129,0)),""))</f>
        <v/>
      </c>
    </row>
    <row r="73" spans="1:6" x14ac:dyDescent="0.3">
      <c r="A73" s="12" t="str">
        <f>IF($B73="","",IFERROR(INDEX(DQAF_Input!$P$2:$P$129,MATCH(72,DQAF_Input!$AG$2:$AG$129,0)),""))</f>
        <v/>
      </c>
      <c r="B73" s="12" t="str">
        <f>IFERROR(INDEX(DQAF_Input!$E$2:$E$129,MATCH(72,DQAF_Input!$AG$2:$AG$129,0)),"")</f>
        <v/>
      </c>
      <c r="C73" s="4" t="str">
        <f>IF($B73="","",IF(IFERROR(VLOOKUP($B73,__rbp_p!$A:$B,2,FALSE),"")&lt;&gt;"",IFERROR(VLOOKUP($B73,__rbp_p!$A:$B,2,FALSE),""),IFERROR(INDEX(DQAF_Input!$F$2:$F$129,MATCH(72,DQAF_Input!$AG$2:$AG$129,0)),"")))</f>
        <v/>
      </c>
      <c r="D73" s="4" t="str">
        <f>IF($B73="","",IFERROR(INDEX(DQAF_Input!$H$2:$H$129,MATCH(72,DQAF_Input!$AG$2:$AG$129,0)),""))</f>
        <v/>
      </c>
      <c r="E73" s="4" t="str">
        <f>IF($B73="","",IFERROR(INDEX(DQAF_Input!$J$2:$J$129,MATCH(72,DQAF_Input!$AG$2:$AG$129,0)),""))</f>
        <v/>
      </c>
      <c r="F73" s="4" t="str">
        <f>IF($B73="","",IFERROR(INDEX(DQAF_Input!$L$2:$L$129,MATCH(72,DQAF_Input!$AG$2:$AG$129,0)),""))</f>
        <v/>
      </c>
    </row>
    <row r="74" spans="1:6" x14ac:dyDescent="0.3">
      <c r="A74" s="12" t="str">
        <f>IF($B74="","",IFERROR(INDEX(DQAF_Input!$P$2:$P$129,MATCH(73,DQAF_Input!$AG$2:$AG$129,0)),""))</f>
        <v/>
      </c>
      <c r="B74" s="12" t="str">
        <f>IFERROR(INDEX(DQAF_Input!$E$2:$E$129,MATCH(73,DQAF_Input!$AG$2:$AG$129,0)),"")</f>
        <v/>
      </c>
      <c r="C74" s="4" t="str">
        <f>IF($B74="","",IF(IFERROR(VLOOKUP($B74,__rbp_p!$A:$B,2,FALSE),"")&lt;&gt;"",IFERROR(VLOOKUP($B74,__rbp_p!$A:$B,2,FALSE),""),IFERROR(INDEX(DQAF_Input!$F$2:$F$129,MATCH(73,DQAF_Input!$AG$2:$AG$129,0)),"")))</f>
        <v/>
      </c>
      <c r="D74" s="4" t="str">
        <f>IF($B74="","",IFERROR(INDEX(DQAF_Input!$H$2:$H$129,MATCH(73,DQAF_Input!$AG$2:$AG$129,0)),""))</f>
        <v/>
      </c>
      <c r="E74" s="4" t="str">
        <f>IF($B74="","",IFERROR(INDEX(DQAF_Input!$J$2:$J$129,MATCH(73,DQAF_Input!$AG$2:$AG$129,0)),""))</f>
        <v/>
      </c>
      <c r="F74" s="4" t="str">
        <f>IF($B74="","",IFERROR(INDEX(DQAF_Input!$L$2:$L$129,MATCH(73,DQAF_Input!$AG$2:$AG$129,0)),""))</f>
        <v/>
      </c>
    </row>
    <row r="75" spans="1:6" x14ac:dyDescent="0.3">
      <c r="A75" s="12" t="str">
        <f>IF($B75="","",IFERROR(INDEX(DQAF_Input!$P$2:$P$129,MATCH(74,DQAF_Input!$AG$2:$AG$129,0)),""))</f>
        <v/>
      </c>
      <c r="B75" s="12" t="str">
        <f>IFERROR(INDEX(DQAF_Input!$E$2:$E$129,MATCH(74,DQAF_Input!$AG$2:$AG$129,0)),"")</f>
        <v/>
      </c>
      <c r="C75" s="4" t="str">
        <f>IF($B75="","",IF(IFERROR(VLOOKUP($B75,__rbp_p!$A:$B,2,FALSE),"")&lt;&gt;"",IFERROR(VLOOKUP($B75,__rbp_p!$A:$B,2,FALSE),""),IFERROR(INDEX(DQAF_Input!$F$2:$F$129,MATCH(74,DQAF_Input!$AG$2:$AG$129,0)),"")))</f>
        <v/>
      </c>
      <c r="D75" s="4" t="str">
        <f>IF($B75="","",IFERROR(INDEX(DQAF_Input!$H$2:$H$129,MATCH(74,DQAF_Input!$AG$2:$AG$129,0)),""))</f>
        <v/>
      </c>
      <c r="E75" s="4" t="str">
        <f>IF($B75="","",IFERROR(INDEX(DQAF_Input!$J$2:$J$129,MATCH(74,DQAF_Input!$AG$2:$AG$129,0)),""))</f>
        <v/>
      </c>
      <c r="F75" s="4" t="str">
        <f>IF($B75="","",IFERROR(INDEX(DQAF_Input!$L$2:$L$129,MATCH(74,DQAF_Input!$AG$2:$AG$129,0)),""))</f>
        <v/>
      </c>
    </row>
    <row r="76" spans="1:6" x14ac:dyDescent="0.3">
      <c r="A76" s="12" t="str">
        <f>IF($B76="","",IFERROR(INDEX(DQAF_Input!$P$2:$P$129,MATCH(75,DQAF_Input!$AG$2:$AG$129,0)),""))</f>
        <v/>
      </c>
      <c r="B76" s="12" t="str">
        <f>IFERROR(INDEX(DQAF_Input!$E$2:$E$129,MATCH(75,DQAF_Input!$AG$2:$AG$129,0)),"")</f>
        <v/>
      </c>
      <c r="C76" s="4" t="str">
        <f>IF($B76="","",IF(IFERROR(VLOOKUP($B76,__rbp_p!$A:$B,2,FALSE),"")&lt;&gt;"",IFERROR(VLOOKUP($B76,__rbp_p!$A:$B,2,FALSE),""),IFERROR(INDEX(DQAF_Input!$F$2:$F$129,MATCH(75,DQAF_Input!$AG$2:$AG$129,0)),"")))</f>
        <v/>
      </c>
      <c r="D76" s="4" t="str">
        <f>IF($B76="","",IFERROR(INDEX(DQAF_Input!$H$2:$H$129,MATCH(75,DQAF_Input!$AG$2:$AG$129,0)),""))</f>
        <v/>
      </c>
      <c r="E76" s="4" t="str">
        <f>IF($B76="","",IFERROR(INDEX(DQAF_Input!$J$2:$J$129,MATCH(75,DQAF_Input!$AG$2:$AG$129,0)),""))</f>
        <v/>
      </c>
      <c r="F76" s="4" t="str">
        <f>IF($B76="","",IFERROR(INDEX(DQAF_Input!$L$2:$L$129,MATCH(75,DQAF_Input!$AG$2:$AG$129,0)),""))</f>
        <v/>
      </c>
    </row>
    <row r="77" spans="1:6" x14ac:dyDescent="0.3">
      <c r="A77" s="12" t="str">
        <f>IF($B77="","",IFERROR(INDEX(DQAF_Input!$P$2:$P$129,MATCH(76,DQAF_Input!$AG$2:$AG$129,0)),""))</f>
        <v/>
      </c>
      <c r="B77" s="12" t="str">
        <f>IFERROR(INDEX(DQAF_Input!$E$2:$E$129,MATCH(76,DQAF_Input!$AG$2:$AG$129,0)),"")</f>
        <v/>
      </c>
      <c r="C77" s="4" t="str">
        <f>IF($B77="","",IF(IFERROR(VLOOKUP($B77,__rbp_p!$A:$B,2,FALSE),"")&lt;&gt;"",IFERROR(VLOOKUP($B77,__rbp_p!$A:$B,2,FALSE),""),IFERROR(INDEX(DQAF_Input!$F$2:$F$129,MATCH(76,DQAF_Input!$AG$2:$AG$129,0)),"")))</f>
        <v/>
      </c>
      <c r="D77" s="4" t="str">
        <f>IF($B77="","",IFERROR(INDEX(DQAF_Input!$H$2:$H$129,MATCH(76,DQAF_Input!$AG$2:$AG$129,0)),""))</f>
        <v/>
      </c>
      <c r="E77" s="4" t="str">
        <f>IF($B77="","",IFERROR(INDEX(DQAF_Input!$J$2:$J$129,MATCH(76,DQAF_Input!$AG$2:$AG$129,0)),""))</f>
        <v/>
      </c>
      <c r="F77" s="4" t="str">
        <f>IF($B77="","",IFERROR(INDEX(DQAF_Input!$L$2:$L$129,MATCH(76,DQAF_Input!$AG$2:$AG$129,0)),""))</f>
        <v/>
      </c>
    </row>
    <row r="78" spans="1:6" x14ac:dyDescent="0.3">
      <c r="A78" s="12" t="str">
        <f>IF($B78="","",IFERROR(INDEX(DQAF_Input!$P$2:$P$129,MATCH(77,DQAF_Input!$AG$2:$AG$129,0)),""))</f>
        <v/>
      </c>
      <c r="B78" s="12" t="str">
        <f>IFERROR(INDEX(DQAF_Input!$E$2:$E$129,MATCH(77,DQAF_Input!$AG$2:$AG$129,0)),"")</f>
        <v/>
      </c>
      <c r="C78" s="4" t="str">
        <f>IF($B78="","",IF(IFERROR(VLOOKUP($B78,__rbp_p!$A:$B,2,FALSE),"")&lt;&gt;"",IFERROR(VLOOKUP($B78,__rbp_p!$A:$B,2,FALSE),""),IFERROR(INDEX(DQAF_Input!$F$2:$F$129,MATCH(77,DQAF_Input!$AG$2:$AG$129,0)),"")))</f>
        <v/>
      </c>
      <c r="D78" s="4" t="str">
        <f>IF($B78="","",IFERROR(INDEX(DQAF_Input!$H$2:$H$129,MATCH(77,DQAF_Input!$AG$2:$AG$129,0)),""))</f>
        <v/>
      </c>
      <c r="E78" s="4" t="str">
        <f>IF($B78="","",IFERROR(INDEX(DQAF_Input!$J$2:$J$129,MATCH(77,DQAF_Input!$AG$2:$AG$129,0)),""))</f>
        <v/>
      </c>
      <c r="F78" s="4" t="str">
        <f>IF($B78="","",IFERROR(INDEX(DQAF_Input!$L$2:$L$129,MATCH(77,DQAF_Input!$AG$2:$AG$129,0)),""))</f>
        <v/>
      </c>
    </row>
    <row r="79" spans="1:6" x14ac:dyDescent="0.3">
      <c r="A79" s="12" t="str">
        <f>IF($B79="","",IFERROR(INDEX(DQAF_Input!$P$2:$P$129,MATCH(78,DQAF_Input!$AG$2:$AG$129,0)),""))</f>
        <v/>
      </c>
      <c r="B79" s="12" t="str">
        <f>IFERROR(INDEX(DQAF_Input!$E$2:$E$129,MATCH(78,DQAF_Input!$AG$2:$AG$129,0)),"")</f>
        <v/>
      </c>
      <c r="C79" s="4" t="str">
        <f>IF($B79="","",IF(IFERROR(VLOOKUP($B79,__rbp_p!$A:$B,2,FALSE),"")&lt;&gt;"",IFERROR(VLOOKUP($B79,__rbp_p!$A:$B,2,FALSE),""),IFERROR(INDEX(DQAF_Input!$F$2:$F$129,MATCH(78,DQAF_Input!$AG$2:$AG$129,0)),"")))</f>
        <v/>
      </c>
      <c r="D79" s="4" t="str">
        <f>IF($B79="","",IFERROR(INDEX(DQAF_Input!$H$2:$H$129,MATCH(78,DQAF_Input!$AG$2:$AG$129,0)),""))</f>
        <v/>
      </c>
      <c r="E79" s="4" t="str">
        <f>IF($B79="","",IFERROR(INDEX(DQAF_Input!$J$2:$J$129,MATCH(78,DQAF_Input!$AG$2:$AG$129,0)),""))</f>
        <v/>
      </c>
      <c r="F79" s="4" t="str">
        <f>IF($B79="","",IFERROR(INDEX(DQAF_Input!$L$2:$L$129,MATCH(78,DQAF_Input!$AG$2:$AG$129,0)),""))</f>
        <v/>
      </c>
    </row>
    <row r="80" spans="1:6" x14ac:dyDescent="0.3">
      <c r="A80" s="12" t="str">
        <f>IF($B80="","",IFERROR(INDEX(DQAF_Input!$P$2:$P$129,MATCH(79,DQAF_Input!$AG$2:$AG$129,0)),""))</f>
        <v/>
      </c>
      <c r="B80" s="12" t="str">
        <f>IFERROR(INDEX(DQAF_Input!$E$2:$E$129,MATCH(79,DQAF_Input!$AG$2:$AG$129,0)),"")</f>
        <v/>
      </c>
      <c r="C80" s="4" t="str">
        <f>IF($B80="","",IF(IFERROR(VLOOKUP($B80,__rbp_p!$A:$B,2,FALSE),"")&lt;&gt;"",IFERROR(VLOOKUP($B80,__rbp_p!$A:$B,2,FALSE),""),IFERROR(INDEX(DQAF_Input!$F$2:$F$129,MATCH(79,DQAF_Input!$AG$2:$AG$129,0)),"")))</f>
        <v/>
      </c>
      <c r="D80" s="4" t="str">
        <f>IF($B80="","",IFERROR(INDEX(DQAF_Input!$H$2:$H$129,MATCH(79,DQAF_Input!$AG$2:$AG$129,0)),""))</f>
        <v/>
      </c>
      <c r="E80" s="4" t="str">
        <f>IF($B80="","",IFERROR(INDEX(DQAF_Input!$J$2:$J$129,MATCH(79,DQAF_Input!$AG$2:$AG$129,0)),""))</f>
        <v/>
      </c>
      <c r="F80" s="4" t="str">
        <f>IF($B80="","",IFERROR(INDEX(DQAF_Input!$L$2:$L$129,MATCH(79,DQAF_Input!$AG$2:$AG$129,0)),""))</f>
        <v/>
      </c>
    </row>
    <row r="81" spans="1:6" x14ac:dyDescent="0.3">
      <c r="A81" s="12" t="str">
        <f>IF($B81="","",IFERROR(INDEX(DQAF_Input!$P$2:$P$129,MATCH(80,DQAF_Input!$AG$2:$AG$129,0)),""))</f>
        <v/>
      </c>
      <c r="B81" s="12" t="str">
        <f>IFERROR(INDEX(DQAF_Input!$E$2:$E$129,MATCH(80,DQAF_Input!$AG$2:$AG$129,0)),"")</f>
        <v/>
      </c>
      <c r="C81" s="4" t="str">
        <f>IF($B81="","",IF(IFERROR(VLOOKUP($B81,__rbp_p!$A:$B,2,FALSE),"")&lt;&gt;"",IFERROR(VLOOKUP($B81,__rbp_p!$A:$B,2,FALSE),""),IFERROR(INDEX(DQAF_Input!$F$2:$F$129,MATCH(80,DQAF_Input!$AG$2:$AG$129,0)),"")))</f>
        <v/>
      </c>
      <c r="D81" s="4" t="str">
        <f>IF($B81="","",IFERROR(INDEX(DQAF_Input!$H$2:$H$129,MATCH(80,DQAF_Input!$AG$2:$AG$129,0)),""))</f>
        <v/>
      </c>
      <c r="E81" s="4" t="str">
        <f>IF($B81="","",IFERROR(INDEX(DQAF_Input!$J$2:$J$129,MATCH(80,DQAF_Input!$AG$2:$AG$129,0)),""))</f>
        <v/>
      </c>
      <c r="F81" s="4" t="str">
        <f>IF($B81="","",IFERROR(INDEX(DQAF_Input!$L$2:$L$129,MATCH(80,DQAF_Input!$AG$2:$AG$129,0)),""))</f>
        <v/>
      </c>
    </row>
    <row r="82" spans="1:6" x14ac:dyDescent="0.3">
      <c r="A82" s="12" t="str">
        <f>IF($B82="","",IFERROR(INDEX(DQAF_Input!$P$2:$P$129,MATCH(81,DQAF_Input!$AG$2:$AG$129,0)),""))</f>
        <v/>
      </c>
      <c r="B82" s="12" t="str">
        <f>IFERROR(INDEX(DQAF_Input!$E$2:$E$129,MATCH(81,DQAF_Input!$AG$2:$AG$129,0)),"")</f>
        <v/>
      </c>
      <c r="C82" s="4" t="str">
        <f>IF($B82="","",IF(IFERROR(VLOOKUP($B82,__rbp_p!$A:$B,2,FALSE),"")&lt;&gt;"",IFERROR(VLOOKUP($B82,__rbp_p!$A:$B,2,FALSE),""),IFERROR(INDEX(DQAF_Input!$F$2:$F$129,MATCH(81,DQAF_Input!$AG$2:$AG$129,0)),"")))</f>
        <v/>
      </c>
      <c r="D82" s="4" t="str">
        <f>IF($B82="","",IFERROR(INDEX(DQAF_Input!$H$2:$H$129,MATCH(81,DQAF_Input!$AG$2:$AG$129,0)),""))</f>
        <v/>
      </c>
      <c r="E82" s="4" t="str">
        <f>IF($B82="","",IFERROR(INDEX(DQAF_Input!$J$2:$J$129,MATCH(81,DQAF_Input!$AG$2:$AG$129,0)),""))</f>
        <v/>
      </c>
      <c r="F82" s="4" t="str">
        <f>IF($B82="","",IFERROR(INDEX(DQAF_Input!$L$2:$L$129,MATCH(81,DQAF_Input!$AG$2:$AG$129,0)),""))</f>
        <v/>
      </c>
    </row>
    <row r="83" spans="1:6" x14ac:dyDescent="0.3">
      <c r="A83" s="12" t="str">
        <f>IF($B83="","",IFERROR(INDEX(DQAF_Input!$P$2:$P$129,MATCH(82,DQAF_Input!$AG$2:$AG$129,0)),""))</f>
        <v/>
      </c>
      <c r="B83" s="12" t="str">
        <f>IFERROR(INDEX(DQAF_Input!$E$2:$E$129,MATCH(82,DQAF_Input!$AG$2:$AG$129,0)),"")</f>
        <v/>
      </c>
      <c r="C83" s="4" t="str">
        <f>IF($B83="","",IF(IFERROR(VLOOKUP($B83,__rbp_p!$A:$B,2,FALSE),"")&lt;&gt;"",IFERROR(VLOOKUP($B83,__rbp_p!$A:$B,2,FALSE),""),IFERROR(INDEX(DQAF_Input!$F$2:$F$129,MATCH(82,DQAF_Input!$AG$2:$AG$129,0)),"")))</f>
        <v/>
      </c>
      <c r="D83" s="4" t="str">
        <f>IF($B83="","",IFERROR(INDEX(DQAF_Input!$H$2:$H$129,MATCH(82,DQAF_Input!$AG$2:$AG$129,0)),""))</f>
        <v/>
      </c>
      <c r="E83" s="4" t="str">
        <f>IF($B83="","",IFERROR(INDEX(DQAF_Input!$J$2:$J$129,MATCH(82,DQAF_Input!$AG$2:$AG$129,0)),""))</f>
        <v/>
      </c>
      <c r="F83" s="4" t="str">
        <f>IF($B83="","",IFERROR(INDEX(DQAF_Input!$L$2:$L$129,MATCH(82,DQAF_Input!$AG$2:$AG$129,0)),""))</f>
        <v/>
      </c>
    </row>
    <row r="84" spans="1:6" x14ac:dyDescent="0.3">
      <c r="A84" s="12" t="str">
        <f>IF($B84="","",IFERROR(INDEX(DQAF_Input!$P$2:$P$129,MATCH(83,DQAF_Input!$AG$2:$AG$129,0)),""))</f>
        <v/>
      </c>
      <c r="B84" s="12" t="str">
        <f>IFERROR(INDEX(DQAF_Input!$E$2:$E$129,MATCH(83,DQAF_Input!$AG$2:$AG$129,0)),"")</f>
        <v/>
      </c>
      <c r="C84" s="4" t="str">
        <f>IF($B84="","",IF(IFERROR(VLOOKUP($B84,__rbp_p!$A:$B,2,FALSE),"")&lt;&gt;"",IFERROR(VLOOKUP($B84,__rbp_p!$A:$B,2,FALSE),""),IFERROR(INDEX(DQAF_Input!$F$2:$F$129,MATCH(83,DQAF_Input!$AG$2:$AG$129,0)),"")))</f>
        <v/>
      </c>
      <c r="D84" s="4" t="str">
        <f>IF($B84="","",IFERROR(INDEX(DQAF_Input!$H$2:$H$129,MATCH(83,DQAF_Input!$AG$2:$AG$129,0)),""))</f>
        <v/>
      </c>
      <c r="E84" s="4" t="str">
        <f>IF($B84="","",IFERROR(INDEX(DQAF_Input!$J$2:$J$129,MATCH(83,DQAF_Input!$AG$2:$AG$129,0)),""))</f>
        <v/>
      </c>
      <c r="F84" s="4" t="str">
        <f>IF($B84="","",IFERROR(INDEX(DQAF_Input!$L$2:$L$129,MATCH(83,DQAF_Input!$AG$2:$AG$129,0)),""))</f>
        <v/>
      </c>
    </row>
    <row r="85" spans="1:6" x14ac:dyDescent="0.3">
      <c r="A85" s="12" t="str">
        <f>IF($B85="","",IFERROR(INDEX(DQAF_Input!$P$2:$P$129,MATCH(84,DQAF_Input!$AG$2:$AG$129,0)),""))</f>
        <v/>
      </c>
      <c r="B85" s="12" t="str">
        <f>IFERROR(INDEX(DQAF_Input!$E$2:$E$129,MATCH(84,DQAF_Input!$AG$2:$AG$129,0)),"")</f>
        <v/>
      </c>
      <c r="C85" s="4" t="str">
        <f>IF($B85="","",IF(IFERROR(VLOOKUP($B85,__rbp_p!$A:$B,2,FALSE),"")&lt;&gt;"",IFERROR(VLOOKUP($B85,__rbp_p!$A:$B,2,FALSE),""),IFERROR(INDEX(DQAF_Input!$F$2:$F$129,MATCH(84,DQAF_Input!$AG$2:$AG$129,0)),"")))</f>
        <v/>
      </c>
      <c r="D85" s="4" t="str">
        <f>IF($B85="","",IFERROR(INDEX(DQAF_Input!$H$2:$H$129,MATCH(84,DQAF_Input!$AG$2:$AG$129,0)),""))</f>
        <v/>
      </c>
      <c r="E85" s="4" t="str">
        <f>IF($B85="","",IFERROR(INDEX(DQAF_Input!$J$2:$J$129,MATCH(84,DQAF_Input!$AG$2:$AG$129,0)),""))</f>
        <v/>
      </c>
      <c r="F85" s="4" t="str">
        <f>IF($B85="","",IFERROR(INDEX(DQAF_Input!$L$2:$L$129,MATCH(84,DQAF_Input!$AG$2:$AG$129,0)),""))</f>
        <v/>
      </c>
    </row>
    <row r="86" spans="1:6" x14ac:dyDescent="0.3">
      <c r="A86" s="12" t="str">
        <f>IF($B86="","",IFERROR(INDEX(DQAF_Input!$P$2:$P$129,MATCH(85,DQAF_Input!$AG$2:$AG$129,0)),""))</f>
        <v/>
      </c>
      <c r="B86" s="12" t="str">
        <f>IFERROR(INDEX(DQAF_Input!$E$2:$E$129,MATCH(85,DQAF_Input!$AG$2:$AG$129,0)),"")</f>
        <v/>
      </c>
      <c r="C86" s="4" t="str">
        <f>IF($B86="","",IF(IFERROR(VLOOKUP($B86,__rbp_p!$A:$B,2,FALSE),"")&lt;&gt;"",IFERROR(VLOOKUP($B86,__rbp_p!$A:$B,2,FALSE),""),IFERROR(INDEX(DQAF_Input!$F$2:$F$129,MATCH(85,DQAF_Input!$AG$2:$AG$129,0)),"")))</f>
        <v/>
      </c>
      <c r="D86" s="4" t="str">
        <f>IF($B86="","",IFERROR(INDEX(DQAF_Input!$H$2:$H$129,MATCH(85,DQAF_Input!$AG$2:$AG$129,0)),""))</f>
        <v/>
      </c>
      <c r="E86" s="4" t="str">
        <f>IF($B86="","",IFERROR(INDEX(DQAF_Input!$J$2:$J$129,MATCH(85,DQAF_Input!$AG$2:$AG$129,0)),""))</f>
        <v/>
      </c>
      <c r="F86" s="4" t="str">
        <f>IF($B86="","",IFERROR(INDEX(DQAF_Input!$L$2:$L$129,MATCH(85,DQAF_Input!$AG$2:$AG$129,0)),""))</f>
        <v/>
      </c>
    </row>
    <row r="87" spans="1:6" x14ac:dyDescent="0.3">
      <c r="A87" s="12" t="str">
        <f>IF($B87="","",IFERROR(INDEX(DQAF_Input!$P$2:$P$129,MATCH(86,DQAF_Input!$AG$2:$AG$129,0)),""))</f>
        <v/>
      </c>
      <c r="B87" s="12" t="str">
        <f>IFERROR(INDEX(DQAF_Input!$E$2:$E$129,MATCH(86,DQAF_Input!$AG$2:$AG$129,0)),"")</f>
        <v/>
      </c>
      <c r="C87" s="4" t="str">
        <f>IF($B87="","",IF(IFERROR(VLOOKUP($B87,__rbp_p!$A:$B,2,FALSE),"")&lt;&gt;"",IFERROR(VLOOKUP($B87,__rbp_p!$A:$B,2,FALSE),""),IFERROR(INDEX(DQAF_Input!$F$2:$F$129,MATCH(86,DQAF_Input!$AG$2:$AG$129,0)),"")))</f>
        <v/>
      </c>
      <c r="D87" s="4" t="str">
        <f>IF($B87="","",IFERROR(INDEX(DQAF_Input!$H$2:$H$129,MATCH(86,DQAF_Input!$AG$2:$AG$129,0)),""))</f>
        <v/>
      </c>
      <c r="E87" s="4" t="str">
        <f>IF($B87="","",IFERROR(INDEX(DQAF_Input!$J$2:$J$129,MATCH(86,DQAF_Input!$AG$2:$AG$129,0)),""))</f>
        <v/>
      </c>
      <c r="F87" s="4" t="str">
        <f>IF($B87="","",IFERROR(INDEX(DQAF_Input!$L$2:$L$129,MATCH(86,DQAF_Input!$AG$2:$AG$129,0)),""))</f>
        <v/>
      </c>
    </row>
    <row r="88" spans="1:6" x14ac:dyDescent="0.3">
      <c r="A88" s="12" t="str">
        <f>IF($B88="","",IFERROR(INDEX(DQAF_Input!$P$2:$P$129,MATCH(87,DQAF_Input!$AG$2:$AG$129,0)),""))</f>
        <v/>
      </c>
      <c r="B88" s="12" t="str">
        <f>IFERROR(INDEX(DQAF_Input!$E$2:$E$129,MATCH(87,DQAF_Input!$AG$2:$AG$129,0)),"")</f>
        <v/>
      </c>
      <c r="C88" s="4" t="str">
        <f>IF($B88="","",IF(IFERROR(VLOOKUP($B88,__rbp_p!$A:$B,2,FALSE),"")&lt;&gt;"",IFERROR(VLOOKUP($B88,__rbp_p!$A:$B,2,FALSE),""),IFERROR(INDEX(DQAF_Input!$F$2:$F$129,MATCH(87,DQAF_Input!$AG$2:$AG$129,0)),"")))</f>
        <v/>
      </c>
      <c r="D88" s="4" t="str">
        <f>IF($B88="","",IFERROR(INDEX(DQAF_Input!$H$2:$H$129,MATCH(87,DQAF_Input!$AG$2:$AG$129,0)),""))</f>
        <v/>
      </c>
      <c r="E88" s="4" t="str">
        <f>IF($B88="","",IFERROR(INDEX(DQAF_Input!$J$2:$J$129,MATCH(87,DQAF_Input!$AG$2:$AG$129,0)),""))</f>
        <v/>
      </c>
      <c r="F88" s="4" t="str">
        <f>IF($B88="","",IFERROR(INDEX(DQAF_Input!$L$2:$L$129,MATCH(87,DQAF_Input!$AG$2:$AG$129,0)),""))</f>
        <v/>
      </c>
    </row>
    <row r="89" spans="1:6" x14ac:dyDescent="0.3">
      <c r="A89" s="12" t="str">
        <f>IF($B89="","",IFERROR(INDEX(DQAF_Input!$P$2:$P$129,MATCH(88,DQAF_Input!$AG$2:$AG$129,0)),""))</f>
        <v/>
      </c>
      <c r="B89" s="12" t="str">
        <f>IFERROR(INDEX(DQAF_Input!$E$2:$E$129,MATCH(88,DQAF_Input!$AG$2:$AG$129,0)),"")</f>
        <v/>
      </c>
      <c r="C89" s="4" t="str">
        <f>IF($B89="","",IF(IFERROR(VLOOKUP($B89,__rbp_p!$A:$B,2,FALSE),"")&lt;&gt;"",IFERROR(VLOOKUP($B89,__rbp_p!$A:$B,2,FALSE),""),IFERROR(INDEX(DQAF_Input!$F$2:$F$129,MATCH(88,DQAF_Input!$AG$2:$AG$129,0)),"")))</f>
        <v/>
      </c>
      <c r="D89" s="4" t="str">
        <f>IF($B89="","",IFERROR(INDEX(DQAF_Input!$H$2:$H$129,MATCH(88,DQAF_Input!$AG$2:$AG$129,0)),""))</f>
        <v/>
      </c>
      <c r="E89" s="4" t="str">
        <f>IF($B89="","",IFERROR(INDEX(DQAF_Input!$J$2:$J$129,MATCH(88,DQAF_Input!$AG$2:$AG$129,0)),""))</f>
        <v/>
      </c>
      <c r="F89" s="4" t="str">
        <f>IF($B89="","",IFERROR(INDEX(DQAF_Input!$L$2:$L$129,MATCH(88,DQAF_Input!$AG$2:$AG$129,0)),""))</f>
        <v/>
      </c>
    </row>
    <row r="90" spans="1:6" x14ac:dyDescent="0.3">
      <c r="A90" s="12" t="str">
        <f>IF($B90="","",IFERROR(INDEX(DQAF_Input!$P$2:$P$129,MATCH(89,DQAF_Input!$AG$2:$AG$129,0)),""))</f>
        <v/>
      </c>
      <c r="B90" s="12" t="str">
        <f>IFERROR(INDEX(DQAF_Input!$E$2:$E$129,MATCH(89,DQAF_Input!$AG$2:$AG$129,0)),"")</f>
        <v/>
      </c>
      <c r="C90" s="4" t="str">
        <f>IF($B90="","",IF(IFERROR(VLOOKUP($B90,__rbp_p!$A:$B,2,FALSE),"")&lt;&gt;"",IFERROR(VLOOKUP($B90,__rbp_p!$A:$B,2,FALSE),""),IFERROR(INDEX(DQAF_Input!$F$2:$F$129,MATCH(89,DQAF_Input!$AG$2:$AG$129,0)),"")))</f>
        <v/>
      </c>
      <c r="D90" s="4" t="str">
        <f>IF($B90="","",IFERROR(INDEX(DQAF_Input!$H$2:$H$129,MATCH(89,DQAF_Input!$AG$2:$AG$129,0)),""))</f>
        <v/>
      </c>
      <c r="E90" s="4" t="str">
        <f>IF($B90="","",IFERROR(INDEX(DQAF_Input!$J$2:$J$129,MATCH(89,DQAF_Input!$AG$2:$AG$129,0)),""))</f>
        <v/>
      </c>
      <c r="F90" s="4" t="str">
        <f>IF($B90="","",IFERROR(INDEX(DQAF_Input!$L$2:$L$129,MATCH(89,DQAF_Input!$AG$2:$AG$129,0)),""))</f>
        <v/>
      </c>
    </row>
    <row r="91" spans="1:6" x14ac:dyDescent="0.3">
      <c r="A91" s="12" t="str">
        <f>IF($B91="","",IFERROR(INDEX(DQAF_Input!$P$2:$P$129,MATCH(90,DQAF_Input!$AG$2:$AG$129,0)),""))</f>
        <v/>
      </c>
      <c r="B91" s="12" t="str">
        <f>IFERROR(INDEX(DQAF_Input!$E$2:$E$129,MATCH(90,DQAF_Input!$AG$2:$AG$129,0)),"")</f>
        <v/>
      </c>
      <c r="C91" s="4" t="str">
        <f>IF($B91="","",IF(IFERROR(VLOOKUP($B91,__rbp_p!$A:$B,2,FALSE),"")&lt;&gt;"",IFERROR(VLOOKUP($B91,__rbp_p!$A:$B,2,FALSE),""),IFERROR(INDEX(DQAF_Input!$F$2:$F$129,MATCH(90,DQAF_Input!$AG$2:$AG$129,0)),"")))</f>
        <v/>
      </c>
      <c r="D91" s="4" t="str">
        <f>IF($B91="","",IFERROR(INDEX(DQAF_Input!$H$2:$H$129,MATCH(90,DQAF_Input!$AG$2:$AG$129,0)),""))</f>
        <v/>
      </c>
      <c r="E91" s="4" t="str">
        <f>IF($B91="","",IFERROR(INDEX(DQAF_Input!$J$2:$J$129,MATCH(90,DQAF_Input!$AG$2:$AG$129,0)),""))</f>
        <v/>
      </c>
      <c r="F91" s="4" t="str">
        <f>IF($B91="","",IFERROR(INDEX(DQAF_Input!$L$2:$L$129,MATCH(90,DQAF_Input!$AG$2:$AG$129,0)),""))</f>
        <v/>
      </c>
    </row>
    <row r="92" spans="1:6" x14ac:dyDescent="0.3">
      <c r="A92" s="12" t="str">
        <f>IF($B92="","",IFERROR(INDEX(DQAF_Input!$P$2:$P$129,MATCH(91,DQAF_Input!$AG$2:$AG$129,0)),""))</f>
        <v/>
      </c>
      <c r="B92" s="12" t="str">
        <f>IFERROR(INDEX(DQAF_Input!$E$2:$E$129,MATCH(91,DQAF_Input!$AG$2:$AG$129,0)),"")</f>
        <v/>
      </c>
      <c r="C92" s="4" t="str">
        <f>IF($B92="","",IF(IFERROR(VLOOKUP($B92,__rbp_p!$A:$B,2,FALSE),"")&lt;&gt;"",IFERROR(VLOOKUP($B92,__rbp_p!$A:$B,2,FALSE),""),IFERROR(INDEX(DQAF_Input!$F$2:$F$129,MATCH(91,DQAF_Input!$AG$2:$AG$129,0)),"")))</f>
        <v/>
      </c>
      <c r="D92" s="4" t="str">
        <f>IF($B92="","",IFERROR(INDEX(DQAF_Input!$H$2:$H$129,MATCH(91,DQAF_Input!$AG$2:$AG$129,0)),""))</f>
        <v/>
      </c>
      <c r="E92" s="4" t="str">
        <f>IF($B92="","",IFERROR(INDEX(DQAF_Input!$J$2:$J$129,MATCH(91,DQAF_Input!$AG$2:$AG$129,0)),""))</f>
        <v/>
      </c>
      <c r="F92" s="4" t="str">
        <f>IF($B92="","",IFERROR(INDEX(DQAF_Input!$L$2:$L$129,MATCH(91,DQAF_Input!$AG$2:$AG$129,0)),""))</f>
        <v/>
      </c>
    </row>
    <row r="93" spans="1:6" x14ac:dyDescent="0.3">
      <c r="A93" s="12" t="str">
        <f>IF($B93="","",IFERROR(INDEX(DQAF_Input!$P$2:$P$129,MATCH(92,DQAF_Input!$AG$2:$AG$129,0)),""))</f>
        <v/>
      </c>
      <c r="B93" s="12" t="str">
        <f>IFERROR(INDEX(DQAF_Input!$E$2:$E$129,MATCH(92,DQAF_Input!$AG$2:$AG$129,0)),"")</f>
        <v/>
      </c>
      <c r="C93" s="4" t="str">
        <f>IF($B93="","",IF(IFERROR(VLOOKUP($B93,__rbp_p!$A:$B,2,FALSE),"")&lt;&gt;"",IFERROR(VLOOKUP($B93,__rbp_p!$A:$B,2,FALSE),""),IFERROR(INDEX(DQAF_Input!$F$2:$F$129,MATCH(92,DQAF_Input!$AG$2:$AG$129,0)),"")))</f>
        <v/>
      </c>
      <c r="D93" s="4" t="str">
        <f>IF($B93="","",IFERROR(INDEX(DQAF_Input!$H$2:$H$129,MATCH(92,DQAF_Input!$AG$2:$AG$129,0)),""))</f>
        <v/>
      </c>
      <c r="E93" s="4" t="str">
        <f>IF($B93="","",IFERROR(INDEX(DQAF_Input!$J$2:$J$129,MATCH(92,DQAF_Input!$AG$2:$AG$129,0)),""))</f>
        <v/>
      </c>
      <c r="F93" s="4" t="str">
        <f>IF($B93="","",IFERROR(INDEX(DQAF_Input!$L$2:$L$129,MATCH(92,DQAF_Input!$AG$2:$AG$129,0)),""))</f>
        <v/>
      </c>
    </row>
    <row r="94" spans="1:6" x14ac:dyDescent="0.3">
      <c r="A94" s="12" t="str">
        <f>IF($B94="","",IFERROR(INDEX(DQAF_Input!$P$2:$P$129,MATCH(93,DQAF_Input!$AG$2:$AG$129,0)),""))</f>
        <v/>
      </c>
      <c r="B94" s="12" t="str">
        <f>IFERROR(INDEX(DQAF_Input!$E$2:$E$129,MATCH(93,DQAF_Input!$AG$2:$AG$129,0)),"")</f>
        <v/>
      </c>
      <c r="C94" s="4" t="str">
        <f>IF($B94="","",IF(IFERROR(VLOOKUP($B94,__rbp_p!$A:$B,2,FALSE),"")&lt;&gt;"",IFERROR(VLOOKUP($B94,__rbp_p!$A:$B,2,FALSE),""),IFERROR(INDEX(DQAF_Input!$F$2:$F$129,MATCH(93,DQAF_Input!$AG$2:$AG$129,0)),"")))</f>
        <v/>
      </c>
      <c r="D94" s="4" t="str">
        <f>IF($B94="","",IFERROR(INDEX(DQAF_Input!$H$2:$H$129,MATCH(93,DQAF_Input!$AG$2:$AG$129,0)),""))</f>
        <v/>
      </c>
      <c r="E94" s="4" t="str">
        <f>IF($B94="","",IFERROR(INDEX(DQAF_Input!$J$2:$J$129,MATCH(93,DQAF_Input!$AG$2:$AG$129,0)),""))</f>
        <v/>
      </c>
      <c r="F94" s="4" t="str">
        <f>IF($B94="","",IFERROR(INDEX(DQAF_Input!$L$2:$L$129,MATCH(93,DQAF_Input!$AG$2:$AG$129,0)),""))</f>
        <v/>
      </c>
    </row>
    <row r="95" spans="1:6" x14ac:dyDescent="0.3">
      <c r="A95" s="12" t="str">
        <f>IF($B95="","",IFERROR(INDEX(DQAF_Input!$P$2:$P$129,MATCH(94,DQAF_Input!$AG$2:$AG$129,0)),""))</f>
        <v/>
      </c>
      <c r="B95" s="12" t="str">
        <f>IFERROR(INDEX(DQAF_Input!$E$2:$E$129,MATCH(94,DQAF_Input!$AG$2:$AG$129,0)),"")</f>
        <v/>
      </c>
      <c r="C95" s="4" t="str">
        <f>IF($B95="","",IF(IFERROR(VLOOKUP($B95,__rbp_p!$A:$B,2,FALSE),"")&lt;&gt;"",IFERROR(VLOOKUP($B95,__rbp_p!$A:$B,2,FALSE),""),IFERROR(INDEX(DQAF_Input!$F$2:$F$129,MATCH(94,DQAF_Input!$AG$2:$AG$129,0)),"")))</f>
        <v/>
      </c>
      <c r="D95" s="4" t="str">
        <f>IF($B95="","",IFERROR(INDEX(DQAF_Input!$H$2:$H$129,MATCH(94,DQAF_Input!$AG$2:$AG$129,0)),""))</f>
        <v/>
      </c>
      <c r="E95" s="4" t="str">
        <f>IF($B95="","",IFERROR(INDEX(DQAF_Input!$J$2:$J$129,MATCH(94,DQAF_Input!$AG$2:$AG$129,0)),""))</f>
        <v/>
      </c>
      <c r="F95" s="4" t="str">
        <f>IF($B95="","",IFERROR(INDEX(DQAF_Input!$L$2:$L$129,MATCH(94,DQAF_Input!$AG$2:$AG$129,0)),""))</f>
        <v/>
      </c>
    </row>
    <row r="96" spans="1:6" x14ac:dyDescent="0.3">
      <c r="A96" s="12" t="str">
        <f>IF($B96="","",IFERROR(INDEX(DQAF_Input!$P$2:$P$129,MATCH(95,DQAF_Input!$AG$2:$AG$129,0)),""))</f>
        <v/>
      </c>
      <c r="B96" s="12" t="str">
        <f>IFERROR(INDEX(DQAF_Input!$E$2:$E$129,MATCH(95,DQAF_Input!$AG$2:$AG$129,0)),"")</f>
        <v/>
      </c>
      <c r="C96" s="4" t="str">
        <f>IF($B96="","",IF(IFERROR(VLOOKUP($B96,__rbp_p!$A:$B,2,FALSE),"")&lt;&gt;"",IFERROR(VLOOKUP($B96,__rbp_p!$A:$B,2,FALSE),""),IFERROR(INDEX(DQAF_Input!$F$2:$F$129,MATCH(95,DQAF_Input!$AG$2:$AG$129,0)),"")))</f>
        <v/>
      </c>
      <c r="D96" s="4" t="str">
        <f>IF($B96="","",IFERROR(INDEX(DQAF_Input!$H$2:$H$129,MATCH(95,DQAF_Input!$AG$2:$AG$129,0)),""))</f>
        <v/>
      </c>
      <c r="E96" s="4" t="str">
        <f>IF($B96="","",IFERROR(INDEX(DQAF_Input!$J$2:$J$129,MATCH(95,DQAF_Input!$AG$2:$AG$129,0)),""))</f>
        <v/>
      </c>
      <c r="F96" s="4" t="str">
        <f>IF($B96="","",IFERROR(INDEX(DQAF_Input!$L$2:$L$129,MATCH(95,DQAF_Input!$AG$2:$AG$129,0)),""))</f>
        <v/>
      </c>
    </row>
    <row r="97" spans="1:6" x14ac:dyDescent="0.3">
      <c r="A97" s="12" t="str">
        <f>IF($B97="","",IFERROR(INDEX(DQAF_Input!$P$2:$P$129,MATCH(96,DQAF_Input!$AG$2:$AG$129,0)),""))</f>
        <v/>
      </c>
      <c r="B97" s="12" t="str">
        <f>IFERROR(INDEX(DQAF_Input!$E$2:$E$129,MATCH(96,DQAF_Input!$AG$2:$AG$129,0)),"")</f>
        <v/>
      </c>
      <c r="C97" s="4" t="str">
        <f>IF($B97="","",IF(IFERROR(VLOOKUP($B97,__rbp_p!$A:$B,2,FALSE),"")&lt;&gt;"",IFERROR(VLOOKUP($B97,__rbp_p!$A:$B,2,FALSE),""),IFERROR(INDEX(DQAF_Input!$F$2:$F$129,MATCH(96,DQAF_Input!$AG$2:$AG$129,0)),"")))</f>
        <v/>
      </c>
      <c r="D97" s="4" t="str">
        <f>IF($B97="","",IFERROR(INDEX(DQAF_Input!$H$2:$H$129,MATCH(96,DQAF_Input!$AG$2:$AG$129,0)),""))</f>
        <v/>
      </c>
      <c r="E97" s="4" t="str">
        <f>IF($B97="","",IFERROR(INDEX(DQAF_Input!$J$2:$J$129,MATCH(96,DQAF_Input!$AG$2:$AG$129,0)),""))</f>
        <v/>
      </c>
      <c r="F97" s="4" t="str">
        <f>IF($B97="","",IFERROR(INDEX(DQAF_Input!$L$2:$L$129,MATCH(96,DQAF_Input!$AG$2:$AG$129,0)),""))</f>
        <v/>
      </c>
    </row>
    <row r="98" spans="1:6" x14ac:dyDescent="0.3">
      <c r="A98" s="12" t="str">
        <f>IF($B98="","",IFERROR(INDEX(DQAF_Input!$P$2:$P$129,MATCH(97,DQAF_Input!$AG$2:$AG$129,0)),""))</f>
        <v/>
      </c>
      <c r="B98" s="12" t="str">
        <f>IFERROR(INDEX(DQAF_Input!$E$2:$E$129,MATCH(97,DQAF_Input!$AG$2:$AG$129,0)),"")</f>
        <v/>
      </c>
      <c r="C98" s="4" t="str">
        <f>IF($B98="","",IF(IFERROR(VLOOKUP($B98,__rbp_p!$A:$B,2,FALSE),"")&lt;&gt;"",IFERROR(VLOOKUP($B98,__rbp_p!$A:$B,2,FALSE),""),IFERROR(INDEX(DQAF_Input!$F$2:$F$129,MATCH(97,DQAF_Input!$AG$2:$AG$129,0)),"")))</f>
        <v/>
      </c>
      <c r="D98" s="4" t="str">
        <f>IF($B98="","",IFERROR(INDEX(DQAF_Input!$H$2:$H$129,MATCH(97,DQAF_Input!$AG$2:$AG$129,0)),""))</f>
        <v/>
      </c>
      <c r="E98" s="4" t="str">
        <f>IF($B98="","",IFERROR(INDEX(DQAF_Input!$J$2:$J$129,MATCH(97,DQAF_Input!$AG$2:$AG$129,0)),""))</f>
        <v/>
      </c>
      <c r="F98" s="4" t="str">
        <f>IF($B98="","",IFERROR(INDEX(DQAF_Input!$L$2:$L$129,MATCH(97,DQAF_Input!$AG$2:$AG$129,0)),""))</f>
        <v/>
      </c>
    </row>
    <row r="99" spans="1:6" x14ac:dyDescent="0.3">
      <c r="A99" s="12" t="str">
        <f>IF($B99="","",IFERROR(INDEX(DQAF_Input!$P$2:$P$129,MATCH(98,DQAF_Input!$AG$2:$AG$129,0)),""))</f>
        <v/>
      </c>
      <c r="B99" s="12" t="str">
        <f>IFERROR(INDEX(DQAF_Input!$E$2:$E$129,MATCH(98,DQAF_Input!$AG$2:$AG$129,0)),"")</f>
        <v/>
      </c>
      <c r="C99" s="4" t="str">
        <f>IF($B99="","",IF(IFERROR(VLOOKUP($B99,__rbp_p!$A:$B,2,FALSE),"")&lt;&gt;"",IFERROR(VLOOKUP($B99,__rbp_p!$A:$B,2,FALSE),""),IFERROR(INDEX(DQAF_Input!$F$2:$F$129,MATCH(98,DQAF_Input!$AG$2:$AG$129,0)),"")))</f>
        <v/>
      </c>
      <c r="D99" s="4" t="str">
        <f>IF($B99="","",IFERROR(INDEX(DQAF_Input!$H$2:$H$129,MATCH(98,DQAF_Input!$AG$2:$AG$129,0)),""))</f>
        <v/>
      </c>
      <c r="E99" s="4" t="str">
        <f>IF($B99="","",IFERROR(INDEX(DQAF_Input!$J$2:$J$129,MATCH(98,DQAF_Input!$AG$2:$AG$129,0)),""))</f>
        <v/>
      </c>
      <c r="F99" s="4" t="str">
        <f>IF($B99="","",IFERROR(INDEX(DQAF_Input!$L$2:$L$129,MATCH(98,DQAF_Input!$AG$2:$AG$129,0)),""))</f>
        <v/>
      </c>
    </row>
    <row r="100" spans="1:6" x14ac:dyDescent="0.3">
      <c r="A100" s="12" t="str">
        <f>IF($B100="","",IFERROR(INDEX(DQAF_Input!$P$2:$P$129,MATCH(99,DQAF_Input!$AG$2:$AG$129,0)),""))</f>
        <v/>
      </c>
      <c r="B100" s="12" t="str">
        <f>IFERROR(INDEX(DQAF_Input!$E$2:$E$129,MATCH(99,DQAF_Input!$AG$2:$AG$129,0)),"")</f>
        <v/>
      </c>
      <c r="C100" s="4" t="str">
        <f>IF($B100="","",IF(IFERROR(VLOOKUP($B100,__rbp_p!$A:$B,2,FALSE),"")&lt;&gt;"",IFERROR(VLOOKUP($B100,__rbp_p!$A:$B,2,FALSE),""),IFERROR(INDEX(DQAF_Input!$F$2:$F$129,MATCH(99,DQAF_Input!$AG$2:$AG$129,0)),"")))</f>
        <v/>
      </c>
      <c r="D100" s="4" t="str">
        <f>IF($B100="","",IFERROR(INDEX(DQAF_Input!$H$2:$H$129,MATCH(99,DQAF_Input!$AG$2:$AG$129,0)),""))</f>
        <v/>
      </c>
      <c r="E100" s="4" t="str">
        <f>IF($B100="","",IFERROR(INDEX(DQAF_Input!$J$2:$J$129,MATCH(99,DQAF_Input!$AG$2:$AG$129,0)),""))</f>
        <v/>
      </c>
      <c r="F100" s="4" t="str">
        <f>IF($B100="","",IFERROR(INDEX(DQAF_Input!$L$2:$L$129,MATCH(99,DQAF_Input!$AG$2:$AG$129,0)),""))</f>
        <v/>
      </c>
    </row>
    <row r="101" spans="1:6" x14ac:dyDescent="0.3">
      <c r="A101" s="12" t="str">
        <f>IF($B101="","",IFERROR(INDEX(DQAF_Input!$P$2:$P$129,MATCH(100,DQAF_Input!$AG$2:$AG$129,0)),""))</f>
        <v/>
      </c>
      <c r="B101" s="12" t="str">
        <f>IFERROR(INDEX(DQAF_Input!$E$2:$E$129,MATCH(100,DQAF_Input!$AG$2:$AG$129,0)),"")</f>
        <v/>
      </c>
      <c r="C101" s="4" t="str">
        <f>IF($B101="","",IF(IFERROR(VLOOKUP($B101,__rbp_p!$A:$B,2,FALSE),"")&lt;&gt;"",IFERROR(VLOOKUP($B101,__rbp_p!$A:$B,2,FALSE),""),IFERROR(INDEX(DQAF_Input!$F$2:$F$129,MATCH(100,DQAF_Input!$AG$2:$AG$129,0)),"")))</f>
        <v/>
      </c>
      <c r="D101" s="4" t="str">
        <f>IF($B101="","",IFERROR(INDEX(DQAF_Input!$H$2:$H$129,MATCH(100,DQAF_Input!$AG$2:$AG$129,0)),""))</f>
        <v/>
      </c>
      <c r="E101" s="4" t="str">
        <f>IF($B101="","",IFERROR(INDEX(DQAF_Input!$J$2:$J$129,MATCH(100,DQAF_Input!$AG$2:$AG$129,0)),""))</f>
        <v/>
      </c>
      <c r="F101" s="4" t="str">
        <f>IF($B101="","",IFERROR(INDEX(DQAF_Input!$L$2:$L$129,MATCH(100,DQAF_Input!$AG$2:$AG$129,0)),""))</f>
        <v/>
      </c>
    </row>
    <row r="102" spans="1:6" x14ac:dyDescent="0.3">
      <c r="A102" s="12" t="str">
        <f>IF($B102="","",IFERROR(INDEX(DQAF_Input!$P$2:$P$129,MATCH(101,DQAF_Input!$AG$2:$AG$129,0)),""))</f>
        <v/>
      </c>
      <c r="B102" s="12" t="str">
        <f>IFERROR(INDEX(DQAF_Input!$E$2:$E$129,MATCH(101,DQAF_Input!$AG$2:$AG$129,0)),"")</f>
        <v/>
      </c>
      <c r="C102" s="4" t="str">
        <f>IF($B102="","",IF(IFERROR(VLOOKUP($B102,__rbp_p!$A:$B,2,FALSE),"")&lt;&gt;"",IFERROR(VLOOKUP($B102,__rbp_p!$A:$B,2,FALSE),""),IFERROR(INDEX(DQAF_Input!$F$2:$F$129,MATCH(101,DQAF_Input!$AG$2:$AG$129,0)),"")))</f>
        <v/>
      </c>
      <c r="D102" s="4" t="str">
        <f>IF($B102="","",IFERROR(INDEX(DQAF_Input!$H$2:$H$129,MATCH(101,DQAF_Input!$AG$2:$AG$129,0)),""))</f>
        <v/>
      </c>
      <c r="E102" s="4" t="str">
        <f>IF($B102="","",IFERROR(INDEX(DQAF_Input!$J$2:$J$129,MATCH(101,DQAF_Input!$AG$2:$AG$129,0)),""))</f>
        <v/>
      </c>
      <c r="F102" s="4" t="str">
        <f>IF($B102="","",IFERROR(INDEX(DQAF_Input!$L$2:$L$129,MATCH(101,DQAF_Input!$AG$2:$AG$129,0)),""))</f>
        <v/>
      </c>
    </row>
    <row r="103" spans="1:6" x14ac:dyDescent="0.3">
      <c r="A103" s="12" t="str">
        <f>IF($B103="","",IFERROR(INDEX(DQAF_Input!$P$2:$P$129,MATCH(102,DQAF_Input!$AG$2:$AG$129,0)),""))</f>
        <v/>
      </c>
      <c r="B103" s="12" t="str">
        <f>IFERROR(INDEX(DQAF_Input!$E$2:$E$129,MATCH(102,DQAF_Input!$AG$2:$AG$129,0)),"")</f>
        <v/>
      </c>
      <c r="C103" s="4" t="str">
        <f>IF($B103="","",IF(IFERROR(VLOOKUP($B103,__rbp_p!$A:$B,2,FALSE),"")&lt;&gt;"",IFERROR(VLOOKUP($B103,__rbp_p!$A:$B,2,FALSE),""),IFERROR(INDEX(DQAF_Input!$F$2:$F$129,MATCH(102,DQAF_Input!$AG$2:$AG$129,0)),"")))</f>
        <v/>
      </c>
      <c r="D103" s="4" t="str">
        <f>IF($B103="","",IFERROR(INDEX(DQAF_Input!$H$2:$H$129,MATCH(102,DQAF_Input!$AG$2:$AG$129,0)),""))</f>
        <v/>
      </c>
      <c r="E103" s="4" t="str">
        <f>IF($B103="","",IFERROR(INDEX(DQAF_Input!$J$2:$J$129,MATCH(102,DQAF_Input!$AG$2:$AG$129,0)),""))</f>
        <v/>
      </c>
      <c r="F103" s="4" t="str">
        <f>IF($B103="","",IFERROR(INDEX(DQAF_Input!$L$2:$L$129,MATCH(102,DQAF_Input!$AG$2:$AG$129,0)),""))</f>
        <v/>
      </c>
    </row>
    <row r="104" spans="1:6" x14ac:dyDescent="0.3">
      <c r="A104" s="12" t="str">
        <f>IF($B104="","",IFERROR(INDEX(DQAF_Input!$P$2:$P$129,MATCH(103,DQAF_Input!$AG$2:$AG$129,0)),""))</f>
        <v/>
      </c>
      <c r="B104" s="12" t="str">
        <f>IFERROR(INDEX(DQAF_Input!$E$2:$E$129,MATCH(103,DQAF_Input!$AG$2:$AG$129,0)),"")</f>
        <v/>
      </c>
      <c r="C104" s="4" t="str">
        <f>IF($B104="","",IF(IFERROR(VLOOKUP($B104,__rbp_p!$A:$B,2,FALSE),"")&lt;&gt;"",IFERROR(VLOOKUP($B104,__rbp_p!$A:$B,2,FALSE),""),IFERROR(INDEX(DQAF_Input!$F$2:$F$129,MATCH(103,DQAF_Input!$AG$2:$AG$129,0)),"")))</f>
        <v/>
      </c>
      <c r="D104" s="4" t="str">
        <f>IF($B104="","",IFERROR(INDEX(DQAF_Input!$H$2:$H$129,MATCH(103,DQAF_Input!$AG$2:$AG$129,0)),""))</f>
        <v/>
      </c>
      <c r="E104" s="4" t="str">
        <f>IF($B104="","",IFERROR(INDEX(DQAF_Input!$J$2:$J$129,MATCH(103,DQAF_Input!$AG$2:$AG$129,0)),""))</f>
        <v/>
      </c>
      <c r="F104" s="4" t="str">
        <f>IF($B104="","",IFERROR(INDEX(DQAF_Input!$L$2:$L$129,MATCH(103,DQAF_Input!$AG$2:$AG$129,0)),""))</f>
        <v/>
      </c>
    </row>
    <row r="105" spans="1:6" x14ac:dyDescent="0.3">
      <c r="A105" s="12" t="str">
        <f>IF($B105="","",IFERROR(INDEX(DQAF_Input!$P$2:$P$129,MATCH(104,DQAF_Input!$AG$2:$AG$129,0)),""))</f>
        <v/>
      </c>
      <c r="B105" s="12" t="str">
        <f>IFERROR(INDEX(DQAF_Input!$E$2:$E$129,MATCH(104,DQAF_Input!$AG$2:$AG$129,0)),"")</f>
        <v/>
      </c>
      <c r="C105" s="4" t="str">
        <f>IF($B105="","",IF(IFERROR(VLOOKUP($B105,__rbp_p!$A:$B,2,FALSE),"")&lt;&gt;"",IFERROR(VLOOKUP($B105,__rbp_p!$A:$B,2,FALSE),""),IFERROR(INDEX(DQAF_Input!$F$2:$F$129,MATCH(104,DQAF_Input!$AG$2:$AG$129,0)),"")))</f>
        <v/>
      </c>
      <c r="D105" s="4" t="str">
        <f>IF($B105="","",IFERROR(INDEX(DQAF_Input!$H$2:$H$129,MATCH(104,DQAF_Input!$AG$2:$AG$129,0)),""))</f>
        <v/>
      </c>
      <c r="E105" s="4" t="str">
        <f>IF($B105="","",IFERROR(INDEX(DQAF_Input!$J$2:$J$129,MATCH(104,DQAF_Input!$AG$2:$AG$129,0)),""))</f>
        <v/>
      </c>
      <c r="F105" s="4" t="str">
        <f>IF($B105="","",IFERROR(INDEX(DQAF_Input!$L$2:$L$129,MATCH(104,DQAF_Input!$AG$2:$AG$129,0)),""))</f>
        <v/>
      </c>
    </row>
    <row r="106" spans="1:6" x14ac:dyDescent="0.3">
      <c r="A106" s="12" t="str">
        <f>IF($B106="","",IFERROR(INDEX(DQAF_Input!$P$2:$P$129,MATCH(105,DQAF_Input!$AG$2:$AG$129,0)),""))</f>
        <v/>
      </c>
      <c r="B106" s="12" t="str">
        <f>IFERROR(INDEX(DQAF_Input!$E$2:$E$129,MATCH(105,DQAF_Input!$AG$2:$AG$129,0)),"")</f>
        <v/>
      </c>
      <c r="C106" s="4" t="str">
        <f>IF($B106="","",IF(IFERROR(VLOOKUP($B106,__rbp_p!$A:$B,2,FALSE),"")&lt;&gt;"",IFERROR(VLOOKUP($B106,__rbp_p!$A:$B,2,FALSE),""),IFERROR(INDEX(DQAF_Input!$F$2:$F$129,MATCH(105,DQAF_Input!$AG$2:$AG$129,0)),"")))</f>
        <v/>
      </c>
      <c r="D106" s="4" t="str">
        <f>IF($B106="","",IFERROR(INDEX(DQAF_Input!$H$2:$H$129,MATCH(105,DQAF_Input!$AG$2:$AG$129,0)),""))</f>
        <v/>
      </c>
      <c r="E106" s="4" t="str">
        <f>IF($B106="","",IFERROR(INDEX(DQAF_Input!$J$2:$J$129,MATCH(105,DQAF_Input!$AG$2:$AG$129,0)),""))</f>
        <v/>
      </c>
      <c r="F106" s="4" t="str">
        <f>IF($B106="","",IFERROR(INDEX(DQAF_Input!$L$2:$L$129,MATCH(105,DQAF_Input!$AG$2:$AG$129,0)),""))</f>
        <v/>
      </c>
    </row>
    <row r="107" spans="1:6" x14ac:dyDescent="0.3">
      <c r="A107" s="12" t="str">
        <f>IF($B107="","",IFERROR(INDEX(DQAF_Input!$P$2:$P$129,MATCH(106,DQAF_Input!$AG$2:$AG$129,0)),""))</f>
        <v/>
      </c>
      <c r="B107" s="12" t="str">
        <f>IFERROR(INDEX(DQAF_Input!$E$2:$E$129,MATCH(106,DQAF_Input!$AG$2:$AG$129,0)),"")</f>
        <v/>
      </c>
      <c r="C107" s="4" t="str">
        <f>IF($B107="","",IF(IFERROR(VLOOKUP($B107,__rbp_p!$A:$B,2,FALSE),"")&lt;&gt;"",IFERROR(VLOOKUP($B107,__rbp_p!$A:$B,2,FALSE),""),IFERROR(INDEX(DQAF_Input!$F$2:$F$129,MATCH(106,DQAF_Input!$AG$2:$AG$129,0)),"")))</f>
        <v/>
      </c>
      <c r="D107" s="4" t="str">
        <f>IF($B107="","",IFERROR(INDEX(DQAF_Input!$H$2:$H$129,MATCH(106,DQAF_Input!$AG$2:$AG$129,0)),""))</f>
        <v/>
      </c>
      <c r="E107" s="4" t="str">
        <f>IF($B107="","",IFERROR(INDEX(DQAF_Input!$J$2:$J$129,MATCH(106,DQAF_Input!$AG$2:$AG$129,0)),""))</f>
        <v/>
      </c>
      <c r="F107" s="4" t="str">
        <f>IF($B107="","",IFERROR(INDEX(DQAF_Input!$L$2:$L$129,MATCH(106,DQAF_Input!$AG$2:$AG$129,0)),""))</f>
        <v/>
      </c>
    </row>
    <row r="108" spans="1:6" x14ac:dyDescent="0.3">
      <c r="A108" s="12" t="str">
        <f>IF($B108="","",IFERROR(INDEX(DQAF_Input!$P$2:$P$129,MATCH(107,DQAF_Input!$AG$2:$AG$129,0)),""))</f>
        <v/>
      </c>
      <c r="B108" s="12" t="str">
        <f>IFERROR(INDEX(DQAF_Input!$E$2:$E$129,MATCH(107,DQAF_Input!$AG$2:$AG$129,0)),"")</f>
        <v/>
      </c>
      <c r="C108" s="4" t="str">
        <f>IF($B108="","",IF(IFERROR(VLOOKUP($B108,__rbp_p!$A:$B,2,FALSE),"")&lt;&gt;"",IFERROR(VLOOKUP($B108,__rbp_p!$A:$B,2,FALSE),""),IFERROR(INDEX(DQAF_Input!$F$2:$F$129,MATCH(107,DQAF_Input!$AG$2:$AG$129,0)),"")))</f>
        <v/>
      </c>
      <c r="D108" s="4" t="str">
        <f>IF($B108="","",IFERROR(INDEX(DQAF_Input!$H$2:$H$129,MATCH(107,DQAF_Input!$AG$2:$AG$129,0)),""))</f>
        <v/>
      </c>
      <c r="E108" s="4" t="str">
        <f>IF($B108="","",IFERROR(INDEX(DQAF_Input!$J$2:$J$129,MATCH(107,DQAF_Input!$AG$2:$AG$129,0)),""))</f>
        <v/>
      </c>
      <c r="F108" s="4" t="str">
        <f>IF($B108="","",IFERROR(INDEX(DQAF_Input!$L$2:$L$129,MATCH(107,DQAF_Input!$AG$2:$AG$129,0)),""))</f>
        <v/>
      </c>
    </row>
    <row r="109" spans="1:6" x14ac:dyDescent="0.3">
      <c r="A109" s="12" t="str">
        <f>IF($B109="","",IFERROR(INDEX(DQAF_Input!$P$2:$P$129,MATCH(108,DQAF_Input!$AG$2:$AG$129,0)),""))</f>
        <v/>
      </c>
      <c r="B109" s="12" t="str">
        <f>IFERROR(INDEX(DQAF_Input!$E$2:$E$129,MATCH(108,DQAF_Input!$AG$2:$AG$129,0)),"")</f>
        <v/>
      </c>
      <c r="C109" s="4" t="str">
        <f>IF($B109="","",IF(IFERROR(VLOOKUP($B109,__rbp_p!$A:$B,2,FALSE),"")&lt;&gt;"",IFERROR(VLOOKUP($B109,__rbp_p!$A:$B,2,FALSE),""),IFERROR(INDEX(DQAF_Input!$F$2:$F$129,MATCH(108,DQAF_Input!$AG$2:$AG$129,0)),"")))</f>
        <v/>
      </c>
      <c r="D109" s="4" t="str">
        <f>IF($B109="","",IFERROR(INDEX(DQAF_Input!$H$2:$H$129,MATCH(108,DQAF_Input!$AG$2:$AG$129,0)),""))</f>
        <v/>
      </c>
      <c r="E109" s="4" t="str">
        <f>IF($B109="","",IFERROR(INDEX(DQAF_Input!$J$2:$J$129,MATCH(108,DQAF_Input!$AG$2:$AG$129,0)),""))</f>
        <v/>
      </c>
      <c r="F109" s="4" t="str">
        <f>IF($B109="","",IFERROR(INDEX(DQAF_Input!$L$2:$L$129,MATCH(108,DQAF_Input!$AG$2:$AG$129,0)),""))</f>
        <v/>
      </c>
    </row>
    <row r="110" spans="1:6" x14ac:dyDescent="0.3">
      <c r="A110" s="12" t="str">
        <f>IF($B110="","",IFERROR(INDEX(DQAF_Input!$P$2:$P$129,MATCH(109,DQAF_Input!$AG$2:$AG$129,0)),""))</f>
        <v/>
      </c>
      <c r="B110" s="12" t="str">
        <f>IFERROR(INDEX(DQAF_Input!$E$2:$E$129,MATCH(109,DQAF_Input!$AG$2:$AG$129,0)),"")</f>
        <v/>
      </c>
      <c r="C110" s="4" t="str">
        <f>IF($B110="","",IF(IFERROR(VLOOKUP($B110,__rbp_p!$A:$B,2,FALSE),"")&lt;&gt;"",IFERROR(VLOOKUP($B110,__rbp_p!$A:$B,2,FALSE),""),IFERROR(INDEX(DQAF_Input!$F$2:$F$129,MATCH(109,DQAF_Input!$AG$2:$AG$129,0)),"")))</f>
        <v/>
      </c>
      <c r="D110" s="4" t="str">
        <f>IF($B110="","",IFERROR(INDEX(DQAF_Input!$H$2:$H$129,MATCH(109,DQAF_Input!$AG$2:$AG$129,0)),""))</f>
        <v/>
      </c>
      <c r="E110" s="4" t="str">
        <f>IF($B110="","",IFERROR(INDEX(DQAF_Input!$J$2:$J$129,MATCH(109,DQAF_Input!$AG$2:$AG$129,0)),""))</f>
        <v/>
      </c>
      <c r="F110" s="4" t="str">
        <f>IF($B110="","",IFERROR(INDEX(DQAF_Input!$L$2:$L$129,MATCH(109,DQAF_Input!$AG$2:$AG$129,0)),""))</f>
        <v/>
      </c>
    </row>
    <row r="111" spans="1:6" x14ac:dyDescent="0.3">
      <c r="A111" s="12" t="str">
        <f>IF($B111="","",IFERROR(INDEX(DQAF_Input!$P$2:$P$129,MATCH(110,DQAF_Input!$AG$2:$AG$129,0)),""))</f>
        <v/>
      </c>
      <c r="B111" s="12" t="str">
        <f>IFERROR(INDEX(DQAF_Input!$E$2:$E$129,MATCH(110,DQAF_Input!$AG$2:$AG$129,0)),"")</f>
        <v/>
      </c>
      <c r="C111" s="4" t="str">
        <f>IF($B111="","",IF(IFERROR(VLOOKUP($B111,__rbp_p!$A:$B,2,FALSE),"")&lt;&gt;"",IFERROR(VLOOKUP($B111,__rbp_p!$A:$B,2,FALSE),""),IFERROR(INDEX(DQAF_Input!$F$2:$F$129,MATCH(110,DQAF_Input!$AG$2:$AG$129,0)),"")))</f>
        <v/>
      </c>
      <c r="D111" s="4" t="str">
        <f>IF($B111="","",IFERROR(INDEX(DQAF_Input!$H$2:$H$129,MATCH(110,DQAF_Input!$AG$2:$AG$129,0)),""))</f>
        <v/>
      </c>
      <c r="E111" s="4" t="str">
        <f>IF($B111="","",IFERROR(INDEX(DQAF_Input!$J$2:$J$129,MATCH(110,DQAF_Input!$AG$2:$AG$129,0)),""))</f>
        <v/>
      </c>
      <c r="F111" s="4" t="str">
        <f>IF($B111="","",IFERROR(INDEX(DQAF_Input!$L$2:$L$129,MATCH(110,DQAF_Input!$AG$2:$AG$129,0)),""))</f>
        <v/>
      </c>
    </row>
    <row r="112" spans="1:6" x14ac:dyDescent="0.3">
      <c r="A112" s="12" t="str">
        <f>IF($B112="","",IFERROR(INDEX(DQAF_Input!$P$2:$P$129,MATCH(111,DQAF_Input!$AG$2:$AG$129,0)),""))</f>
        <v/>
      </c>
      <c r="B112" s="12" t="str">
        <f>IFERROR(INDEX(DQAF_Input!$E$2:$E$129,MATCH(111,DQAF_Input!$AG$2:$AG$129,0)),"")</f>
        <v/>
      </c>
      <c r="C112" s="4" t="str">
        <f>IF($B112="","",IF(IFERROR(VLOOKUP($B112,__rbp_p!$A:$B,2,FALSE),"")&lt;&gt;"",IFERROR(VLOOKUP($B112,__rbp_p!$A:$B,2,FALSE),""),IFERROR(INDEX(DQAF_Input!$F$2:$F$129,MATCH(111,DQAF_Input!$AG$2:$AG$129,0)),"")))</f>
        <v/>
      </c>
      <c r="D112" s="4" t="str">
        <f>IF($B112="","",IFERROR(INDEX(DQAF_Input!$H$2:$H$129,MATCH(111,DQAF_Input!$AG$2:$AG$129,0)),""))</f>
        <v/>
      </c>
      <c r="E112" s="4" t="str">
        <f>IF($B112="","",IFERROR(INDEX(DQAF_Input!$J$2:$J$129,MATCH(111,DQAF_Input!$AG$2:$AG$129,0)),""))</f>
        <v/>
      </c>
      <c r="F112" s="4" t="str">
        <f>IF($B112="","",IFERROR(INDEX(DQAF_Input!$L$2:$L$129,MATCH(111,DQAF_Input!$AG$2:$AG$129,0)),""))</f>
        <v/>
      </c>
    </row>
    <row r="113" spans="1:6" x14ac:dyDescent="0.3">
      <c r="A113" s="12" t="str">
        <f>IF($B113="","",IFERROR(INDEX(DQAF_Input!$P$2:$P$129,MATCH(112,DQAF_Input!$AG$2:$AG$129,0)),""))</f>
        <v/>
      </c>
      <c r="B113" s="12" t="str">
        <f>IFERROR(INDEX(DQAF_Input!$E$2:$E$129,MATCH(112,DQAF_Input!$AG$2:$AG$129,0)),"")</f>
        <v/>
      </c>
      <c r="C113" s="4" t="str">
        <f>IF($B113="","",IF(IFERROR(VLOOKUP($B113,__rbp_p!$A:$B,2,FALSE),"")&lt;&gt;"",IFERROR(VLOOKUP($B113,__rbp_p!$A:$B,2,FALSE),""),IFERROR(INDEX(DQAF_Input!$F$2:$F$129,MATCH(112,DQAF_Input!$AG$2:$AG$129,0)),"")))</f>
        <v/>
      </c>
      <c r="D113" s="4" t="str">
        <f>IF($B113="","",IFERROR(INDEX(DQAF_Input!$H$2:$H$129,MATCH(112,DQAF_Input!$AG$2:$AG$129,0)),""))</f>
        <v/>
      </c>
      <c r="E113" s="4" t="str">
        <f>IF($B113="","",IFERROR(INDEX(DQAF_Input!$J$2:$J$129,MATCH(112,DQAF_Input!$AG$2:$AG$129,0)),""))</f>
        <v/>
      </c>
      <c r="F113" s="4" t="str">
        <f>IF($B113="","",IFERROR(INDEX(DQAF_Input!$L$2:$L$129,MATCH(112,DQAF_Input!$AG$2:$AG$129,0)),""))</f>
        <v/>
      </c>
    </row>
    <row r="114" spans="1:6" x14ac:dyDescent="0.3">
      <c r="A114" s="12" t="str">
        <f>IF($B114="","",IFERROR(INDEX(DQAF_Input!$P$2:$P$129,MATCH(113,DQAF_Input!$AG$2:$AG$129,0)),""))</f>
        <v/>
      </c>
      <c r="B114" s="12" t="str">
        <f>IFERROR(INDEX(DQAF_Input!$E$2:$E$129,MATCH(113,DQAF_Input!$AG$2:$AG$129,0)),"")</f>
        <v/>
      </c>
      <c r="C114" s="4" t="str">
        <f>IF($B114="","",IF(IFERROR(VLOOKUP($B114,__rbp_p!$A:$B,2,FALSE),"")&lt;&gt;"",IFERROR(VLOOKUP($B114,__rbp_p!$A:$B,2,FALSE),""),IFERROR(INDEX(DQAF_Input!$F$2:$F$129,MATCH(113,DQAF_Input!$AG$2:$AG$129,0)),"")))</f>
        <v/>
      </c>
      <c r="D114" s="4" t="str">
        <f>IF($B114="","",IFERROR(INDEX(DQAF_Input!$H$2:$H$129,MATCH(113,DQAF_Input!$AG$2:$AG$129,0)),""))</f>
        <v/>
      </c>
      <c r="E114" s="4" t="str">
        <f>IF($B114="","",IFERROR(INDEX(DQAF_Input!$J$2:$J$129,MATCH(113,DQAF_Input!$AG$2:$AG$129,0)),""))</f>
        <v/>
      </c>
      <c r="F114" s="4" t="str">
        <f>IF($B114="","",IFERROR(INDEX(DQAF_Input!$L$2:$L$129,MATCH(113,DQAF_Input!$AG$2:$AG$129,0)),""))</f>
        <v/>
      </c>
    </row>
    <row r="115" spans="1:6" x14ac:dyDescent="0.3">
      <c r="A115" s="12" t="str">
        <f>IF($B115="","",IFERROR(INDEX(DQAF_Input!$P$2:$P$129,MATCH(114,DQAF_Input!$AG$2:$AG$129,0)),""))</f>
        <v/>
      </c>
      <c r="B115" s="12" t="str">
        <f>IFERROR(INDEX(DQAF_Input!$E$2:$E$129,MATCH(114,DQAF_Input!$AG$2:$AG$129,0)),"")</f>
        <v/>
      </c>
      <c r="C115" s="4" t="str">
        <f>IF($B115="","",IF(IFERROR(VLOOKUP($B115,__rbp_p!$A:$B,2,FALSE),"")&lt;&gt;"",IFERROR(VLOOKUP($B115,__rbp_p!$A:$B,2,FALSE),""),IFERROR(INDEX(DQAF_Input!$F$2:$F$129,MATCH(114,DQAF_Input!$AG$2:$AG$129,0)),"")))</f>
        <v/>
      </c>
      <c r="D115" s="4" t="str">
        <f>IF($B115="","",IFERROR(INDEX(DQAF_Input!$H$2:$H$129,MATCH(114,DQAF_Input!$AG$2:$AG$129,0)),""))</f>
        <v/>
      </c>
      <c r="E115" s="4" t="str">
        <f>IF($B115="","",IFERROR(INDEX(DQAF_Input!$J$2:$J$129,MATCH(114,DQAF_Input!$AG$2:$AG$129,0)),""))</f>
        <v/>
      </c>
      <c r="F115" s="4" t="str">
        <f>IF($B115="","",IFERROR(INDEX(DQAF_Input!$L$2:$L$129,MATCH(114,DQAF_Input!$AG$2:$AG$129,0)),""))</f>
        <v/>
      </c>
    </row>
    <row r="116" spans="1:6" x14ac:dyDescent="0.3">
      <c r="A116" s="12" t="str">
        <f>IF($B116="","",IFERROR(INDEX(DQAF_Input!$P$2:$P$129,MATCH(115,DQAF_Input!$AG$2:$AG$129,0)),""))</f>
        <v/>
      </c>
      <c r="B116" s="12" t="str">
        <f>IFERROR(INDEX(DQAF_Input!$E$2:$E$129,MATCH(115,DQAF_Input!$AG$2:$AG$129,0)),"")</f>
        <v/>
      </c>
      <c r="C116" s="4" t="str">
        <f>IF($B116="","",IF(IFERROR(VLOOKUP($B116,__rbp_p!$A:$B,2,FALSE),"")&lt;&gt;"",IFERROR(VLOOKUP($B116,__rbp_p!$A:$B,2,FALSE),""),IFERROR(INDEX(DQAF_Input!$F$2:$F$129,MATCH(115,DQAF_Input!$AG$2:$AG$129,0)),"")))</f>
        <v/>
      </c>
      <c r="D116" s="4" t="str">
        <f>IF($B116="","",IFERROR(INDEX(DQAF_Input!$H$2:$H$129,MATCH(115,DQAF_Input!$AG$2:$AG$129,0)),""))</f>
        <v/>
      </c>
      <c r="E116" s="4" t="str">
        <f>IF($B116="","",IFERROR(INDEX(DQAF_Input!$J$2:$J$129,MATCH(115,DQAF_Input!$AG$2:$AG$129,0)),""))</f>
        <v/>
      </c>
      <c r="F116" s="4" t="str">
        <f>IF($B116="","",IFERROR(INDEX(DQAF_Input!$L$2:$L$129,MATCH(115,DQAF_Input!$AG$2:$AG$129,0)),""))</f>
        <v/>
      </c>
    </row>
    <row r="117" spans="1:6" x14ac:dyDescent="0.3">
      <c r="A117" s="12" t="str">
        <f>IF($B117="","",IFERROR(INDEX(DQAF_Input!$P$2:$P$129,MATCH(116,DQAF_Input!$AG$2:$AG$129,0)),""))</f>
        <v/>
      </c>
      <c r="B117" s="12" t="str">
        <f>IFERROR(INDEX(DQAF_Input!$E$2:$E$129,MATCH(116,DQAF_Input!$AG$2:$AG$129,0)),"")</f>
        <v/>
      </c>
      <c r="C117" s="4" t="str">
        <f>IF($B117="","",IF(IFERROR(VLOOKUP($B117,__rbp_p!$A:$B,2,FALSE),"")&lt;&gt;"",IFERROR(VLOOKUP($B117,__rbp_p!$A:$B,2,FALSE),""),IFERROR(INDEX(DQAF_Input!$F$2:$F$129,MATCH(116,DQAF_Input!$AG$2:$AG$129,0)),"")))</f>
        <v/>
      </c>
      <c r="D117" s="4" t="str">
        <f>IF($B117="","",IFERROR(INDEX(DQAF_Input!$H$2:$H$129,MATCH(116,DQAF_Input!$AG$2:$AG$129,0)),""))</f>
        <v/>
      </c>
      <c r="E117" s="4" t="str">
        <f>IF($B117="","",IFERROR(INDEX(DQAF_Input!$J$2:$J$129,MATCH(116,DQAF_Input!$AG$2:$AG$129,0)),""))</f>
        <v/>
      </c>
      <c r="F117" s="4" t="str">
        <f>IF($B117="","",IFERROR(INDEX(DQAF_Input!$L$2:$L$129,MATCH(116,DQAF_Input!$AG$2:$AG$129,0)),""))</f>
        <v/>
      </c>
    </row>
    <row r="118" spans="1:6" x14ac:dyDescent="0.3">
      <c r="A118" s="12" t="str">
        <f>IF($B118="","",IFERROR(INDEX(DQAF_Input!$P$2:$P$129,MATCH(117,DQAF_Input!$AG$2:$AG$129,0)),""))</f>
        <v/>
      </c>
      <c r="B118" s="12" t="str">
        <f>IFERROR(INDEX(DQAF_Input!$E$2:$E$129,MATCH(117,DQAF_Input!$AG$2:$AG$129,0)),"")</f>
        <v/>
      </c>
      <c r="C118" s="4" t="str">
        <f>IF($B118="","",IF(IFERROR(VLOOKUP($B118,__rbp_p!$A:$B,2,FALSE),"")&lt;&gt;"",IFERROR(VLOOKUP($B118,__rbp_p!$A:$B,2,FALSE),""),IFERROR(INDEX(DQAF_Input!$F$2:$F$129,MATCH(117,DQAF_Input!$AG$2:$AG$129,0)),"")))</f>
        <v/>
      </c>
      <c r="D118" s="4" t="str">
        <f>IF($B118="","",IFERROR(INDEX(DQAF_Input!$H$2:$H$129,MATCH(117,DQAF_Input!$AG$2:$AG$129,0)),""))</f>
        <v/>
      </c>
      <c r="E118" s="4" t="str">
        <f>IF($B118="","",IFERROR(INDEX(DQAF_Input!$J$2:$J$129,MATCH(117,DQAF_Input!$AG$2:$AG$129,0)),""))</f>
        <v/>
      </c>
      <c r="F118" s="4" t="str">
        <f>IF($B118="","",IFERROR(INDEX(DQAF_Input!$L$2:$L$129,MATCH(117,DQAF_Input!$AG$2:$AG$129,0)),""))</f>
        <v/>
      </c>
    </row>
    <row r="119" spans="1:6" x14ac:dyDescent="0.3">
      <c r="A119" s="12" t="str">
        <f>IF($B119="","",IFERROR(INDEX(DQAF_Input!$P$2:$P$129,MATCH(118,DQAF_Input!$AG$2:$AG$129,0)),""))</f>
        <v/>
      </c>
      <c r="B119" s="12" t="str">
        <f>IFERROR(INDEX(DQAF_Input!$E$2:$E$129,MATCH(118,DQAF_Input!$AG$2:$AG$129,0)),"")</f>
        <v/>
      </c>
      <c r="C119" s="4" t="str">
        <f>IF($B119="","",IF(IFERROR(VLOOKUP($B119,__rbp_p!$A:$B,2,FALSE),"")&lt;&gt;"",IFERROR(VLOOKUP($B119,__rbp_p!$A:$B,2,FALSE),""),IFERROR(INDEX(DQAF_Input!$F$2:$F$129,MATCH(118,DQAF_Input!$AG$2:$AG$129,0)),"")))</f>
        <v/>
      </c>
      <c r="D119" s="4" t="str">
        <f>IF($B119="","",IFERROR(INDEX(DQAF_Input!$H$2:$H$129,MATCH(118,DQAF_Input!$AG$2:$AG$129,0)),""))</f>
        <v/>
      </c>
      <c r="E119" s="4" t="str">
        <f>IF($B119="","",IFERROR(INDEX(DQAF_Input!$J$2:$J$129,MATCH(118,DQAF_Input!$AG$2:$AG$129,0)),""))</f>
        <v/>
      </c>
      <c r="F119" s="4" t="str">
        <f>IF($B119="","",IFERROR(INDEX(DQAF_Input!$L$2:$L$129,MATCH(118,DQAF_Input!$AG$2:$AG$129,0)),""))</f>
        <v/>
      </c>
    </row>
    <row r="120" spans="1:6" x14ac:dyDescent="0.3">
      <c r="A120" s="12" t="str">
        <f>IF($B120="","",IFERROR(INDEX(DQAF_Input!$P$2:$P$129,MATCH(119,DQAF_Input!$AG$2:$AG$129,0)),""))</f>
        <v/>
      </c>
      <c r="B120" s="12" t="str">
        <f>IFERROR(INDEX(DQAF_Input!$E$2:$E$129,MATCH(119,DQAF_Input!$AG$2:$AG$129,0)),"")</f>
        <v/>
      </c>
      <c r="C120" s="4" t="str">
        <f>IF($B120="","",IF(IFERROR(VLOOKUP($B120,__rbp_p!$A:$B,2,FALSE),"")&lt;&gt;"",IFERROR(VLOOKUP($B120,__rbp_p!$A:$B,2,FALSE),""),IFERROR(INDEX(DQAF_Input!$F$2:$F$129,MATCH(119,DQAF_Input!$AG$2:$AG$129,0)),"")))</f>
        <v/>
      </c>
      <c r="D120" s="4" t="str">
        <f>IF($B120="","",IFERROR(INDEX(DQAF_Input!$H$2:$H$129,MATCH(119,DQAF_Input!$AG$2:$AG$129,0)),""))</f>
        <v/>
      </c>
      <c r="E120" s="4" t="str">
        <f>IF($B120="","",IFERROR(INDEX(DQAF_Input!$J$2:$J$129,MATCH(119,DQAF_Input!$AG$2:$AG$129,0)),""))</f>
        <v/>
      </c>
      <c r="F120" s="4" t="str">
        <f>IF($B120="","",IFERROR(INDEX(DQAF_Input!$L$2:$L$129,MATCH(119,DQAF_Input!$AG$2:$AG$129,0)),""))</f>
        <v/>
      </c>
    </row>
    <row r="121" spans="1:6" x14ac:dyDescent="0.3">
      <c r="A121" s="12" t="str">
        <f>IF($B121="","",IFERROR(INDEX(DQAF_Input!$P$2:$P$129,MATCH(120,DQAF_Input!$AG$2:$AG$129,0)),""))</f>
        <v/>
      </c>
      <c r="B121" s="12" t="str">
        <f>IFERROR(INDEX(DQAF_Input!$E$2:$E$129,MATCH(120,DQAF_Input!$AG$2:$AG$129,0)),"")</f>
        <v/>
      </c>
      <c r="C121" s="4" t="str">
        <f>IF($B121="","",IF(IFERROR(VLOOKUP($B121,__rbp_p!$A:$B,2,FALSE),"")&lt;&gt;"",IFERROR(VLOOKUP($B121,__rbp_p!$A:$B,2,FALSE),""),IFERROR(INDEX(DQAF_Input!$F$2:$F$129,MATCH(120,DQAF_Input!$AG$2:$AG$129,0)),"")))</f>
        <v/>
      </c>
      <c r="D121" s="4" t="str">
        <f>IF($B121="","",IFERROR(INDEX(DQAF_Input!$H$2:$H$129,MATCH(120,DQAF_Input!$AG$2:$AG$129,0)),""))</f>
        <v/>
      </c>
      <c r="E121" s="4" t="str">
        <f>IF($B121="","",IFERROR(INDEX(DQAF_Input!$J$2:$J$129,MATCH(120,DQAF_Input!$AG$2:$AG$129,0)),""))</f>
        <v/>
      </c>
      <c r="F121" s="4" t="str">
        <f>IF($B121="","",IFERROR(INDEX(DQAF_Input!$L$2:$L$129,MATCH(120,DQAF_Input!$AG$2:$AG$129,0)),""))</f>
        <v/>
      </c>
    </row>
    <row r="122" spans="1:6" x14ac:dyDescent="0.3">
      <c r="A122" s="12" t="str">
        <f>IF($B122="","",IFERROR(INDEX(DQAF_Input!$P$2:$P$129,MATCH(121,DQAF_Input!$AG$2:$AG$129,0)),""))</f>
        <v/>
      </c>
      <c r="B122" s="12" t="str">
        <f>IFERROR(INDEX(DQAF_Input!$E$2:$E$129,MATCH(121,DQAF_Input!$AG$2:$AG$129,0)),"")</f>
        <v/>
      </c>
      <c r="C122" s="4" t="str">
        <f>IF($B122="","",IF(IFERROR(VLOOKUP($B122,__rbp_p!$A:$B,2,FALSE),"")&lt;&gt;"",IFERROR(VLOOKUP($B122,__rbp_p!$A:$B,2,FALSE),""),IFERROR(INDEX(DQAF_Input!$F$2:$F$129,MATCH(121,DQAF_Input!$AG$2:$AG$129,0)),"")))</f>
        <v/>
      </c>
      <c r="D122" s="4" t="str">
        <f>IF($B122="","",IFERROR(INDEX(DQAF_Input!$H$2:$H$129,MATCH(121,DQAF_Input!$AG$2:$AG$129,0)),""))</f>
        <v/>
      </c>
      <c r="E122" s="4" t="str">
        <f>IF($B122="","",IFERROR(INDEX(DQAF_Input!$J$2:$J$129,MATCH(121,DQAF_Input!$AG$2:$AG$129,0)),""))</f>
        <v/>
      </c>
      <c r="F122" s="4" t="str">
        <f>IF($B122="","",IFERROR(INDEX(DQAF_Input!$L$2:$L$129,MATCH(121,DQAF_Input!$AG$2:$AG$129,0)),""))</f>
        <v/>
      </c>
    </row>
    <row r="123" spans="1:6" x14ac:dyDescent="0.3">
      <c r="A123" s="12" t="str">
        <f>IF($B123="","",IFERROR(INDEX(DQAF_Input!$P$2:$P$129,MATCH(122,DQAF_Input!$AG$2:$AG$129,0)),""))</f>
        <v/>
      </c>
      <c r="B123" s="12" t="str">
        <f>IFERROR(INDEX(DQAF_Input!$E$2:$E$129,MATCH(122,DQAF_Input!$AG$2:$AG$129,0)),"")</f>
        <v/>
      </c>
      <c r="C123" s="4" t="str">
        <f>IF($B123="","",IF(IFERROR(VLOOKUP($B123,__rbp_p!$A:$B,2,FALSE),"")&lt;&gt;"",IFERROR(VLOOKUP($B123,__rbp_p!$A:$B,2,FALSE),""),IFERROR(INDEX(DQAF_Input!$F$2:$F$129,MATCH(122,DQAF_Input!$AG$2:$AG$129,0)),"")))</f>
        <v/>
      </c>
      <c r="D123" s="4" t="str">
        <f>IF($B123="","",IFERROR(INDEX(DQAF_Input!$H$2:$H$129,MATCH(122,DQAF_Input!$AG$2:$AG$129,0)),""))</f>
        <v/>
      </c>
      <c r="E123" s="4" t="str">
        <f>IF($B123="","",IFERROR(INDEX(DQAF_Input!$J$2:$J$129,MATCH(122,DQAF_Input!$AG$2:$AG$129,0)),""))</f>
        <v/>
      </c>
      <c r="F123" s="4" t="str">
        <f>IF($B123="","",IFERROR(INDEX(DQAF_Input!$L$2:$L$129,MATCH(122,DQAF_Input!$AG$2:$AG$129,0)),""))</f>
        <v/>
      </c>
    </row>
    <row r="124" spans="1:6" x14ac:dyDescent="0.3">
      <c r="A124" s="12" t="str">
        <f>IF($B124="","",IFERROR(INDEX(DQAF_Input!$P$2:$P$129,MATCH(123,DQAF_Input!$AG$2:$AG$129,0)),""))</f>
        <v/>
      </c>
      <c r="B124" s="12" t="str">
        <f>IFERROR(INDEX(DQAF_Input!$E$2:$E$129,MATCH(123,DQAF_Input!$AG$2:$AG$129,0)),"")</f>
        <v/>
      </c>
      <c r="C124" s="4" t="str">
        <f>IF($B124="","",IF(IFERROR(VLOOKUP($B124,__rbp_p!$A:$B,2,FALSE),"")&lt;&gt;"",IFERROR(VLOOKUP($B124,__rbp_p!$A:$B,2,FALSE),""),IFERROR(INDEX(DQAF_Input!$F$2:$F$129,MATCH(123,DQAF_Input!$AG$2:$AG$129,0)),"")))</f>
        <v/>
      </c>
      <c r="D124" s="4" t="str">
        <f>IF($B124="","",IFERROR(INDEX(DQAF_Input!$H$2:$H$129,MATCH(123,DQAF_Input!$AG$2:$AG$129,0)),""))</f>
        <v/>
      </c>
      <c r="E124" s="4" t="str">
        <f>IF($B124="","",IFERROR(INDEX(DQAF_Input!$J$2:$J$129,MATCH(123,DQAF_Input!$AG$2:$AG$129,0)),""))</f>
        <v/>
      </c>
      <c r="F124" s="4" t="str">
        <f>IF($B124="","",IFERROR(INDEX(DQAF_Input!$L$2:$L$129,MATCH(123,DQAF_Input!$AG$2:$AG$129,0)),""))</f>
        <v/>
      </c>
    </row>
    <row r="125" spans="1:6" x14ac:dyDescent="0.3">
      <c r="A125" s="12" t="str">
        <f>IF($B125="","",IFERROR(INDEX(DQAF_Input!$P$2:$P$129,MATCH(124,DQAF_Input!$AG$2:$AG$129,0)),""))</f>
        <v/>
      </c>
      <c r="B125" s="12" t="str">
        <f>IFERROR(INDEX(DQAF_Input!$E$2:$E$129,MATCH(124,DQAF_Input!$AG$2:$AG$129,0)),"")</f>
        <v/>
      </c>
      <c r="C125" s="4" t="str">
        <f>IF($B125="","",IF(IFERROR(VLOOKUP($B125,__rbp_p!$A:$B,2,FALSE),"")&lt;&gt;"",IFERROR(VLOOKUP($B125,__rbp_p!$A:$B,2,FALSE),""),IFERROR(INDEX(DQAF_Input!$F$2:$F$129,MATCH(124,DQAF_Input!$AG$2:$AG$129,0)),"")))</f>
        <v/>
      </c>
      <c r="D125" s="4" t="str">
        <f>IF($B125="","",IFERROR(INDEX(DQAF_Input!$H$2:$H$129,MATCH(124,DQAF_Input!$AG$2:$AG$129,0)),""))</f>
        <v/>
      </c>
      <c r="E125" s="4" t="str">
        <f>IF($B125="","",IFERROR(INDEX(DQAF_Input!$J$2:$J$129,MATCH(124,DQAF_Input!$AG$2:$AG$129,0)),""))</f>
        <v/>
      </c>
      <c r="F125" s="4" t="str">
        <f>IF($B125="","",IFERROR(INDEX(DQAF_Input!$L$2:$L$129,MATCH(124,DQAF_Input!$AG$2:$AG$129,0)),""))</f>
        <v/>
      </c>
    </row>
    <row r="126" spans="1:6" x14ac:dyDescent="0.3">
      <c r="A126" s="12" t="str">
        <f>IF($B126="","",IFERROR(INDEX(DQAF_Input!$P$2:$P$129,MATCH(125,DQAF_Input!$AG$2:$AG$129,0)),""))</f>
        <v/>
      </c>
      <c r="B126" s="12" t="str">
        <f>IFERROR(INDEX(DQAF_Input!$E$2:$E$129,MATCH(125,DQAF_Input!$AG$2:$AG$129,0)),"")</f>
        <v/>
      </c>
      <c r="C126" s="4" t="str">
        <f>IF($B126="","",IF(IFERROR(VLOOKUP($B126,__rbp_p!$A:$B,2,FALSE),"")&lt;&gt;"",IFERROR(VLOOKUP($B126,__rbp_p!$A:$B,2,FALSE),""),IFERROR(INDEX(DQAF_Input!$F$2:$F$129,MATCH(125,DQAF_Input!$AG$2:$AG$129,0)),"")))</f>
        <v/>
      </c>
      <c r="D126" s="4" t="str">
        <f>IF($B126="","",IFERROR(INDEX(DQAF_Input!$H$2:$H$129,MATCH(125,DQAF_Input!$AG$2:$AG$129,0)),""))</f>
        <v/>
      </c>
      <c r="E126" s="4" t="str">
        <f>IF($B126="","",IFERROR(INDEX(DQAF_Input!$J$2:$J$129,MATCH(125,DQAF_Input!$AG$2:$AG$129,0)),""))</f>
        <v/>
      </c>
      <c r="F126" s="4" t="str">
        <f>IF($B126="","",IFERROR(INDEX(DQAF_Input!$L$2:$L$129,MATCH(125,DQAF_Input!$AG$2:$AG$129,0)),""))</f>
        <v/>
      </c>
    </row>
    <row r="127" spans="1:6" x14ac:dyDescent="0.3">
      <c r="A127" s="12" t="str">
        <f>IF($B127="","",IFERROR(INDEX(DQAF_Input!$P$2:$P$129,MATCH(126,DQAF_Input!$AG$2:$AG$129,0)),""))</f>
        <v/>
      </c>
      <c r="B127" s="12" t="str">
        <f>IFERROR(INDEX(DQAF_Input!$E$2:$E$129,MATCH(126,DQAF_Input!$AG$2:$AG$129,0)),"")</f>
        <v/>
      </c>
      <c r="C127" s="4" t="str">
        <f>IF($B127="","",IF(IFERROR(VLOOKUP($B127,__rbp_p!$A:$B,2,FALSE),"")&lt;&gt;"",IFERROR(VLOOKUP($B127,__rbp_p!$A:$B,2,FALSE),""),IFERROR(INDEX(DQAF_Input!$F$2:$F$129,MATCH(126,DQAF_Input!$AG$2:$AG$129,0)),"")))</f>
        <v/>
      </c>
      <c r="D127" s="4" t="str">
        <f>IF($B127="","",IFERROR(INDEX(DQAF_Input!$H$2:$H$129,MATCH(126,DQAF_Input!$AG$2:$AG$129,0)),""))</f>
        <v/>
      </c>
      <c r="E127" s="4" t="str">
        <f>IF($B127="","",IFERROR(INDEX(DQAF_Input!$J$2:$J$129,MATCH(126,DQAF_Input!$AG$2:$AG$129,0)),""))</f>
        <v/>
      </c>
      <c r="F127" s="4" t="str">
        <f>IF($B127="","",IFERROR(INDEX(DQAF_Input!$L$2:$L$129,MATCH(126,DQAF_Input!$AG$2:$AG$129,0)),""))</f>
        <v/>
      </c>
    </row>
    <row r="128" spans="1:6" x14ac:dyDescent="0.3">
      <c r="A128" s="12" t="str">
        <f>IF($B128="","",IFERROR(INDEX(DQAF_Input!$P$2:$P$129,MATCH(127,DQAF_Input!$AG$2:$AG$129,0)),""))</f>
        <v/>
      </c>
      <c r="B128" s="12" t="str">
        <f>IFERROR(INDEX(DQAF_Input!$E$2:$E$129,MATCH(127,DQAF_Input!$AG$2:$AG$129,0)),"")</f>
        <v/>
      </c>
      <c r="C128" s="4" t="str">
        <f>IF($B128="","",IF(IFERROR(VLOOKUP($B128,__rbp_p!$A:$B,2,FALSE),"")&lt;&gt;"",IFERROR(VLOOKUP($B128,__rbp_p!$A:$B,2,FALSE),""),IFERROR(INDEX(DQAF_Input!$F$2:$F$129,MATCH(127,DQAF_Input!$AG$2:$AG$129,0)),"")))</f>
        <v/>
      </c>
      <c r="D128" s="4" t="str">
        <f>IF($B128="","",IFERROR(INDEX(DQAF_Input!$H$2:$H$129,MATCH(127,DQAF_Input!$AG$2:$AG$129,0)),""))</f>
        <v/>
      </c>
      <c r="E128" s="4" t="str">
        <f>IF($B128="","",IFERROR(INDEX(DQAF_Input!$J$2:$J$129,MATCH(127,DQAF_Input!$AG$2:$AG$129,0)),""))</f>
        <v/>
      </c>
      <c r="F128" s="4" t="str">
        <f>IF($B128="","",IFERROR(INDEX(DQAF_Input!$L$2:$L$129,MATCH(127,DQAF_Input!$AG$2:$AG$129,0)),""))</f>
        <v/>
      </c>
    </row>
    <row r="129" spans="1:6" x14ac:dyDescent="0.3">
      <c r="A129" s="12" t="str">
        <f>IF($B129="","",IFERROR(INDEX(DQAF_Input!$P$2:$P$129,MATCH(128,DQAF_Input!$AG$2:$AG$129,0)),""))</f>
        <v/>
      </c>
      <c r="B129" s="12" t="str">
        <f>IFERROR(INDEX(DQAF_Input!$E$2:$E$129,MATCH(128,DQAF_Input!$AG$2:$AG$129,0)),"")</f>
        <v/>
      </c>
      <c r="C129" s="4" t="str">
        <f>IF($B129="","",IF(IFERROR(VLOOKUP($B129,__rbp_p!$A:$B,2,FALSE),"")&lt;&gt;"",IFERROR(VLOOKUP($B129,__rbp_p!$A:$B,2,FALSE),""),IFERROR(INDEX(DQAF_Input!$F$2:$F$129,MATCH(128,DQAF_Input!$AG$2:$AG$129,0)),"")))</f>
        <v/>
      </c>
      <c r="D129" s="4" t="str">
        <f>IF($B129="","",IFERROR(INDEX(DQAF_Input!$H$2:$H$129,MATCH(128,DQAF_Input!$AG$2:$AG$129,0)),""))</f>
        <v/>
      </c>
      <c r="E129" s="4" t="str">
        <f>IF($B129="","",IFERROR(INDEX(DQAF_Input!$J$2:$J$129,MATCH(128,DQAF_Input!$AG$2:$AG$129,0)),""))</f>
        <v/>
      </c>
      <c r="F129" s="4" t="str">
        <f>IF($B129="","",IFERROR(INDEX(DQAF_Input!$L$2:$L$129,MATCH(128,DQAF_Input!$AG$2:$AG$129,0)),""))</f>
        <v/>
      </c>
    </row>
  </sheetData>
  <sheetProtection sheet="1"/>
  <pageMargins left="0.05" right="0.05" top="0.05" bottom="0.05" header="0" footer="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DQAF_Input</vt:lpstr>
      <vt:lpstr>__lists</vt:lpstr>
      <vt:lpstr>__key</vt:lpstr>
      <vt:lpstr>__weights_indicator</vt:lpstr>
      <vt:lpstr>__weights_element</vt:lpstr>
      <vt:lpstr>__rbp_p</vt:lpstr>
      <vt:lpstr>Maturity by Indicator</vt:lpstr>
      <vt:lpstr>Maturity by Element</vt:lpstr>
      <vt:lpstr>Maturity by Dimension</vt:lpstr>
      <vt:lpstr>S&amp;C Not Relevant</vt:lpstr>
      <vt:lpstr>Draft Action Plan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Antonio Moeaki</cp:lastModifiedBy>
  <cp:revision/>
  <dcterms:created xsi:type="dcterms:W3CDTF">2026-04-28T11:29:36Z</dcterms:created>
  <dcterms:modified xsi:type="dcterms:W3CDTF">2026-07-05T20:34:28Z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07ed86-5dc5-4593-ad03-a8684b843815_Enabled">
    <vt:lpwstr>true</vt:lpwstr>
  </property>
  <property fmtid="{D5CDD505-2E9C-101B-9397-08002B2CF9AE}" pid="3" name="MSIP_Label_0c07ed86-5dc5-4593-ad03-a8684b843815_SetDate">
    <vt:lpwstr>2026-05-22T15:03:06Z</vt:lpwstr>
  </property>
  <property fmtid="{D5CDD505-2E9C-101B-9397-08002B2CF9AE}" pid="4" name="MSIP_Label_0c07ed86-5dc5-4593-ad03-a8684b843815_Method">
    <vt:lpwstr>Standard</vt:lpwstr>
  </property>
  <property fmtid="{D5CDD505-2E9C-101B-9397-08002B2CF9AE}" pid="5" name="MSIP_Label_0c07ed86-5dc5-4593-ad03-a8684b843815_Name">
    <vt:lpwstr>0c07ed86-5dc5-4593-ad03-a8684b843815</vt:lpwstr>
  </property>
  <property fmtid="{D5CDD505-2E9C-101B-9397-08002B2CF9AE}" pid="6" name="MSIP_Label_0c07ed86-5dc5-4593-ad03-a8684b843815_SiteId">
    <vt:lpwstr>8085fa43-302e-45bd-b171-a6648c3b6be7</vt:lpwstr>
  </property>
  <property fmtid="{D5CDD505-2E9C-101B-9397-08002B2CF9AE}" pid="7" name="MSIP_Label_0c07ed86-5dc5-4593-ad03-a8684b843815_ActionId">
    <vt:lpwstr>d6256537-d7d8-406b-9000-0e99f71e21d4</vt:lpwstr>
  </property>
  <property fmtid="{D5CDD505-2E9C-101B-9397-08002B2CF9AE}" pid="8" name="MSIP_Label_0c07ed86-5dc5-4593-ad03-a8684b843815_ContentBits">
    <vt:lpwstr>0</vt:lpwstr>
  </property>
  <property fmtid="{D5CDD505-2E9C-101B-9397-08002B2CF9AE}" pid="9" name="MSIP_Label_0c07ed86-5dc5-4593-ad03-a8684b843815_Tag">
    <vt:lpwstr>10, 3, 0, 2</vt:lpwstr>
  </property>
</Properties>
</file>