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moeaki\Desktop\"/>
    </mc:Choice>
  </mc:AlternateContent>
  <xr:revisionPtr revIDLastSave="0" documentId="13_ncr:1_{8DFD9176-C5D9-47E5-B555-98013B50C01C}" xr6:coauthVersionLast="47" xr6:coauthVersionMax="47" xr10:uidLastSave="{00000000-0000-0000-0000-000000000000}"/>
  <bookViews>
    <workbookView xWindow="-108" yWindow="-108" windowWidth="23256" windowHeight="13896" activeTab="1" xr2:uid="{FD130E46-382D-4D1A-8BC5-883C5266DDBB}"/>
  </bookViews>
  <sheets>
    <sheet name="Data" sheetId="1" r:id="rId1"/>
    <sheet name="Sheet1" sheetId="4" r:id="rId2"/>
    <sheet name="GDP" sheetId="2" r:id="rId3"/>
    <sheet name="Monthly indicators" sheetId="3" r:id="rId4"/>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4" l="1"/>
  <c r="D20" i="4"/>
  <c r="E20" i="4"/>
  <c r="F20" i="4"/>
  <c r="G20" i="4"/>
  <c r="H20" i="4"/>
  <c r="I20" i="4"/>
  <c r="J20" i="4"/>
  <c r="K20" i="4"/>
  <c r="L20" i="4"/>
  <c r="M20" i="4"/>
  <c r="N20" i="4"/>
  <c r="C19" i="4"/>
  <c r="D19" i="4"/>
  <c r="E19" i="4"/>
  <c r="F19" i="4"/>
  <c r="G19" i="4"/>
  <c r="H19" i="4"/>
  <c r="I19" i="4"/>
  <c r="J19" i="4"/>
  <c r="K19" i="4"/>
  <c r="L19" i="4"/>
  <c r="M19" i="4"/>
  <c r="N19" i="4"/>
  <c r="B20" i="4"/>
  <c r="B19" i="4"/>
  <c r="C18" i="4"/>
  <c r="D18" i="4"/>
  <c r="E18" i="4"/>
  <c r="F18" i="4"/>
  <c r="G18" i="4"/>
  <c r="H18" i="4"/>
  <c r="I18" i="4"/>
  <c r="J18" i="4"/>
  <c r="K18" i="4"/>
  <c r="L18" i="4"/>
  <c r="M18" i="4"/>
  <c r="N18" i="4"/>
  <c r="B18" i="4"/>
  <c r="C11" i="4"/>
  <c r="D11" i="4"/>
  <c r="E11" i="4"/>
  <c r="F11" i="4"/>
  <c r="G11" i="4"/>
  <c r="H11" i="4"/>
  <c r="I11" i="4"/>
  <c r="J11" i="4"/>
  <c r="K11" i="4"/>
  <c r="L11" i="4"/>
  <c r="M11" i="4"/>
  <c r="N11" i="4"/>
  <c r="C10" i="4"/>
  <c r="D10" i="4"/>
  <c r="E10" i="4"/>
  <c r="F10" i="4"/>
  <c r="G10" i="4"/>
  <c r="H10" i="4"/>
  <c r="I10" i="4"/>
  <c r="J10" i="4"/>
  <c r="K10" i="4"/>
  <c r="L10" i="4"/>
  <c r="M10" i="4"/>
  <c r="N10" i="4"/>
  <c r="B11" i="4"/>
  <c r="B10" i="4"/>
  <c r="C9" i="4"/>
  <c r="D9" i="4"/>
  <c r="E9" i="4"/>
  <c r="F9" i="4"/>
  <c r="G9" i="4"/>
  <c r="H9" i="4"/>
  <c r="I9" i="4"/>
  <c r="J9" i="4"/>
  <c r="K9" i="4"/>
  <c r="L9" i="4"/>
  <c r="M9" i="4"/>
  <c r="N9" i="4"/>
  <c r="B9" i="4"/>
  <c r="P3" i="4"/>
  <c r="Q5" i="1" l="1"/>
  <c r="R5" i="1"/>
  <c r="S5" i="1"/>
  <c r="T5" i="1"/>
  <c r="U5" i="1"/>
  <c r="V5" i="1"/>
  <c r="W5" i="1"/>
  <c r="X5" i="1"/>
  <c r="Y5" i="1"/>
  <c r="Z5" i="1"/>
  <c r="AA5" i="1"/>
  <c r="AB5" i="1"/>
  <c r="AC5" i="1"/>
  <c r="AD5" i="1"/>
  <c r="AE5" i="1"/>
  <c r="P5" i="1"/>
  <c r="O5" i="1"/>
  <c r="B5" i="1" a="1"/>
  <c r="B5" i="1" s="1"/>
  <c r="U6" i="1" a="1"/>
  <c r="U6" i="1" s="1"/>
  <c r="M23" i="1" l="1"/>
  <c r="M22" i="1"/>
  <c r="M21" i="1"/>
  <c r="B22" i="1"/>
  <c r="B6" i="1" l="1" a="1"/>
  <c r="B6" i="1" s="1"/>
  <c r="C30" i="2" l="1"/>
  <c r="C33" i="2" s="1"/>
  <c r="D30" i="2"/>
  <c r="D33" i="2" s="1"/>
  <c r="E30" i="2"/>
  <c r="E33" i="2" s="1"/>
  <c r="E38" i="2" s="1"/>
  <c r="F30" i="2"/>
  <c r="F33" i="2" s="1"/>
  <c r="F38" i="2" s="1"/>
  <c r="G30" i="2"/>
  <c r="G33" i="2" s="1"/>
  <c r="G38" i="2" s="1"/>
  <c r="H30" i="2"/>
  <c r="H33" i="2" s="1"/>
  <c r="I30" i="2"/>
  <c r="I33" i="2" s="1"/>
  <c r="J30" i="2"/>
  <c r="J33" i="2" s="1"/>
  <c r="K30" i="2"/>
  <c r="K33" i="2" s="1"/>
  <c r="L30" i="2"/>
  <c r="L33" i="2" s="1"/>
  <c r="M30" i="2"/>
  <c r="M33" i="2" s="1"/>
  <c r="N30" i="2"/>
  <c r="N33" i="2" s="1"/>
  <c r="N38" i="2" s="1"/>
  <c r="O30" i="2"/>
  <c r="O33" i="2" s="1"/>
  <c r="P30" i="2"/>
  <c r="P33" i="2" s="1"/>
  <c r="P38" i="2" s="1"/>
  <c r="Q30" i="2"/>
  <c r="Q33" i="2" s="1"/>
  <c r="Q38" i="2" s="1"/>
  <c r="R30" i="2"/>
  <c r="R33" i="2" s="1"/>
  <c r="R38" i="2" s="1"/>
  <c r="B30" i="2"/>
  <c r="B33" i="2" s="1"/>
  <c r="C5" i="2"/>
  <c r="D5" i="2"/>
  <c r="E5" i="2"/>
  <c r="F5" i="2"/>
  <c r="G5" i="2"/>
  <c r="H5" i="2"/>
  <c r="I5" i="2"/>
  <c r="J5" i="2"/>
  <c r="K5" i="2"/>
  <c r="L5" i="2"/>
  <c r="M5" i="2"/>
  <c r="N5" i="2"/>
  <c r="O5" i="2"/>
  <c r="P5" i="2"/>
  <c r="Q5" i="2"/>
  <c r="R5" i="2"/>
  <c r="B5" i="2"/>
  <c r="I38" i="2" l="1"/>
  <c r="O38" i="2"/>
  <c r="K38" i="2"/>
  <c r="D38" i="2"/>
  <c r="M38" i="2"/>
  <c r="L38" i="2"/>
  <c r="J38" i="2"/>
  <c r="C38" i="2"/>
  <c r="H3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tc={C4F7F16B-80BF-4585-9DD8-D033503655B3}</author>
    <author>'Ana Lotuma Falefehi Ika</author>
  </authors>
  <commentList>
    <comment ref="JC2" authorId="0" shapeId="0" xr:uid="{C4F7F16B-80BF-4585-9DD8-D033503655B3}">
      <text>
        <t xml:space="preserve">[Threaded comment]
Your version of Excel allows you to read this threaded comment; however, any edits to it will get removed if the file is opened in a newer version of Excel. Learn more: https://go.microsoft.com/fwlink/?linkid=870924
Comment:
    Tonga's official foreign reserves rose sharply in October 2025 by $42.3 million to $939.5 million, owing to inflows of official grants and remittances. This is equivalent to 10.9 months of imports cover, above the IMF's recommended threshold of 7.5 months. Similarly, the foreign reserves increased over the year by $41.3 million. </t>
      </text>
    </comment>
    <comment ref="EL3" authorId="1" shapeId="0" xr:uid="{A8E55D42-59B4-427E-BF00-F98E65F3F841}">
      <text>
        <r>
          <rPr>
            <b/>
            <sz val="9"/>
            <color indexed="81"/>
            <rFont val="Tahoma"/>
            <family val="2"/>
          </rPr>
          <t xml:space="preserve">aika:
</t>
        </r>
        <r>
          <rPr>
            <sz val="9"/>
            <color indexed="81"/>
            <rFont val="Tahoma"/>
            <family val="2"/>
          </rPr>
          <t xml:space="preserve">update using the new method started in Sept 2015 onwards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<sst xmlns="http://schemas.openxmlformats.org/spreadsheetml/2006/main" count="228" uniqueCount="136">
  <si>
    <t>Primary Sector</t>
  </si>
  <si>
    <t>Fishing</t>
  </si>
  <si>
    <t>Industrial Sector</t>
  </si>
  <si>
    <t>Manufacturing</t>
  </si>
  <si>
    <t>Electricity, water and waste</t>
  </si>
  <si>
    <t>Construction with PG</t>
  </si>
  <si>
    <t>Financial and insurance activities</t>
  </si>
  <si>
    <t>Real estate activities</t>
  </si>
  <si>
    <t>Ownership of dwellings</t>
  </si>
  <si>
    <t>Other real estate activities</t>
  </si>
  <si>
    <t>Professional, scientific and technical activities</t>
  </si>
  <si>
    <t>Administrative and support service activities</t>
  </si>
  <si>
    <t>Education</t>
  </si>
  <si>
    <t>Human health and social work activities</t>
  </si>
  <si>
    <t>Arts, entertainment and recreation</t>
  </si>
  <si>
    <t>Other service activities</t>
  </si>
  <si>
    <t>GDP at factor cost</t>
  </si>
  <si>
    <t>2011/12</t>
  </si>
  <si>
    <t>2012/13</t>
  </si>
  <si>
    <t>2013/14</t>
  </si>
  <si>
    <t>2014/15</t>
  </si>
  <si>
    <t>2015/16</t>
  </si>
  <si>
    <t>2016/17</t>
  </si>
  <si>
    <t>2017/18</t>
  </si>
  <si>
    <t>2018/19</t>
  </si>
  <si>
    <t>2019/20r</t>
  </si>
  <si>
    <t>2020/21</t>
  </si>
  <si>
    <t>2021/22</t>
  </si>
  <si>
    <t>2022/23</t>
  </si>
  <si>
    <t>2023/24f</t>
  </si>
  <si>
    <t>2024/25f</t>
  </si>
  <si>
    <t>2025/26f</t>
  </si>
  <si>
    <t>2026/27f</t>
  </si>
  <si>
    <t>2027/28f</t>
  </si>
  <si>
    <t>GDP at constant prices (2016/17 prices TOPm)</t>
  </si>
  <si>
    <t>11/12</t>
  </si>
  <si>
    <t>12/13</t>
  </si>
  <si>
    <t>13/14</t>
  </si>
  <si>
    <t>014/15</t>
  </si>
  <si>
    <t>15/16</t>
  </si>
  <si>
    <t>16/17</t>
  </si>
  <si>
    <t>17/18</t>
  </si>
  <si>
    <t>18/19</t>
  </si>
  <si>
    <t>19/20r</t>
  </si>
  <si>
    <t>20/21</t>
  </si>
  <si>
    <t>21/22</t>
  </si>
  <si>
    <t>22/23p</t>
  </si>
  <si>
    <t>23/24f</t>
  </si>
  <si>
    <t>24/25f</t>
  </si>
  <si>
    <t>25/26f</t>
  </si>
  <si>
    <t>26/27f</t>
  </si>
  <si>
    <t>27/28f</t>
  </si>
  <si>
    <t>Agriculture sector</t>
  </si>
  <si>
    <t>Mining and Quarrying</t>
  </si>
  <si>
    <t xml:space="preserve">Services </t>
  </si>
  <si>
    <t>Wholesale and retail</t>
  </si>
  <si>
    <t>Transport and stroage</t>
  </si>
  <si>
    <t>Accommodation and food services</t>
  </si>
  <si>
    <t xml:space="preserve">Information and communication </t>
  </si>
  <si>
    <t>Public adminitration and defence</t>
  </si>
  <si>
    <t>add taxes (VAT, excise)</t>
  </si>
  <si>
    <t>less subsidies on products</t>
  </si>
  <si>
    <t>GDP at market prices</t>
  </si>
  <si>
    <t xml:space="preserve">GDP growth </t>
  </si>
  <si>
    <t xml:space="preserve">IMF GDP </t>
  </si>
  <si>
    <t xml:space="preserve">NRBT </t>
  </si>
  <si>
    <t>Statistics</t>
  </si>
  <si>
    <t>Primary</t>
  </si>
  <si>
    <t>Secondary</t>
  </si>
  <si>
    <t>Tertiary</t>
  </si>
  <si>
    <t>Nominal GDP</t>
  </si>
  <si>
    <t>Real GDP</t>
  </si>
  <si>
    <t>FY2018</t>
  </si>
  <si>
    <t>FY2019</t>
  </si>
  <si>
    <t>FY2020</t>
  </si>
  <si>
    <t>FY2021</t>
  </si>
  <si>
    <t>FY2022</t>
  </si>
  <si>
    <t>FY2023</t>
  </si>
  <si>
    <t>FY2024</t>
  </si>
  <si>
    <t>FY2025</t>
  </si>
  <si>
    <t>FY2026</t>
  </si>
  <si>
    <t>FY2027</t>
  </si>
  <si>
    <t>FY2028</t>
  </si>
  <si>
    <t>FY2029</t>
  </si>
  <si>
    <t>MOF GDP</t>
  </si>
  <si>
    <t>Inflation</t>
  </si>
  <si>
    <t>Foreign Reserves</t>
  </si>
  <si>
    <t>Exports</t>
  </si>
  <si>
    <t>Imports</t>
  </si>
  <si>
    <t>Remmittances</t>
  </si>
  <si>
    <t>Total private</t>
  </si>
  <si>
    <t>Monetary Indicators</t>
  </si>
  <si>
    <t>2019/20</t>
  </si>
  <si>
    <t>470/68</t>
  </si>
  <si>
    <t>2023/24</t>
  </si>
  <si>
    <t>Housing</t>
  </si>
  <si>
    <t>Personal</t>
  </si>
  <si>
    <t>Business</t>
  </si>
  <si>
    <t>Agriculture</t>
  </si>
  <si>
    <t>Other</t>
  </si>
  <si>
    <t>Fiscal Indicators</t>
  </si>
  <si>
    <t>1998/99</t>
  </si>
  <si>
    <t>1999/00</t>
  </si>
  <si>
    <t>2000/01</t>
  </si>
  <si>
    <t>2001/02</t>
  </si>
  <si>
    <t>2002/03</t>
  </si>
  <si>
    <t>2003/04</t>
  </si>
  <si>
    <t>2004/05</t>
  </si>
  <si>
    <t>2005/06</t>
  </si>
  <si>
    <t>2006/07</t>
  </si>
  <si>
    <t>2007/08</t>
  </si>
  <si>
    <t>2008/09</t>
  </si>
  <si>
    <t>2009/10</t>
  </si>
  <si>
    <t>2010/11</t>
  </si>
  <si>
    <t>2024/25</t>
  </si>
  <si>
    <t>2025/26</t>
  </si>
  <si>
    <t>2026/27</t>
  </si>
  <si>
    <t>2027/28</t>
  </si>
  <si>
    <t>2028/29</t>
  </si>
  <si>
    <t>Remittances</t>
  </si>
  <si>
    <t>Import cover</t>
  </si>
  <si>
    <t xml:space="preserve">*IMF's recommended threshold for MOI is 7.5 </t>
  </si>
  <si>
    <t xml:space="preserve">Import Cover </t>
  </si>
  <si>
    <t>AUD</t>
  </si>
  <si>
    <t>CAD</t>
  </si>
  <si>
    <t>CHF</t>
  </si>
  <si>
    <t>EUR</t>
  </si>
  <si>
    <t>FJD</t>
  </si>
  <si>
    <t>GBP</t>
  </si>
  <si>
    <t>JPY</t>
  </si>
  <si>
    <t>NZD</t>
  </si>
  <si>
    <t>SEK</t>
  </si>
  <si>
    <t>SGD</t>
  </si>
  <si>
    <t>USD</t>
  </si>
  <si>
    <t>WST</t>
  </si>
  <si>
    <t>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</si>
</sst>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0_-;\-* #,##0.0_-;_-* &quot;-&quot;??_-;_-@_-"/>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Times New Roman"/>
      <family val="1"/>
    </font>
    <font>
      <b/>
      <sz val="12"/>
      <name val="Aptos Narrow"/>
      <family val="2"/>
      <scheme val="minor"/>
    </font>
    <font>
      <b/>
      <sz val="11"/>
      <name val="Aptos Narrow"/>
      <family val="2"/>
      <scheme val="minor"/>
    </font>
    <font>
      <b/>
      <sz val="12"/>
      <color indexed="8"/>
      <name val="Aptos Narrow"/>
      <family val="2"/>
      <scheme val="minor"/>
    </font>
    <font>
      <b/>
      <sz val="11"/>
      <color theme="4"/>
      <name val="Aptos Narrow"/>
      <family val="2"/>
      <scheme val="minor"/>
    </font>
    <font>
      <sz val="11"/>
      <color theme="2" tint="-0.499984740745262"/>
      <name val="Aptos Narrow"/>
      <family val="2"/>
      <scheme val="minor"/>
    </font>
    <font>
      <sz val="10"/>
      <color theme="1"/>
      <name val="Times New Roman"/>
      <family val="2"/>
    </font>
    <font>
      <sz val="8"/>
      <name val="Aptos Narrow"/>
      <family val="2"/>
      <scheme val="minor"/>
    </font>
    <font>
      <b/>
      <sz val="18"/>
      <color theme="0"/>
      <name val="Aptos Narrow"/>
      <family val="2"/>
      <scheme val="minor"/>
    </font>
    <font>
      <sz val="12"/>
      <name val="Aptos Narrow"/>
      <family val="2"/>
      <scheme val="minor"/>
    </font>
    <font>
      <sz val="12"/>
      <color rgb="FFFF0000"/>
      <name val="Aptos Narrow"/>
      <family val="2"/>
      <scheme val="minor"/>
    </font>
    <font>
      <b/>
      <sz val="12"/>
      <color theme="1"/>
      <name val="Aptos Narrow"/>
      <family val="2"/>
      <scheme val="minor"/>
    </font>
    <font>
      <b/>
      <sz val="9"/>
      <color indexed="81"/>
      <name val="Tahoma"/>
      <family val="2"/>
    </font>
    <font>
      <sz val="9"/>
      <color indexed="81"/>
      <name val="Tahoma"/>
      <family val="2"/>
    </font>
    <font>
      <b/>
      <sz val="10"/>
      <color rgb="FF000000"/>
      <name val="Segoe UI"/>
      <family val="2"/>
    </font>
    <font>
      <sz val="10"/>
      <color rgb="FF000000"/>
      <name val="Segoe UI"/>
      <family val="2"/>
    </font>
  </fonts>
  <fills count="1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6"/>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4"/>
        <bgColor indexed="64"/>
      </patternFill>
    </fill>
    <fill>
      <patternFill patternType="solid">
        <fgColor theme="2"/>
        <bgColor indexed="64"/>
      </patternFill>
    </fill>
    <fill>
      <patternFill patternType="solid">
        <fgColor theme="5" tint="0.79998168889431442"/>
        <bgColor indexed="64"/>
      </patternFill>
    </fill>
    <fill>
      <patternFill patternType="solid">
        <fgColor rgb="FFFFFFFF"/>
        <bgColor rgb="FF000000"/>
      </patternFill>
    </fill>
  </fills>
  <borders count="15">
    <border>
      <left/>
      <right/>
      <top/>
      <bottom/>
      <diagonal/>
    </border>
    <border>
      <left/>
      <right/>
      <top style="thin">
        <color auto="1"/>
      </top>
      <bottom style="medium">
        <color auto="1"/>
      </bottom>
      <diagonal/>
    </border>
    <border>
      <left/>
      <right style="thin">
        <color auto="1"/>
      </right>
      <top/>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auto="1"/>
      </top>
      <bottom/>
      <diagonal/>
    </border>
    <border>
      <left/>
      <right style="thin">
        <color indexed="64"/>
      </right>
      <top style="thin">
        <color auto="1"/>
      </top>
      <bottom/>
      <diagonal/>
    </border>
    <border>
      <left/>
      <right/>
      <top/>
      <bottom style="medium">
        <color auto="1"/>
      </bottom>
      <diagonal/>
    </border>
    <border>
      <left style="thin">
        <color theme="0" tint="-0.14996795556505021"/>
      </left>
      <right style="thin">
        <color theme="0" tint="-0.14996795556505021"/>
      </right>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3" fillId="0" borderId="0"/>
    <xf numFmtId="43" fontId="1" fillId="0" borderId="0" applyFont="0" applyFill="0" applyBorder="0" applyAlignment="0" applyProtection="0"/>
    <xf numFmtId="43" fontId="3" fillId="0" borderId="0" applyFont="0" applyFill="0" applyBorder="0" applyAlignment="0" applyProtection="0"/>
    <xf numFmtId="0" fontId="9" fillId="0" borderId="0"/>
    <xf numFmtId="43" fontId="1" fillId="0" borderId="0" applyFont="0" applyFill="0" applyBorder="0" applyAlignment="0" applyProtection="0"/>
  </cellStyleXfs>
  <cellXfs count="87">
    <xf numFmtId="0" fontId="0" fillId="0" borderId="0" xfId="0"/>
    <xf numFmtId="0" fontId="2" fillId="2" borderId="3" xfId="0" applyFont="1" applyFill="1" applyBorder="1" applyAlignment="1">
      <alignment horizontal="right" vertical="center"/>
    </xf>
    <xf numFmtId="0" fontId="2" fillId="2" borderId="0" xfId="0" applyFont="1" applyFill="1" applyAlignment="1">
      <alignment horizontal="right" vertical="center"/>
    </xf>
    <xf numFmtId="0" fontId="2" fillId="0" borderId="0" xfId="0" applyFont="1" applyAlignment="1">
      <alignment horizontal="right" vertical="center"/>
    </xf>
    <xf numFmtId="0" fontId="5" fillId="0" borderId="0" xfId="0" applyFont="1" applyAlignment="1">
      <alignment horizontal="right" vertical="center"/>
    </xf>
    <xf numFmtId="0" fontId="2" fillId="0" borderId="2" xfId="0" applyFont="1" applyBorder="1" applyAlignment="1">
      <alignment horizontal="right" vertical="center"/>
    </xf>
    <xf numFmtId="0" fontId="2" fillId="3" borderId="0" xfId="0" applyFont="1" applyFill="1" applyAlignment="1">
      <alignment horizontal="right" vertical="center"/>
    </xf>
    <xf numFmtId="0" fontId="5" fillId="3" borderId="0" xfId="0" applyFont="1" applyFill="1" applyAlignment="1">
      <alignment horizontal="right" vertical="center"/>
    </xf>
    <xf numFmtId="0" fontId="5" fillId="4" borderId="0" xfId="0" applyFont="1" applyFill="1" applyAlignment="1">
      <alignment horizontal="right" vertical="center"/>
    </xf>
    <xf numFmtId="0" fontId="7" fillId="0" borderId="0" xfId="0" applyFont="1"/>
    <xf numFmtId="2" fontId="0" fillId="0" borderId="0" xfId="0" applyNumberFormat="1"/>
    <xf numFmtId="0" fontId="0" fillId="0" borderId="0" xfId="0" applyAlignment="1">
      <alignment horizontal="left" indent="3"/>
    </xf>
    <xf numFmtId="164" fontId="0" fillId="0" borderId="0" xfId="0" applyNumberFormat="1"/>
    <xf numFmtId="0" fontId="0" fillId="0" borderId="0" xfId="0" applyAlignment="1">
      <alignment horizontal="left" indent="4"/>
    </xf>
    <xf numFmtId="164" fontId="8" fillId="0" borderId="0" xfId="0" applyNumberFormat="1" applyFont="1"/>
    <xf numFmtId="0" fontId="0" fillId="0" borderId="4" xfId="0" applyBorder="1"/>
    <xf numFmtId="0" fontId="2" fillId="0" borderId="1" xfId="0" applyFont="1" applyBorder="1" applyAlignment="1">
      <alignment horizontal="left" indent="1"/>
    </xf>
    <xf numFmtId="164" fontId="0" fillId="0" borderId="1" xfId="0" applyNumberFormat="1" applyBorder="1"/>
    <xf numFmtId="0" fontId="2" fillId="0" borderId="5" xfId="0" applyFont="1" applyBorder="1"/>
    <xf numFmtId="164" fontId="2" fillId="0" borderId="5" xfId="0" applyNumberFormat="1" applyFont="1" applyBorder="1"/>
    <xf numFmtId="0" fontId="6" fillId="0" borderId="6" xfId="1" quotePrefix="1" applyFont="1" applyBorder="1" applyAlignment="1" applyProtection="1">
      <alignment vertical="top"/>
      <protection locked="0"/>
    </xf>
    <xf numFmtId="0" fontId="6" fillId="0" borderId="6" xfId="1" applyFont="1" applyBorder="1" applyAlignment="1" applyProtection="1">
      <alignment vertical="top"/>
      <protection locked="0"/>
    </xf>
    <xf numFmtId="0" fontId="4" fillId="0" borderId="6" xfId="1" applyFont="1" applyBorder="1" applyAlignment="1" applyProtection="1">
      <alignment vertical="top"/>
      <protection locked="0"/>
    </xf>
    <xf numFmtId="0" fontId="6" fillId="0" borderId="7" xfId="1" applyFont="1" applyBorder="1" applyAlignment="1" applyProtection="1">
      <alignment vertical="top"/>
      <protection locked="0"/>
    </xf>
    <xf numFmtId="0" fontId="6" fillId="3" borderId="6" xfId="1" applyFont="1" applyFill="1" applyBorder="1" applyAlignment="1" applyProtection="1">
      <alignment vertical="top"/>
      <protection locked="0"/>
    </xf>
    <xf numFmtId="0" fontId="4" fillId="3" borderId="6" xfId="1" applyFont="1" applyFill="1" applyBorder="1" applyAlignment="1" applyProtection="1">
      <alignment horizontal="right"/>
      <protection locked="0"/>
    </xf>
    <xf numFmtId="0" fontId="4" fillId="4" borderId="6" xfId="1" applyFont="1" applyFill="1" applyBorder="1" applyAlignment="1" applyProtection="1">
      <alignment horizontal="right"/>
      <protection locked="0"/>
    </xf>
    <xf numFmtId="0" fontId="7" fillId="0" borderId="1" xfId="0" applyFont="1" applyBorder="1"/>
    <xf numFmtId="164" fontId="0" fillId="0" borderId="6" xfId="0" applyNumberFormat="1" applyBorder="1"/>
    <xf numFmtId="0" fontId="6" fillId="6" borderId="0" xfId="1" applyFont="1" applyFill="1" applyAlignment="1" applyProtection="1">
      <alignment vertical="top"/>
      <protection locked="0"/>
    </xf>
    <xf numFmtId="0" fontId="6" fillId="6" borderId="0" xfId="1" quotePrefix="1" applyFont="1" applyFill="1" applyAlignment="1" applyProtection="1">
      <alignment vertical="top"/>
      <protection locked="0"/>
    </xf>
    <xf numFmtId="0" fontId="0" fillId="5" borderId="0" xfId="0" applyFill="1"/>
    <xf numFmtId="0" fontId="4" fillId="6" borderId="0" xfId="1" applyFont="1" applyFill="1" applyAlignment="1" applyProtection="1">
      <alignment vertical="top"/>
      <protection locked="0"/>
    </xf>
    <xf numFmtId="0" fontId="6" fillId="6" borderId="2" xfId="1" applyFont="1" applyFill="1" applyBorder="1" applyAlignment="1" applyProtection="1">
      <alignment vertical="top"/>
      <protection locked="0"/>
    </xf>
    <xf numFmtId="0" fontId="4" fillId="6" borderId="0" xfId="1" applyFont="1" applyFill="1" applyAlignment="1" applyProtection="1">
      <alignment horizontal="right"/>
      <protection locked="0"/>
    </xf>
    <xf numFmtId="0" fontId="7" fillId="7" borderId="1" xfId="0" applyFont="1" applyFill="1" applyBorder="1"/>
    <xf numFmtId="2" fontId="7" fillId="7" borderId="1" xfId="0" applyNumberFormat="1" applyFont="1" applyFill="1" applyBorder="1"/>
    <xf numFmtId="0" fontId="0" fillId="7" borderId="0" xfId="0" applyFill="1"/>
    <xf numFmtId="165" fontId="2" fillId="7" borderId="0" xfId="0" applyNumberFormat="1" applyFont="1" applyFill="1"/>
    <xf numFmtId="4" fontId="2" fillId="7" borderId="0" xfId="0" applyNumberFormat="1" applyFont="1" applyFill="1"/>
    <xf numFmtId="0" fontId="7" fillId="7" borderId="0" xfId="0" applyFont="1" applyFill="1"/>
    <xf numFmtId="2" fontId="7" fillId="7" borderId="0" xfId="0" applyNumberFormat="1" applyFont="1" applyFill="1"/>
    <xf numFmtId="0" fontId="0" fillId="0" borderId="0" xfId="0" applyAlignment="1">
      <alignment vertical="center"/>
    </xf>
    <xf numFmtId="0" fontId="11" fillId="8" borderId="0" xfId="0" applyFont="1" applyFill="1" applyAlignment="1">
      <alignment horizontal="left" vertical="center" wrapText="1"/>
    </xf>
    <xf numFmtId="2" fontId="4" fillId="0" borderId="8" xfId="0" applyNumberFormat="1" applyFont="1" applyBorder="1" applyAlignment="1">
      <alignment horizontal="center" wrapText="1"/>
    </xf>
    <xf numFmtId="2" fontId="4" fillId="9" borderId="8" xfId="0" applyNumberFormat="1" applyFont="1" applyFill="1" applyBorder="1" applyAlignment="1">
      <alignment horizontal="center" wrapText="1"/>
    </xf>
    <xf numFmtId="2" fontId="4" fillId="5" borderId="9" xfId="0" applyNumberFormat="1" applyFont="1" applyFill="1" applyBorder="1" applyAlignment="1">
      <alignment horizontal="center" wrapText="1"/>
    </xf>
    <xf numFmtId="14" fontId="4" fillId="5" borderId="9" xfId="0" applyNumberFormat="1" applyFont="1" applyFill="1" applyBorder="1" applyAlignment="1">
      <alignment horizontal="center" wrapText="1"/>
    </xf>
    <xf numFmtId="166" fontId="12" fillId="0" borderId="0" xfId="0" applyNumberFormat="1" applyFont="1" applyAlignment="1">
      <alignment horizontal="right"/>
    </xf>
    <xf numFmtId="166" fontId="12" fillId="0" borderId="0" xfId="5" applyNumberFormat="1" applyFont="1" applyAlignment="1">
      <alignment horizontal="right"/>
    </xf>
    <xf numFmtId="166" fontId="12" fillId="0" borderId="2" xfId="5" applyNumberFormat="1" applyFont="1" applyBorder="1" applyAlignment="1">
      <alignment horizontal="right"/>
    </xf>
    <xf numFmtId="166" fontId="12" fillId="0" borderId="0" xfId="5" applyNumberFormat="1" applyFont="1" applyAlignment="1">
      <alignment horizontal="right" vertical="center"/>
    </xf>
    <xf numFmtId="166" fontId="13" fillId="0" borderId="0" xfId="5" applyNumberFormat="1" applyFont="1" applyAlignment="1">
      <alignment horizontal="right" vertical="center"/>
    </xf>
    <xf numFmtId="166" fontId="13" fillId="0" borderId="0" xfId="5" applyNumberFormat="1" applyFont="1"/>
    <xf numFmtId="166" fontId="0" fillId="0" borderId="0" xfId="5" applyNumberFormat="1" applyFont="1"/>
    <xf numFmtId="17" fontId="14" fillId="0" borderId="1" xfId="0" applyNumberFormat="1" applyFont="1" applyBorder="1"/>
    <xf numFmtId="17" fontId="14" fillId="0" borderId="10" xfId="0" applyNumberFormat="1" applyFont="1" applyBorder="1"/>
    <xf numFmtId="17" fontId="14" fillId="0" borderId="11" xfId="0" applyNumberFormat="1" applyFont="1" applyBorder="1"/>
    <xf numFmtId="166" fontId="12" fillId="0" borderId="0" xfId="5" applyNumberFormat="1" applyFont="1"/>
    <xf numFmtId="166" fontId="12" fillId="0" borderId="0" xfId="0" applyNumberFormat="1" applyFont="1"/>
    <xf numFmtId="43" fontId="12" fillId="0" borderId="0" xfId="5" applyFont="1"/>
    <xf numFmtId="0" fontId="13" fillId="0" borderId="0" xfId="0" applyFont="1"/>
    <xf numFmtId="0" fontId="13" fillId="0" borderId="0" xfId="0" applyFont="1" applyAlignment="1">
      <alignment horizontal="right"/>
    </xf>
    <xf numFmtId="0" fontId="0" fillId="10" borderId="0" xfId="0" applyFill="1"/>
    <xf numFmtId="0" fontId="2" fillId="10" borderId="0" xfId="0" applyFont="1" applyFill="1"/>
    <xf numFmtId="0" fontId="0" fillId="10" borderId="3" xfId="0" applyFill="1" applyBorder="1"/>
    <xf numFmtId="0" fontId="0" fillId="0" borderId="6" xfId="0" applyBorder="1"/>
    <xf numFmtId="166" fontId="12" fillId="5" borderId="0" xfId="0" applyNumberFormat="1" applyFont="1" applyFill="1" applyAlignment="1">
      <alignment horizontal="right"/>
    </xf>
    <xf numFmtId="166" fontId="12" fillId="5" borderId="0" xfId="5" applyNumberFormat="1" applyFont="1" applyFill="1" applyAlignment="1">
      <alignment horizontal="right"/>
    </xf>
    <xf numFmtId="166" fontId="12" fillId="5" borderId="0" xfId="5" applyNumberFormat="1" applyFont="1" applyFill="1" applyBorder="1" applyAlignment="1">
      <alignment horizontal="right"/>
    </xf>
    <xf numFmtId="166" fontId="12" fillId="5" borderId="0" xfId="5" applyNumberFormat="1" applyFont="1" applyFill="1" applyAlignment="1">
      <alignment horizontal="right" vertical="center"/>
    </xf>
    <xf numFmtId="166" fontId="13" fillId="5" borderId="0" xfId="5" applyNumberFormat="1" applyFont="1" applyFill="1" applyAlignment="1">
      <alignment horizontal="right" vertical="center"/>
    </xf>
    <xf numFmtId="166" fontId="13" fillId="5" borderId="0" xfId="5" applyNumberFormat="1" applyFont="1" applyFill="1"/>
    <xf numFmtId="166" fontId="12" fillId="5" borderId="0" xfId="5" applyNumberFormat="1" applyFont="1" applyFill="1"/>
    <xf numFmtId="166" fontId="12" fillId="5" borderId="0" xfId="0" applyNumberFormat="1" applyFont="1" applyFill="1"/>
    <xf numFmtId="43" fontId="12" fillId="5" borderId="0" xfId="5" applyFont="1" applyFill="1"/>
    <xf numFmtId="164" fontId="0" fillId="5" borderId="0" xfId="0" applyNumberFormat="1" applyFill="1"/>
    <xf numFmtId="0" fontId="13" fillId="5" borderId="0" xfId="0" applyFont="1" applyFill="1"/>
    <xf numFmtId="0" fontId="13" fillId="5" borderId="0" xfId="0" applyFont="1" applyFill="1" applyAlignment="1">
      <alignment horizontal="right"/>
    </xf>
    <xf numFmtId="0" fontId="11" fillId="8" borderId="0" xfId="0" applyFont="1" applyFill="1" applyAlignment="1">
      <alignment horizontal="left" vertical="center" wrapText="1"/>
    </xf>
    <xf numFmtId="0" fontId="11" fillId="8" borderId="0" xfId="0" applyFont="1" applyFill="1" applyAlignment="1">
      <alignment horizontal="left" vertical="center"/>
    </xf>
    <xf numFmtId="164" fontId="12" fillId="0" borderId="0" xfId="0" applyNumberFormat="1" applyFont="1"/>
    <xf numFmtId="2" fontId="12" fillId="0" borderId="0" xfId="0" applyNumberFormat="1" applyFont="1"/>
    <xf numFmtId="0" fontId="17" fillId="11" borderId="2" xfId="0" applyFont="1" applyFill="1" applyBorder="1" applyAlignment="1">
      <alignment horizontal="right" vertical="center" indent="2"/>
    </xf>
    <xf numFmtId="0" fontId="17" fillId="11" borderId="12" xfId="0" applyFont="1" applyFill="1" applyBorder="1" applyAlignment="1">
      <alignment horizontal="center" vertical="center"/>
    </xf>
    <xf numFmtId="17" fontId="18" fillId="11" borderId="13" xfId="0" applyNumberFormat="1" applyFont="1" applyFill="1" applyBorder="1" applyAlignment="1">
      <alignment horizontal="right" vertical="center" indent="1"/>
    </xf>
    <xf numFmtId="0" fontId="18" fillId="11" borderId="14" xfId="0" applyFont="1" applyFill="1" applyBorder="1" applyAlignment="1">
      <alignment horizontal="center" vertical="center"/>
    </xf>
  </cellXfs>
  <cellStyles count="6">
    <cellStyle name="Comma" xfId="5" builtinId="3"/>
    <cellStyle name="Comma 2" xfId="2" xr:uid="{E77E5AA3-12A0-4F8A-8C57-A0DC79A4925D}"/>
    <cellStyle name="Comma 3" xfId="3" xr:uid="{5FBC3C64-E2AA-4AFF-9FD0-F1B71E1CF59D}"/>
    <cellStyle name="Normal" xfId="0" builtinId="0"/>
    <cellStyle name="Normal 2" xfId="1" xr:uid="{A4600BAC-F1CC-430E-A49A-56215F2AE521}"/>
    <cellStyle name="Normal 3" xfId="4" xr:uid="{81E5174B-A8F8-491A-9265-8A853B104EC3}"/>
  </cellStyles>
  <dxfs count="1">
    <dxf>
      <fill>
        <patternFill>
          <bgColor theme="9"/>
        </patternFill>
      </fill>
    </dxf>
  </dxfs>
  <tableStyles count="0" defaultTableStyle="TableStyleMedium2" defaultPivotStyle="PivotStyleLight16"/>
  <colors>
    <mruColors>
      <color rgb="FFF22A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Foreign</a:t>
            </a:r>
            <a:r>
              <a:rPr lang="en-US" baseline="0"/>
              <a:t> Reserves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indicators'!$A$2</c:f>
              <c:strCache>
                <c:ptCount val="1"/>
                <c:pt idx="0">
                  <c:v>Foreign Reserves</c:v>
                </c:pt>
              </c:strCache>
            </c:strRef>
          </c:tx>
          <c:spPr>
            <a:solidFill>
              <a:schemeClr val="accent1"/>
            </a:solidFill>
            <a:ln>
              <a:noFill/>
            </a:ln>
            <a:effectLst/>
          </c:spPr>
          <c:invertIfNegative val="0"/>
          <c:cat>
            <c:numRef>
              <c:extLst>
                <c:ext xmlns:c15="http://schemas.microsoft.com/office/drawing/2012/chart" uri="{02D57815-91ED-43cb-92C2-25804820EDAC}">
                  <c15:fullRef>
                    <c15:sqref>'Monthly indicators'!$ED$1:$JC$1</c15:sqref>
                  </c15:fullRef>
                </c:ext>
              </c:extLst>
              <c:f>('Monthly indicators'!$EN$1,'Monthly indicators'!$EZ$1,'Monthly indicators'!$FL$1,'Monthly indicators'!$FX$1,'Monthly indicators'!$GJ$1,'Monthly indicators'!$GV$1,'Monthly indicators'!$HH$1,'Monthly indicators'!$HT$1,'Monthly indicators'!$IF$1,'Monthly indicators'!$IR$1,'Monthly indicators'!$JC$1)</c:f>
              <c:numCache>
                <c:formatCode>mmm\-yy</c:formatCode>
                <c:ptCount val="11"/>
                <c:pt idx="0">
                  <c:v>42309</c:v>
                </c:pt>
                <c:pt idx="1">
                  <c:v>42675</c:v>
                </c:pt>
                <c:pt idx="2">
                  <c:v>43040</c:v>
                </c:pt>
                <c:pt idx="3">
                  <c:v>43405</c:v>
                </c:pt>
                <c:pt idx="4">
                  <c:v>43770</c:v>
                </c:pt>
                <c:pt idx="5">
                  <c:v>44136</c:v>
                </c:pt>
                <c:pt idx="6">
                  <c:v>44501</c:v>
                </c:pt>
                <c:pt idx="7">
                  <c:v>44866</c:v>
                </c:pt>
                <c:pt idx="8">
                  <c:v>45231</c:v>
                </c:pt>
                <c:pt idx="9">
                  <c:v>45597</c:v>
                </c:pt>
                <c:pt idx="10">
                  <c:v>45931</c:v>
                </c:pt>
              </c:numCache>
            </c:numRef>
          </c:cat>
          <c:val>
            <c:numRef>
              <c:extLst>
                <c:ext xmlns:c15="http://schemas.microsoft.com/office/drawing/2012/chart" uri="{02D57815-91ED-43cb-92C2-25804820EDAC}">
                  <c15:fullRef>
                    <c15:sqref>'Monthly indicators'!$ED$2:$JC$2</c15:sqref>
                  </c15:fullRef>
                </c:ext>
              </c:extLst>
              <c:f>('Monthly indicators'!$EN$2,'Monthly indicators'!$EZ$2,'Monthly indicators'!$FL$2,'Monthly indicators'!$FX$2,'Monthly indicators'!$GJ$2,'Monthly indicators'!$GV$2,'Monthly indicators'!$HH$2,'Monthly indicators'!$HT$2,'Monthly indicators'!$IF$2,'Monthly indicators'!$IR$2,'Monthly indicators'!$JC$2)</c:f>
              <c:numCache>
                <c:formatCode>_-* #,##0.0_-;\-* #,##0.0_-;_-* "-"??_-;_-@_-</c:formatCode>
                <c:ptCount val="11"/>
                <c:pt idx="0">
                  <c:v>319</c:v>
                </c:pt>
                <c:pt idx="1">
                  <c:v>360.9</c:v>
                </c:pt>
                <c:pt idx="2">
                  <c:v>424.8</c:v>
                </c:pt>
                <c:pt idx="3" formatCode="General">
                  <c:v>468.7</c:v>
                </c:pt>
                <c:pt idx="4" formatCode="General">
                  <c:v>489.5</c:v>
                </c:pt>
                <c:pt idx="5" formatCode="General">
                  <c:v>590.20000000000005</c:v>
                </c:pt>
                <c:pt idx="6" formatCode="General">
                  <c:v>783.9</c:v>
                </c:pt>
                <c:pt idx="7" formatCode="General">
                  <c:v>866.2</c:v>
                </c:pt>
                <c:pt idx="8" formatCode="General">
                  <c:v>892</c:v>
                </c:pt>
                <c:pt idx="9" formatCode="General">
                  <c:v>892.2</c:v>
                </c:pt>
                <c:pt idx="10" formatCode="General">
                  <c:v>939.5</c:v>
                </c:pt>
              </c:numCache>
            </c:numRef>
          </c:val>
          <c:extLst>
            <c:ext xmlns:c16="http://schemas.microsoft.com/office/drawing/2014/chart" uri="{C3380CC4-5D6E-409C-BE32-E72D297353CC}">
              <c16:uniqueId val="{00000000-EEFD-446C-AD13-678F92C5F3D4}"/>
            </c:ext>
          </c:extLst>
        </c:ser>
        <c:dLbls>
          <c:showLegendKey val="0"/>
          <c:showVal val="0"/>
          <c:showCatName val="0"/>
          <c:showSerName val="0"/>
          <c:showPercent val="0"/>
          <c:showBubbleSize val="0"/>
        </c:dLbls>
        <c:gapWidth val="0"/>
        <c:overlap val="-1"/>
        <c:axId val="862816751"/>
        <c:axId val="862815311"/>
      </c:barChart>
      <c:lineChart>
        <c:grouping val="standard"/>
        <c:varyColors val="0"/>
        <c:dLbls>
          <c:showLegendKey val="0"/>
          <c:showVal val="0"/>
          <c:showCatName val="0"/>
          <c:showSerName val="0"/>
          <c:showPercent val="0"/>
          <c:showBubbleSize val="0"/>
        </c:dLbls>
        <c:marker val="1"/>
        <c:smooth val="0"/>
        <c:axId val="1873909328"/>
        <c:axId val="1873906928"/>
        <c:extLst>
          <c:ext xmlns:c15="http://schemas.microsoft.com/office/drawing/2012/chart" uri="{02D57815-91ED-43cb-92C2-25804820EDAC}">
            <c15:filteredLineSeries>
              <c15:ser>
                <c:idx val="1"/>
                <c:order val="1"/>
                <c:tx>
                  <c:strRef>
                    <c:extLst>
                      <c:ext uri="{02D57815-91ED-43cb-92C2-25804820EDAC}">
                        <c15:formulaRef>
                          <c15:sqref>'Monthly indicators'!$A$3</c15:sqref>
                        </c15:formulaRef>
                      </c:ext>
                    </c:extLst>
                    <c:strCache>
                      <c:ptCount val="1"/>
                      <c:pt idx="0">
                        <c:v>Import cover</c:v>
                      </c:pt>
                    </c:strCache>
                  </c:strRef>
                </c:tx>
                <c:spPr>
                  <a:ln w="28575" cap="rnd">
                    <a:solidFill>
                      <a:schemeClr val="accent2"/>
                    </a:solidFill>
                    <a:round/>
                  </a:ln>
                  <a:effectLst/>
                </c:spPr>
                <c:marker>
                  <c:symbol val="none"/>
                </c:marker>
                <c:cat>
                  <c:numRef>
                    <c:extLst>
                      <c:ext uri="{02D57815-91ED-43cb-92C2-25804820EDAC}">
                        <c15:fullRef>
                          <c15:sqref>'Monthly indicators'!$ED$1:$JC$1</c15:sqref>
                        </c15:fullRef>
                        <c15:formulaRef>
                          <c15:sqref>('Monthly indicators'!$EN$1,'Monthly indicators'!$EZ$1,'Monthly indicators'!$FL$1,'Monthly indicators'!$FX$1,'Monthly indicators'!$GJ$1,'Monthly indicators'!$GV$1,'Monthly indicators'!$HH$1,'Monthly indicators'!$HT$1,'Monthly indicators'!$IF$1,'Monthly indicators'!$IR$1,'Monthly indicators'!$JC$1)</c15:sqref>
                        </c15:formulaRef>
                      </c:ext>
                    </c:extLst>
                    <c:numCache>
                      <c:formatCode>mmm\-yy</c:formatCode>
                      <c:ptCount val="11"/>
                      <c:pt idx="0">
                        <c:v>42309</c:v>
                      </c:pt>
                      <c:pt idx="1">
                        <c:v>42675</c:v>
                      </c:pt>
                      <c:pt idx="2">
                        <c:v>43040</c:v>
                      </c:pt>
                      <c:pt idx="3">
                        <c:v>43405</c:v>
                      </c:pt>
                      <c:pt idx="4">
                        <c:v>43770</c:v>
                      </c:pt>
                      <c:pt idx="5">
                        <c:v>44136</c:v>
                      </c:pt>
                      <c:pt idx="6">
                        <c:v>44501</c:v>
                      </c:pt>
                      <c:pt idx="7">
                        <c:v>44866</c:v>
                      </c:pt>
                      <c:pt idx="8">
                        <c:v>45231</c:v>
                      </c:pt>
                      <c:pt idx="9">
                        <c:v>45597</c:v>
                      </c:pt>
                      <c:pt idx="10">
                        <c:v>45931</c:v>
                      </c:pt>
                    </c:numCache>
                  </c:numRef>
                </c:cat>
                <c:val>
                  <c:numRef>
                    <c:extLst>
                      <c:ext uri="{02D57815-91ED-43cb-92C2-25804820EDAC}">
                        <c15:fullRef>
                          <c15:sqref>'Monthly indicators'!$ED$3:$JC$3</c15:sqref>
                        </c15:fullRef>
                        <c15:formulaRef>
                          <c15:sqref>('Monthly indicators'!$EN$3,'Monthly indicators'!$EZ$3,'Monthly indicators'!$FL$3,'Monthly indicators'!$FX$3,'Monthly indicators'!$GJ$3,'Monthly indicators'!$GV$3,'Monthly indicators'!$HH$3,'Monthly indicators'!$HT$3,'Monthly indicators'!$IF$3,'Monthly indicators'!$IR$3,'Monthly indicators'!$JC$3)</c15:sqref>
                        </c15:formulaRef>
                      </c:ext>
                    </c:extLst>
                    <c:numCache>
                      <c:formatCode>_-* #,##0.0_-;\-* #,##0.0_-;_-* "-"??_-;_-@_-</c:formatCode>
                      <c:ptCount val="11"/>
                      <c:pt idx="0">
                        <c:v>8.9</c:v>
                      </c:pt>
                      <c:pt idx="1">
                        <c:v>6.7</c:v>
                      </c:pt>
                      <c:pt idx="2">
                        <c:v>7.7</c:v>
                      </c:pt>
                      <c:pt idx="3">
                        <c:v>8.1999999999999993</c:v>
                      </c:pt>
                      <c:pt idx="4" formatCode="General">
                        <c:v>7.4</c:v>
                      </c:pt>
                      <c:pt idx="5" formatCode="General">
                        <c:v>10.9</c:v>
                      </c:pt>
                      <c:pt idx="6" formatCode="General">
                        <c:v>13</c:v>
                      </c:pt>
                      <c:pt idx="7" formatCode="General">
                        <c:v>12.6</c:v>
                      </c:pt>
                      <c:pt idx="8" formatCode="General">
                        <c:v>11.4</c:v>
                      </c:pt>
                      <c:pt idx="9" formatCode="General">
                        <c:v>10.3</c:v>
                      </c:pt>
                      <c:pt idx="10" formatCode="General">
                        <c:v>10.9</c:v>
                      </c:pt>
                    </c:numCache>
                  </c:numRef>
                </c:val>
                <c:smooth val="0"/>
                <c:extLst>
                  <c:ext xmlns:c16="http://schemas.microsoft.com/office/drawing/2014/chart" uri="{C3380CC4-5D6E-409C-BE32-E72D297353CC}">
                    <c16:uniqueId val="{00000001-EEFD-446C-AD13-678F92C5F3D4}"/>
                  </c:ext>
                </c:extLst>
              </c15:ser>
            </c15:filteredLineSeries>
          </c:ext>
        </c:extLst>
      </c:lineChart>
      <c:dateAx>
        <c:axId val="86281675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O"/>
          </a:p>
        </c:txPr>
        <c:crossAx val="862815311"/>
        <c:crosses val="autoZero"/>
        <c:auto val="1"/>
        <c:lblOffset val="100"/>
        <c:baseTimeUnit val="months"/>
        <c:majorUnit val="6"/>
        <c:majorTimeUnit val="years"/>
      </c:dateAx>
      <c:valAx>
        <c:axId val="862815311"/>
        <c:scaling>
          <c:orientation val="minMax"/>
        </c:scaling>
        <c:delete val="0"/>
        <c:axPos val="l"/>
        <c:majorGridlines>
          <c:spPr>
            <a:ln w="9525" cap="flat" cmpd="sng" algn="ctr">
              <a:solidFill>
                <a:schemeClr val="tx1">
                  <a:lumMod val="15000"/>
                  <a:lumOff val="85000"/>
                </a:schemeClr>
              </a:solidFill>
              <a:round/>
            </a:ln>
            <a:effectLst/>
          </c:spPr>
        </c:majorGridlines>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O"/>
          </a:p>
        </c:txPr>
        <c:crossAx val="862816751"/>
        <c:crosses val="autoZero"/>
        <c:crossBetween val="between"/>
      </c:valAx>
      <c:valAx>
        <c:axId val="1873906928"/>
        <c:scaling>
          <c:orientation val="minMax"/>
        </c:scaling>
        <c:delete val="0"/>
        <c:axPos val="r"/>
        <c:numFmt formatCode="_-* #,##0.0_-;\-* #,##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O"/>
          </a:p>
        </c:txPr>
        <c:crossAx val="1873909328"/>
        <c:crosses val="max"/>
        <c:crossBetween val="between"/>
      </c:valAx>
      <c:catAx>
        <c:axId val="1873909328"/>
        <c:scaling>
          <c:orientation val="minMax"/>
        </c:scaling>
        <c:delete val="1"/>
        <c:axPos val="b"/>
        <c:numFmt formatCode="mmm\-yy" sourceLinked="1"/>
        <c:majorTickMark val="out"/>
        <c:minorTickMark val="none"/>
        <c:tickLblPos val="nextTo"/>
        <c:crossAx val="1873906928"/>
        <c:crosses val="autoZero"/>
        <c:auto val="1"/>
        <c:lblAlgn val="ctr"/>
        <c:lblOffset val="100"/>
        <c:noMultiLvlLbl val="1"/>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252</xdr:col>
      <xdr:colOff>51208</xdr:colOff>
      <xdr:row>4</xdr:row>
      <xdr:rowOff>4779</xdr:rowOff>
    </xdr:from>
    <xdr:to>
      <xdr:col>259</xdr:col>
      <xdr:colOff>364566</xdr:colOff>
      <xdr:row>16</xdr:row>
      <xdr:rowOff>37993</xdr:rowOff>
    </xdr:to>
    <xdr:graphicFrame macro="">
      <xdr:nvGraphicFramePr>
        <xdr:cNvPr id="3" name="Chart 2">
          <a:extLst>
            <a:ext uri="{FF2B5EF4-FFF2-40B4-BE49-F238E27FC236}">
              <a16:creationId xmlns:a16="http://schemas.microsoft.com/office/drawing/2014/main" id="{5697120E-DA1A-D6A0-A0AF-2831515A8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tonio Moeaki" id="{BDB2A946-0132-454D-8A86-B13C8A6B202D}" userId="S::amoeaki@finance.gov.to::8e158eb0-2c70-46e8-8912-3c9582eadee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C2" dT="2026-01-12T02:54:07.69" personId="{BDB2A946-0132-454D-8A86-B13C8A6B202D}" id="{C4F7F16B-80BF-4585-9DD8-D033503655B3}">
    <text xml:space="preserve">Tonga's official foreign reserves rose sharply in October 2025 by $42.3 million to $939.5 million, owing to inflows of official grants and remittances. This is equivalent to 10.9 months of imports cover, above the IMF's recommended threshold of 7.5 months. Similarly, the foreign reserves increased over the year by $41.3 million. </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0543B-13DE-4DE3-9BD9-DB534819B6CA}">
  <dimension ref="A1:AF27"/>
  <sheetViews>
    <sheetView topLeftCell="A9" workbookViewId="0">
      <pane xSplit="1" topLeftCell="D1" activePane="topRight" state="frozen"/>
      <selection pane="topRight" activeCell="F10" sqref="F10"/>
    </sheetView>
  </sheetViews>
  <sheetFormatPr defaultRowHeight="14.4" x14ac:dyDescent="0.3"/>
  <cols>
    <col min="1" max="1" width="28.44140625" customWidth="1"/>
  </cols>
  <sheetData>
    <row r="1" spans="1:32" x14ac:dyDescent="0.3">
      <c r="A1" s="80" t="s">
        <v>100</v>
      </c>
      <c r="B1" s="80"/>
      <c r="C1" s="80"/>
      <c r="D1" s="80"/>
      <c r="E1" s="80"/>
      <c r="F1" s="80"/>
      <c r="G1" s="80"/>
      <c r="H1" s="80"/>
      <c r="I1" s="80"/>
      <c r="J1" s="80"/>
      <c r="K1" s="80"/>
      <c r="L1" s="80"/>
      <c r="M1" s="80"/>
      <c r="N1" s="80"/>
      <c r="O1" s="80"/>
      <c r="P1" s="80"/>
      <c r="Q1" s="80"/>
      <c r="R1" s="80"/>
      <c r="S1" s="80"/>
    </row>
    <row r="2" spans="1:32" x14ac:dyDescent="0.3">
      <c r="A2" s="80"/>
      <c r="B2" s="80"/>
      <c r="C2" s="80"/>
      <c r="D2" s="80"/>
      <c r="E2" s="80"/>
      <c r="F2" s="80"/>
      <c r="G2" s="80"/>
      <c r="H2" s="80"/>
      <c r="I2" s="80"/>
      <c r="J2" s="80"/>
      <c r="K2" s="80"/>
      <c r="L2" s="80"/>
      <c r="M2" s="80"/>
      <c r="N2" s="80"/>
      <c r="O2" s="80"/>
      <c r="P2" s="80"/>
      <c r="Q2" s="80"/>
      <c r="R2" s="80"/>
      <c r="S2" s="80"/>
    </row>
    <row r="3" spans="1:32" x14ac:dyDescent="0.3">
      <c r="B3" t="s">
        <v>72</v>
      </c>
      <c r="C3" t="s">
        <v>73</v>
      </c>
      <c r="D3" t="s">
        <v>74</v>
      </c>
      <c r="E3" t="s">
        <v>75</v>
      </c>
      <c r="F3" t="s">
        <v>76</v>
      </c>
      <c r="G3" t="s">
        <v>77</v>
      </c>
      <c r="H3" t="s">
        <v>78</v>
      </c>
      <c r="I3" t="s">
        <v>79</v>
      </c>
      <c r="J3" t="s">
        <v>80</v>
      </c>
      <c r="K3" t="s">
        <v>81</v>
      </c>
      <c r="L3" t="s">
        <v>82</v>
      </c>
      <c r="M3" t="s">
        <v>83</v>
      </c>
    </row>
    <row r="4" spans="1:32" ht="16.2" thickBot="1" x14ac:dyDescent="0.35">
      <c r="B4" s="44" t="s">
        <v>101</v>
      </c>
      <c r="C4" s="44" t="s">
        <v>102</v>
      </c>
      <c r="D4" s="44" t="s">
        <v>103</v>
      </c>
      <c r="E4" s="44" t="s">
        <v>104</v>
      </c>
      <c r="F4" s="44" t="s">
        <v>105</v>
      </c>
      <c r="G4" s="44" t="s">
        <v>106</v>
      </c>
      <c r="H4" s="44" t="s">
        <v>107</v>
      </c>
      <c r="I4" s="44" t="s">
        <v>108</v>
      </c>
      <c r="J4" s="44" t="s">
        <v>109</v>
      </c>
      <c r="K4" s="44" t="s">
        <v>110</v>
      </c>
      <c r="L4" s="44" t="s">
        <v>111</v>
      </c>
      <c r="M4" s="44" t="s">
        <v>112</v>
      </c>
      <c r="N4" s="44" t="s">
        <v>113</v>
      </c>
      <c r="O4" s="44" t="s">
        <v>17</v>
      </c>
      <c r="P4" s="45" t="s">
        <v>18</v>
      </c>
      <c r="Q4" s="44" t="s">
        <v>19</v>
      </c>
      <c r="R4" s="46" t="s">
        <v>20</v>
      </c>
      <c r="S4" s="46" t="s">
        <v>21</v>
      </c>
      <c r="T4" s="46" t="s">
        <v>22</v>
      </c>
      <c r="U4" s="46" t="s">
        <v>23</v>
      </c>
      <c r="V4" s="46" t="s">
        <v>24</v>
      </c>
      <c r="W4" s="46" t="s">
        <v>92</v>
      </c>
      <c r="X4" s="47" t="s">
        <v>26</v>
      </c>
      <c r="Y4" s="47" t="s">
        <v>27</v>
      </c>
      <c r="Z4" s="47" t="s">
        <v>28</v>
      </c>
      <c r="AA4" s="47" t="s">
        <v>94</v>
      </c>
      <c r="AB4" s="47" t="s">
        <v>114</v>
      </c>
      <c r="AC4" s="47" t="s">
        <v>115</v>
      </c>
      <c r="AD4" s="47" t="s">
        <v>116</v>
      </c>
      <c r="AE4" s="47" t="s">
        <v>117</v>
      </c>
      <c r="AF4" s="47" t="s">
        <v>118</v>
      </c>
    </row>
    <row r="5" spans="1:32" x14ac:dyDescent="0.3">
      <c r="A5" t="s">
        <v>70</v>
      </c>
      <c r="B5" s="12" cm="1">
        <f t="array" ref="B5:L5">GDP!H30:R30</f>
        <v>849.27588600406932</v>
      </c>
      <c r="C5" s="12">
        <v>851.87880166118987</v>
      </c>
      <c r="D5" s="12">
        <v>872.36340435306738</v>
      </c>
      <c r="E5" s="12">
        <v>871.52186116635846</v>
      </c>
      <c r="F5" s="12">
        <v>845.38450573777436</v>
      </c>
      <c r="G5" s="12">
        <v>845.02151520560346</v>
      </c>
      <c r="H5" s="12">
        <v>856.58691467309177</v>
      </c>
      <c r="I5" s="12">
        <v>894.93264466489563</v>
      </c>
      <c r="J5" s="12">
        <v>936.61967014598895</v>
      </c>
      <c r="K5" s="12">
        <v>978.866606370824</v>
      </c>
      <c r="L5" s="12">
        <v>1030.4138336153326</v>
      </c>
      <c r="O5">
        <f>GDP!B33</f>
        <v>892.85834039913289</v>
      </c>
      <c r="P5">
        <f>GDP!C33</f>
        <v>896.2301657319814</v>
      </c>
      <c r="Q5">
        <f>GDP!D33</f>
        <v>914.06998705899446</v>
      </c>
      <c r="R5">
        <f>GDP!E33</f>
        <v>924.25038721539374</v>
      </c>
      <c r="S5">
        <f>GDP!F33</f>
        <v>985.23893782483026</v>
      </c>
      <c r="T5">
        <f>GDP!G33</f>
        <v>1016.7894069861433</v>
      </c>
      <c r="U5">
        <f>GDP!H33</f>
        <v>1023.7803484781393</v>
      </c>
      <c r="V5">
        <f>GDP!I33</f>
        <v>1021.6464064408061</v>
      </c>
      <c r="W5">
        <f>GDP!J33</f>
        <v>1039.8663966516285</v>
      </c>
      <c r="X5">
        <f>GDP!K33</f>
        <v>1043.6369727104193</v>
      </c>
      <c r="Y5">
        <f>GDP!L33</f>
        <v>1019.5304194486577</v>
      </c>
      <c r="Z5">
        <f>GDP!M33</f>
        <v>1040.779002335124</v>
      </c>
      <c r="AA5">
        <f>GDP!N33</f>
        <v>1058.9869146730919</v>
      </c>
      <c r="AB5">
        <f>GDP!O33</f>
        <v>1087.8326446648957</v>
      </c>
      <c r="AC5">
        <f>GDP!P33</f>
        <v>1124.6196701459889</v>
      </c>
      <c r="AD5">
        <f>GDP!Q33</f>
        <v>1165.866606370824</v>
      </c>
      <c r="AE5">
        <f>GDP!R33</f>
        <v>1211.4138336153326</v>
      </c>
    </row>
    <row r="6" spans="1:32" x14ac:dyDescent="0.3">
      <c r="A6" t="s">
        <v>71</v>
      </c>
      <c r="B6" s="10" cm="1">
        <f t="array" ref="B6:L6">GDP!H39:R39</f>
        <v>0.5</v>
      </c>
      <c r="C6">
        <v>-0.3</v>
      </c>
      <c r="D6">
        <v>1.8</v>
      </c>
      <c r="E6">
        <v>-0.9</v>
      </c>
      <c r="F6">
        <v>-2.1</v>
      </c>
      <c r="G6">
        <v>2.8</v>
      </c>
      <c r="H6">
        <v>1.7</v>
      </c>
      <c r="I6">
        <v>2.7</v>
      </c>
      <c r="J6">
        <v>3.4</v>
      </c>
      <c r="K6">
        <v>3.7</v>
      </c>
      <c r="L6">
        <v>3.9</v>
      </c>
      <c r="U6" s="10" cm="1">
        <f t="array" ref="U6:AE6">GDP!AA39:AK39</f>
        <v>0</v>
      </c>
      <c r="V6">
        <v>0</v>
      </c>
      <c r="W6">
        <v>0</v>
      </c>
      <c r="X6">
        <v>0</v>
      </c>
      <c r="Y6">
        <v>0</v>
      </c>
      <c r="Z6">
        <v>0</v>
      </c>
      <c r="AA6">
        <v>0</v>
      </c>
      <c r="AB6">
        <v>0</v>
      </c>
      <c r="AC6">
        <v>0</v>
      </c>
      <c r="AD6">
        <v>0</v>
      </c>
      <c r="AE6">
        <v>0</v>
      </c>
    </row>
    <row r="9" spans="1:32" x14ac:dyDescent="0.3">
      <c r="A9" t="s">
        <v>87</v>
      </c>
    </row>
    <row r="10" spans="1:32" x14ac:dyDescent="0.3">
      <c r="A10" t="s">
        <v>88</v>
      </c>
    </row>
    <row r="13" spans="1:32" x14ac:dyDescent="0.3">
      <c r="A13" s="79" t="s">
        <v>91</v>
      </c>
      <c r="B13" s="79"/>
      <c r="C13" s="79"/>
      <c r="D13" s="79"/>
      <c r="E13" s="79"/>
      <c r="F13" s="79"/>
      <c r="G13" s="79"/>
      <c r="H13" s="79"/>
      <c r="I13" s="79"/>
      <c r="J13" s="79"/>
      <c r="K13" s="79"/>
      <c r="L13" s="79"/>
      <c r="M13" s="79"/>
      <c r="N13" s="79"/>
      <c r="O13" s="79"/>
      <c r="P13" s="79"/>
      <c r="Q13" s="79"/>
      <c r="R13" s="79"/>
      <c r="S13" s="79"/>
    </row>
    <row r="14" spans="1:32" x14ac:dyDescent="0.3">
      <c r="A14" s="79"/>
      <c r="B14" s="79"/>
      <c r="C14" s="79"/>
      <c r="D14" s="79"/>
      <c r="E14" s="79"/>
      <c r="F14" s="79"/>
      <c r="G14" s="79"/>
      <c r="H14" s="79"/>
      <c r="I14" s="79"/>
      <c r="J14" s="79"/>
      <c r="K14" s="79"/>
      <c r="L14" s="79"/>
      <c r="M14" s="79"/>
      <c r="N14" s="79"/>
      <c r="O14" s="79"/>
      <c r="P14" s="79"/>
      <c r="Q14" s="79"/>
      <c r="R14" s="79"/>
      <c r="S14" s="79"/>
    </row>
    <row r="15" spans="1:32" ht="23.4" x14ac:dyDescent="0.3">
      <c r="A15" s="43"/>
      <c r="B15" s="43"/>
      <c r="C15" s="43"/>
      <c r="D15" s="43"/>
      <c r="E15" s="43"/>
      <c r="F15" s="43"/>
      <c r="G15" s="43"/>
      <c r="H15" s="43"/>
      <c r="I15" s="43"/>
      <c r="J15" s="43"/>
      <c r="K15" s="43"/>
      <c r="L15" s="43"/>
      <c r="M15" s="43"/>
      <c r="N15" s="43"/>
      <c r="O15" s="43"/>
      <c r="P15" s="43"/>
      <c r="Q15" s="43"/>
      <c r="R15" s="43"/>
      <c r="S15" s="43"/>
    </row>
    <row r="16" spans="1:32" ht="16.2" thickBot="1" x14ac:dyDescent="0.35">
      <c r="A16" s="42"/>
      <c r="B16" s="44" t="s">
        <v>101</v>
      </c>
      <c r="C16" s="44" t="s">
        <v>102</v>
      </c>
      <c r="D16" s="44" t="s">
        <v>103</v>
      </c>
      <c r="E16" s="44" t="s">
        <v>104</v>
      </c>
      <c r="F16" s="44" t="s">
        <v>105</v>
      </c>
      <c r="G16" s="44" t="s">
        <v>106</v>
      </c>
      <c r="H16" s="44" t="s">
        <v>107</v>
      </c>
      <c r="I16" s="44" t="s">
        <v>108</v>
      </c>
      <c r="J16" s="44" t="s">
        <v>109</v>
      </c>
      <c r="K16" s="44" t="s">
        <v>110</v>
      </c>
      <c r="L16" s="44" t="s">
        <v>111</v>
      </c>
      <c r="M16" s="44" t="s">
        <v>112</v>
      </c>
      <c r="N16" s="44" t="s">
        <v>113</v>
      </c>
      <c r="O16" s="44" t="s">
        <v>17</v>
      </c>
      <c r="P16" s="45" t="s">
        <v>18</v>
      </c>
      <c r="Q16" s="44" t="s">
        <v>19</v>
      </c>
      <c r="R16" s="46" t="s">
        <v>20</v>
      </c>
      <c r="S16" s="46" t="s">
        <v>21</v>
      </c>
      <c r="T16" s="46" t="s">
        <v>22</v>
      </c>
      <c r="U16" s="46" t="s">
        <v>23</v>
      </c>
      <c r="V16" s="46" t="s">
        <v>24</v>
      </c>
      <c r="W16" s="46" t="s">
        <v>92</v>
      </c>
      <c r="X16" s="47" t="s">
        <v>26</v>
      </c>
      <c r="Y16" s="47" t="s">
        <v>27</v>
      </c>
      <c r="Z16" s="47" t="s">
        <v>28</v>
      </c>
      <c r="AA16" s="47" t="s">
        <v>94</v>
      </c>
      <c r="AB16" s="47" t="s">
        <v>114</v>
      </c>
      <c r="AC16" s="47" t="s">
        <v>115</v>
      </c>
      <c r="AD16" s="47" t="s">
        <v>116</v>
      </c>
      <c r="AE16" s="47" t="s">
        <v>117</v>
      </c>
      <c r="AF16" s="47" t="s">
        <v>118</v>
      </c>
    </row>
    <row r="17" spans="1:32" x14ac:dyDescent="0.3">
      <c r="A17" t="s">
        <v>90</v>
      </c>
      <c r="B17">
        <v>290.45999999999998</v>
      </c>
      <c r="C17">
        <v>358.9</v>
      </c>
      <c r="D17">
        <v>393.93</v>
      </c>
      <c r="E17">
        <v>432.39</v>
      </c>
      <c r="F17">
        <v>429.38</v>
      </c>
      <c r="G17">
        <v>430.29</v>
      </c>
      <c r="H17">
        <v>426.02</v>
      </c>
      <c r="I17" t="s">
        <v>93</v>
      </c>
      <c r="J17">
        <v>499.7</v>
      </c>
    </row>
    <row r="18" spans="1:32" x14ac:dyDescent="0.3">
      <c r="A18" s="11" t="s">
        <v>95</v>
      </c>
      <c r="B18">
        <v>126.92</v>
      </c>
      <c r="C18">
        <v>170.65</v>
      </c>
      <c r="D18">
        <v>190.83</v>
      </c>
      <c r="E18">
        <v>201.21</v>
      </c>
      <c r="F18">
        <v>204.63</v>
      </c>
      <c r="G18">
        <v>206.26</v>
      </c>
      <c r="H18">
        <v>201.24</v>
      </c>
      <c r="I18">
        <v>197.44</v>
      </c>
      <c r="J18">
        <v>204.36</v>
      </c>
    </row>
    <row r="19" spans="1:32" x14ac:dyDescent="0.3">
      <c r="A19" s="11" t="s">
        <v>96</v>
      </c>
      <c r="B19">
        <v>56.72</v>
      </c>
    </row>
    <row r="20" spans="1:32" x14ac:dyDescent="0.3">
      <c r="A20" s="11" t="s">
        <v>97</v>
      </c>
      <c r="B20">
        <v>93.3</v>
      </c>
    </row>
    <row r="21" spans="1:32" x14ac:dyDescent="0.3">
      <c r="A21" s="11" t="s">
        <v>98</v>
      </c>
      <c r="B21">
        <v>9.6</v>
      </c>
      <c r="M21">
        <f>204.36+66.7+211.1+17.5+0.1</f>
        <v>499.76</v>
      </c>
    </row>
    <row r="22" spans="1:32" x14ac:dyDescent="0.3">
      <c r="A22" s="11" t="s">
        <v>99</v>
      </c>
      <c r="B22">
        <f>B17-SUM(B18:B21)</f>
        <v>3.9199999999999591</v>
      </c>
      <c r="M22">
        <f>197.44+58.29+196+18.9+0.1</f>
        <v>470.73</v>
      </c>
    </row>
    <row r="23" spans="1:32" x14ac:dyDescent="0.3">
      <c r="A23" t="s">
        <v>89</v>
      </c>
      <c r="M23">
        <f>170.65+57.58+117.3+12.1+1.2</f>
        <v>358.83000000000004</v>
      </c>
    </row>
    <row r="24" spans="1:32" x14ac:dyDescent="0.3">
      <c r="A24" t="s">
        <v>85</v>
      </c>
    </row>
    <row r="25" spans="1:32" x14ac:dyDescent="0.3">
      <c r="A25" t="s">
        <v>86</v>
      </c>
    </row>
    <row r="27" spans="1:32" ht="16.2" thickBot="1" x14ac:dyDescent="0.35">
      <c r="B27" s="44" t="s">
        <v>101</v>
      </c>
      <c r="C27" s="44" t="s">
        <v>102</v>
      </c>
      <c r="D27" s="44" t="s">
        <v>103</v>
      </c>
      <c r="E27" s="44" t="s">
        <v>104</v>
      </c>
      <c r="F27" s="44" t="s">
        <v>105</v>
      </c>
      <c r="G27" s="44" t="s">
        <v>106</v>
      </c>
      <c r="H27" s="44" t="s">
        <v>107</v>
      </c>
      <c r="I27" s="44" t="s">
        <v>108</v>
      </c>
      <c r="J27" s="44" t="s">
        <v>109</v>
      </c>
      <c r="K27" s="44" t="s">
        <v>110</v>
      </c>
      <c r="L27" s="44" t="s">
        <v>111</v>
      </c>
      <c r="M27" s="44" t="s">
        <v>112</v>
      </c>
      <c r="N27" s="44" t="s">
        <v>113</v>
      </c>
      <c r="O27" s="44" t="s">
        <v>17</v>
      </c>
      <c r="P27" s="45" t="s">
        <v>18</v>
      </c>
      <c r="Q27" s="44" t="s">
        <v>19</v>
      </c>
      <c r="R27" s="46" t="s">
        <v>20</v>
      </c>
      <c r="S27" s="46" t="s">
        <v>21</v>
      </c>
      <c r="T27" s="46" t="s">
        <v>22</v>
      </c>
      <c r="U27" s="46" t="s">
        <v>23</v>
      </c>
      <c r="V27" s="46" t="s">
        <v>24</v>
      </c>
      <c r="W27" s="46" t="s">
        <v>92</v>
      </c>
      <c r="X27" s="47" t="s">
        <v>26</v>
      </c>
      <c r="Y27" s="47" t="s">
        <v>27</v>
      </c>
      <c r="Z27" s="47" t="s">
        <v>28</v>
      </c>
      <c r="AA27" s="47" t="s">
        <v>94</v>
      </c>
      <c r="AB27" s="47" t="s">
        <v>114</v>
      </c>
      <c r="AC27" s="47" t="s">
        <v>115</v>
      </c>
      <c r="AD27" s="47" t="s">
        <v>116</v>
      </c>
      <c r="AE27" s="47" t="s">
        <v>117</v>
      </c>
      <c r="AF27" s="47" t="s">
        <v>118</v>
      </c>
    </row>
  </sheetData>
  <mergeCells count="2">
    <mergeCell ref="A13:S14"/>
    <mergeCell ref="A1:S2"/>
  </mergeCells>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89B8-87E6-4CB4-8C33-FFB14B26C3E3}">
  <dimension ref="A2:P64"/>
  <sheetViews>
    <sheetView tabSelected="1" zoomScale="71" workbookViewId="0">
      <selection activeCell="B12" sqref="B12:H12"/>
    </sheetView>
  </sheetViews>
  <sheetFormatPr defaultRowHeight="14.4" x14ac:dyDescent="0.3"/>
  <sheetData>
    <row r="2" spans="1:16" ht="15" x14ac:dyDescent="0.3">
      <c r="A2" s="83"/>
      <c r="B2" s="84" t="s">
        <v>123</v>
      </c>
      <c r="C2" s="84" t="s">
        <v>124</v>
      </c>
      <c r="D2" s="84" t="s">
        <v>125</v>
      </c>
      <c r="E2" s="84" t="s">
        <v>126</v>
      </c>
      <c r="F2" s="84" t="s">
        <v>127</v>
      </c>
      <c r="G2" s="84" t="s">
        <v>128</v>
      </c>
      <c r="H2" s="84" t="s">
        <v>129</v>
      </c>
      <c r="I2" s="84" t="s">
        <v>130</v>
      </c>
      <c r="J2" s="84" t="s">
        <v>131</v>
      </c>
      <c r="K2" s="84" t="s">
        <v>132</v>
      </c>
      <c r="L2" s="84" t="s">
        <v>133</v>
      </c>
      <c r="M2" s="84" t="s">
        <v>134</v>
      </c>
      <c r="N2" s="84" t="s">
        <v>135</v>
      </c>
    </row>
    <row r="3" spans="1:16" ht="15" x14ac:dyDescent="0.3">
      <c r="A3" s="85">
        <v>44197</v>
      </c>
      <c r="B3" s="86">
        <v>0.56579999999999997</v>
      </c>
      <c r="C3" s="86">
        <v>0.55740000000000001</v>
      </c>
      <c r="D3" s="86">
        <v>0.38640000000000002</v>
      </c>
      <c r="E3" s="86">
        <v>0.3594</v>
      </c>
      <c r="F3" s="86">
        <v>0.86799999999999999</v>
      </c>
      <c r="G3" s="86">
        <v>0.3206</v>
      </c>
      <c r="H3" s="86">
        <v>45.371299999999998</v>
      </c>
      <c r="I3" s="86">
        <v>0.60850000000000004</v>
      </c>
      <c r="J3" s="86">
        <v>3.6318999999999999</v>
      </c>
      <c r="K3" s="86">
        <v>0.58350000000000002</v>
      </c>
      <c r="L3" s="86">
        <v>0.43859999999999999</v>
      </c>
      <c r="M3" s="86">
        <v>1.0277000000000001</v>
      </c>
      <c r="N3" s="86">
        <v>2.8532000000000002</v>
      </c>
      <c r="P3">
        <f>1/B3</f>
        <v>1.7674089784376106</v>
      </c>
    </row>
    <row r="4" spans="1:16" ht="15" x14ac:dyDescent="0.3">
      <c r="A4" s="85">
        <v>44228</v>
      </c>
      <c r="B4" s="86">
        <v>0.5605</v>
      </c>
      <c r="C4" s="86">
        <v>0.55310000000000004</v>
      </c>
      <c r="D4" s="86">
        <v>0.3886</v>
      </c>
      <c r="E4" s="86">
        <v>0.3594</v>
      </c>
      <c r="F4" s="86">
        <v>0.85970000000000002</v>
      </c>
      <c r="G4" s="86">
        <v>0.31359999999999999</v>
      </c>
      <c r="H4" s="86">
        <v>45.780099999999997</v>
      </c>
      <c r="I4" s="86">
        <v>0.60089999999999999</v>
      </c>
      <c r="J4" s="86">
        <v>3.6278999999999999</v>
      </c>
      <c r="K4" s="86">
        <v>0.58079999999999998</v>
      </c>
      <c r="L4" s="86">
        <v>0.43580000000000002</v>
      </c>
      <c r="M4" s="86">
        <v>1.0181</v>
      </c>
      <c r="N4" s="86">
        <v>2.8351999999999999</v>
      </c>
    </row>
    <row r="5" spans="1:16" ht="15" x14ac:dyDescent="0.3">
      <c r="A5" s="85">
        <v>44256</v>
      </c>
      <c r="B5" s="86">
        <v>0.56769999999999998</v>
      </c>
      <c r="C5" s="86">
        <v>0.55179999999999996</v>
      </c>
      <c r="D5" s="86">
        <v>0.40500000000000003</v>
      </c>
      <c r="E5" s="86">
        <v>0.36770000000000003</v>
      </c>
      <c r="F5" s="86">
        <v>0.86799999999999999</v>
      </c>
      <c r="G5" s="86">
        <v>0.31569999999999998</v>
      </c>
      <c r="H5" s="86">
        <v>47.558100000000003</v>
      </c>
      <c r="I5" s="86">
        <v>0.61339999999999995</v>
      </c>
      <c r="J5" s="86">
        <v>3.7410000000000001</v>
      </c>
      <c r="K5" s="86">
        <v>0.59179999999999999</v>
      </c>
      <c r="L5" s="86">
        <v>0.439</v>
      </c>
      <c r="M5" s="86">
        <v>1.03</v>
      </c>
      <c r="N5" s="86">
        <v>2.8561999999999999</v>
      </c>
    </row>
    <row r="6" spans="1:16" ht="15" x14ac:dyDescent="0.3">
      <c r="A6" s="85">
        <v>44287</v>
      </c>
      <c r="B6" s="86">
        <v>0.56969999999999998</v>
      </c>
      <c r="C6" s="86">
        <v>0.55000000000000004</v>
      </c>
      <c r="D6" s="86">
        <v>0.40339999999999998</v>
      </c>
      <c r="E6" s="86">
        <v>0.36670000000000003</v>
      </c>
      <c r="F6" s="86">
        <v>0.87060000000000004</v>
      </c>
      <c r="G6" s="86">
        <v>0.317</v>
      </c>
      <c r="H6" s="86">
        <v>47.837899999999998</v>
      </c>
      <c r="I6" s="86">
        <v>0.61599999999999999</v>
      </c>
      <c r="J6" s="86">
        <v>3.7332000000000001</v>
      </c>
      <c r="K6" s="86">
        <v>0.58919999999999995</v>
      </c>
      <c r="L6" s="86">
        <v>0.44009999999999999</v>
      </c>
      <c r="M6" s="86">
        <v>1.0351999999999999</v>
      </c>
      <c r="N6" s="86">
        <v>2.8632</v>
      </c>
    </row>
    <row r="9" spans="1:16" x14ac:dyDescent="0.3">
      <c r="B9">
        <f>1/B3</f>
        <v>1.7674089784376106</v>
      </c>
      <c r="C9">
        <f t="shared" ref="C9:N9" si="0">1/C3</f>
        <v>1.7940437746681019</v>
      </c>
      <c r="D9">
        <f t="shared" si="0"/>
        <v>2.5879917184265011</v>
      </c>
      <c r="E9">
        <f t="shared" si="0"/>
        <v>2.7824151363383418</v>
      </c>
      <c r="F9">
        <f t="shared" si="0"/>
        <v>1.1520737327188941</v>
      </c>
      <c r="G9">
        <f t="shared" si="0"/>
        <v>3.1191515907673115</v>
      </c>
      <c r="H9">
        <f t="shared" si="0"/>
        <v>2.2040364723955454E-2</v>
      </c>
      <c r="I9">
        <f t="shared" si="0"/>
        <v>1.6433853738701725</v>
      </c>
      <c r="J9">
        <f t="shared" si="0"/>
        <v>0.27533797736721827</v>
      </c>
      <c r="K9">
        <f t="shared" si="0"/>
        <v>1.7137960582690659</v>
      </c>
      <c r="L9">
        <f t="shared" si="0"/>
        <v>2.2799817601459189</v>
      </c>
      <c r="M9">
        <f t="shared" si="0"/>
        <v>0.97304660893256778</v>
      </c>
      <c r="N9">
        <f t="shared" si="0"/>
        <v>0.35048366746109627</v>
      </c>
    </row>
    <row r="10" spans="1:16" x14ac:dyDescent="0.3">
      <c r="B10">
        <f>1/B4</f>
        <v>1.784121320249777</v>
      </c>
      <c r="C10">
        <f t="shared" ref="C10:N10" si="1">1/C4</f>
        <v>1.8079913216416561</v>
      </c>
      <c r="D10">
        <f t="shared" si="1"/>
        <v>2.5733401955738548</v>
      </c>
      <c r="E10">
        <f t="shared" si="1"/>
        <v>2.7824151363383418</v>
      </c>
      <c r="F10">
        <f t="shared" si="1"/>
        <v>1.1631964638827497</v>
      </c>
      <c r="G10">
        <f t="shared" si="1"/>
        <v>3.1887755102040818</v>
      </c>
      <c r="H10">
        <f t="shared" si="1"/>
        <v>2.1843552111070096E-2</v>
      </c>
      <c r="I10">
        <f t="shared" si="1"/>
        <v>1.6641704110500914</v>
      </c>
      <c r="J10">
        <f t="shared" si="1"/>
        <v>0.27564155572094051</v>
      </c>
      <c r="K10">
        <f t="shared" si="1"/>
        <v>1.721763085399449</v>
      </c>
      <c r="L10">
        <f t="shared" si="1"/>
        <v>2.2946305644791187</v>
      </c>
      <c r="M10">
        <f t="shared" si="1"/>
        <v>0.98222178567920637</v>
      </c>
      <c r="N10">
        <f t="shared" si="1"/>
        <v>0.35270880361173818</v>
      </c>
    </row>
    <row r="11" spans="1:16" x14ac:dyDescent="0.3">
      <c r="B11">
        <f>1/B5</f>
        <v>1.7614937466971994</v>
      </c>
      <c r="C11">
        <f t="shared" ref="C11:N11" si="2">1/C5</f>
        <v>1.8122508155128672</v>
      </c>
      <c r="D11">
        <f t="shared" si="2"/>
        <v>2.4691358024691357</v>
      </c>
      <c r="E11">
        <f t="shared" si="2"/>
        <v>2.7196083763937993</v>
      </c>
      <c r="F11">
        <f t="shared" si="2"/>
        <v>1.1520737327188941</v>
      </c>
      <c r="G11">
        <f t="shared" si="2"/>
        <v>3.1675641431738994</v>
      </c>
      <c r="H11">
        <f t="shared" si="2"/>
        <v>2.1026912345110504E-2</v>
      </c>
      <c r="I11">
        <f t="shared" si="2"/>
        <v>1.6302575806977504</v>
      </c>
      <c r="J11">
        <f t="shared" si="2"/>
        <v>0.26730820636193531</v>
      </c>
      <c r="K11">
        <f t="shared" si="2"/>
        <v>1.6897600540723217</v>
      </c>
      <c r="L11">
        <f t="shared" si="2"/>
        <v>2.2779043280182232</v>
      </c>
      <c r="M11">
        <f t="shared" si="2"/>
        <v>0.970873786407767</v>
      </c>
      <c r="N11">
        <f t="shared" si="2"/>
        <v>0.35011553812758212</v>
      </c>
    </row>
    <row r="13" spans="1:16" ht="15" x14ac:dyDescent="0.3">
      <c r="A13" s="85">
        <v>45170</v>
      </c>
      <c r="B13" s="86">
        <v>0.64870000000000005</v>
      </c>
      <c r="C13" s="86">
        <v>0.56530000000000002</v>
      </c>
      <c r="D13" s="86">
        <v>0.37290000000000001</v>
      </c>
      <c r="E13" s="86">
        <v>0.38990000000000002</v>
      </c>
      <c r="F13" s="86">
        <v>0.93149999999999999</v>
      </c>
      <c r="G13" s="86">
        <v>0.33539999999999998</v>
      </c>
      <c r="H13" s="86">
        <v>61.508899999999997</v>
      </c>
      <c r="I13" s="86">
        <v>0.70320000000000005</v>
      </c>
      <c r="J13" s="86">
        <v>4.6265000000000001</v>
      </c>
      <c r="K13" s="86">
        <v>0.57279999999999998</v>
      </c>
      <c r="L13" s="86">
        <v>0.41739999999999999</v>
      </c>
      <c r="M13" s="86">
        <v>1.1568000000000001</v>
      </c>
      <c r="N13" s="86">
        <v>3.0455999999999999</v>
      </c>
    </row>
    <row r="14" spans="1:16" ht="15" x14ac:dyDescent="0.3">
      <c r="A14" s="85">
        <v>45200</v>
      </c>
      <c r="B14" s="86">
        <v>0.6542</v>
      </c>
      <c r="C14" s="86">
        <v>0.57020000000000004</v>
      </c>
      <c r="D14" s="86">
        <v>0.37419999999999998</v>
      </c>
      <c r="E14" s="86">
        <v>0.39329999999999998</v>
      </c>
      <c r="F14" s="86">
        <v>0.93579999999999997</v>
      </c>
      <c r="G14" s="86">
        <v>0.34089999999999998</v>
      </c>
      <c r="H14" s="86">
        <v>62.112400000000001</v>
      </c>
      <c r="I14" s="86">
        <v>0.70340000000000003</v>
      </c>
      <c r="J14" s="86">
        <v>4.5846999999999998</v>
      </c>
      <c r="K14" s="86">
        <v>0.5736</v>
      </c>
      <c r="L14" s="86">
        <v>0.4163</v>
      </c>
      <c r="M14" s="86">
        <v>1.1574</v>
      </c>
      <c r="N14" s="86">
        <v>3.0421999999999998</v>
      </c>
    </row>
    <row r="15" spans="1:16" ht="15" x14ac:dyDescent="0.3">
      <c r="A15" s="85">
        <v>45231</v>
      </c>
      <c r="B15" s="86">
        <v>0.64470000000000005</v>
      </c>
      <c r="C15" s="86">
        <v>0.57530000000000003</v>
      </c>
      <c r="D15" s="86">
        <v>0.37180000000000002</v>
      </c>
      <c r="E15" s="86">
        <v>0.3871</v>
      </c>
      <c r="F15" s="86">
        <v>0.93540000000000001</v>
      </c>
      <c r="G15" s="86">
        <v>0.3367</v>
      </c>
      <c r="H15" s="86">
        <v>62.744100000000003</v>
      </c>
      <c r="I15" s="86">
        <v>0.69910000000000005</v>
      </c>
      <c r="J15" s="86">
        <v>4.4789000000000003</v>
      </c>
      <c r="K15" s="86">
        <v>0.56940000000000002</v>
      </c>
      <c r="L15" s="86">
        <v>0.41909999999999997</v>
      </c>
      <c r="M15" s="86">
        <v>1.1558999999999999</v>
      </c>
      <c r="N15" s="86">
        <v>3.0291999999999999</v>
      </c>
    </row>
    <row r="16" spans="1:16" ht="15" x14ac:dyDescent="0.3">
      <c r="A16" s="85">
        <v>45261</v>
      </c>
      <c r="B16" s="86">
        <v>0.63480000000000003</v>
      </c>
      <c r="C16" s="86">
        <v>0.57089999999999996</v>
      </c>
      <c r="D16" s="86">
        <v>0.36609999999999998</v>
      </c>
      <c r="E16" s="86">
        <v>0.38869999999999999</v>
      </c>
      <c r="F16" s="86">
        <v>0.9335</v>
      </c>
      <c r="G16" s="86">
        <v>0.3347</v>
      </c>
      <c r="H16" s="86">
        <v>61.13</v>
      </c>
      <c r="I16" s="86">
        <v>0.68269999999999997</v>
      </c>
      <c r="J16" s="86">
        <v>4.3658999999999999</v>
      </c>
      <c r="K16" s="86">
        <v>0.56999999999999995</v>
      </c>
      <c r="L16" s="86">
        <v>0.42459999999999998</v>
      </c>
      <c r="M16" s="86">
        <v>1.1526000000000001</v>
      </c>
      <c r="N16" s="86">
        <v>3.0335000000000001</v>
      </c>
    </row>
    <row r="18" spans="1:14" x14ac:dyDescent="0.3">
      <c r="B18">
        <f>1/B13</f>
        <v>1.5415446277169722</v>
      </c>
      <c r="C18">
        <f t="shared" ref="C18:N18" si="3">1/C13</f>
        <v>1.768972227136034</v>
      </c>
      <c r="D18">
        <f t="shared" si="3"/>
        <v>2.6816840976133012</v>
      </c>
      <c r="E18">
        <f t="shared" si="3"/>
        <v>2.5647601949217749</v>
      </c>
      <c r="F18">
        <f t="shared" si="3"/>
        <v>1.0735373054213635</v>
      </c>
      <c r="G18">
        <f t="shared" si="3"/>
        <v>2.9815146094215863</v>
      </c>
      <c r="H18">
        <f t="shared" si="3"/>
        <v>1.6257809845404488E-2</v>
      </c>
      <c r="I18">
        <f t="shared" si="3"/>
        <v>1.422070534698521</v>
      </c>
      <c r="J18">
        <f t="shared" si="3"/>
        <v>0.21614611477358694</v>
      </c>
      <c r="K18">
        <f t="shared" si="3"/>
        <v>1.7458100558659218</v>
      </c>
      <c r="L18">
        <f t="shared" si="3"/>
        <v>2.3957834211787254</v>
      </c>
      <c r="M18">
        <f t="shared" si="3"/>
        <v>0.86445366528354073</v>
      </c>
      <c r="N18">
        <f t="shared" si="3"/>
        <v>0.32834252692408722</v>
      </c>
    </row>
    <row r="19" spans="1:14" x14ac:dyDescent="0.3">
      <c r="B19">
        <f>1/B14</f>
        <v>1.5285845307245491</v>
      </c>
      <c r="C19">
        <f t="shared" ref="C19:N19" si="4">1/C14</f>
        <v>1.7537706068046299</v>
      </c>
      <c r="D19">
        <f t="shared" si="4"/>
        <v>2.672367717797969</v>
      </c>
      <c r="E19">
        <f t="shared" si="4"/>
        <v>2.5425883549453343</v>
      </c>
      <c r="F19">
        <f t="shared" si="4"/>
        <v>1.0686044026501389</v>
      </c>
      <c r="G19">
        <f t="shared" si="4"/>
        <v>2.9334115576415374</v>
      </c>
      <c r="H19">
        <f t="shared" si="4"/>
        <v>1.6099844797496151E-2</v>
      </c>
      <c r="I19">
        <f t="shared" si="4"/>
        <v>1.4216661927779357</v>
      </c>
      <c r="J19">
        <f t="shared" si="4"/>
        <v>0.21811677972386417</v>
      </c>
      <c r="K19">
        <f t="shared" si="4"/>
        <v>1.7433751743375174</v>
      </c>
      <c r="L19">
        <f t="shared" si="4"/>
        <v>2.4021138601969731</v>
      </c>
      <c r="M19">
        <f t="shared" si="4"/>
        <v>0.86400552963538968</v>
      </c>
      <c r="N19">
        <f t="shared" si="4"/>
        <v>0.32870948655578203</v>
      </c>
    </row>
    <row r="20" spans="1:14" x14ac:dyDescent="0.3">
      <c r="B20">
        <f>1/B16</f>
        <v>1.575299306868305</v>
      </c>
      <c r="C20">
        <f t="shared" ref="C20:N20" si="5">1/C16</f>
        <v>1.7516202487300754</v>
      </c>
      <c r="D20">
        <f t="shared" si="5"/>
        <v>2.7314941272876263</v>
      </c>
      <c r="E20">
        <f t="shared" si="5"/>
        <v>2.5726781579624389</v>
      </c>
      <c r="F20">
        <f t="shared" si="5"/>
        <v>1.0712372790573113</v>
      </c>
      <c r="G20">
        <f t="shared" si="5"/>
        <v>2.987750224081267</v>
      </c>
      <c r="H20">
        <f t="shared" si="5"/>
        <v>1.6358580075249467E-2</v>
      </c>
      <c r="I20">
        <f t="shared" si="5"/>
        <v>1.4647722279185587</v>
      </c>
      <c r="J20">
        <f t="shared" si="5"/>
        <v>0.22904784809546716</v>
      </c>
      <c r="K20">
        <f t="shared" si="5"/>
        <v>1.7543859649122808</v>
      </c>
      <c r="L20">
        <f t="shared" si="5"/>
        <v>2.3551577955723033</v>
      </c>
      <c r="M20">
        <f t="shared" si="5"/>
        <v>0.86760367863959742</v>
      </c>
      <c r="N20">
        <f t="shared" si="5"/>
        <v>0.3296522169111587</v>
      </c>
    </row>
    <row r="30" spans="1:14" ht="15" x14ac:dyDescent="0.3">
      <c r="A30" s="85">
        <v>44228</v>
      </c>
      <c r="B30" s="86">
        <v>0.5605</v>
      </c>
      <c r="C30" s="86">
        <v>0.55310000000000004</v>
      </c>
      <c r="D30" s="86">
        <v>0.3886</v>
      </c>
      <c r="E30" s="86">
        <v>0.3594</v>
      </c>
      <c r="F30" s="86">
        <v>0.85970000000000002</v>
      </c>
      <c r="G30" s="86">
        <v>0.31359999999999999</v>
      </c>
      <c r="H30" s="86">
        <v>45.780099999999997</v>
      </c>
      <c r="I30" s="86">
        <v>0.60089999999999999</v>
      </c>
      <c r="J30" s="86">
        <v>3.6278999999999999</v>
      </c>
      <c r="K30" s="86">
        <v>0.58079999999999998</v>
      </c>
      <c r="L30" s="86">
        <v>0.43580000000000002</v>
      </c>
      <c r="M30" s="86">
        <v>1.0181</v>
      </c>
      <c r="N30" s="86">
        <v>2.8351999999999999</v>
      </c>
    </row>
    <row r="31" spans="1:14" ht="15" x14ac:dyDescent="0.3">
      <c r="A31" s="85">
        <v>44256</v>
      </c>
      <c r="B31" s="86">
        <v>0.56769999999999998</v>
      </c>
      <c r="C31" s="86">
        <v>0.55179999999999996</v>
      </c>
      <c r="D31" s="86">
        <v>0.40500000000000003</v>
      </c>
      <c r="E31" s="86">
        <v>0.36770000000000003</v>
      </c>
      <c r="F31" s="86">
        <v>0.86799999999999999</v>
      </c>
      <c r="G31" s="86">
        <v>0.31569999999999998</v>
      </c>
      <c r="H31" s="86">
        <v>47.558100000000003</v>
      </c>
      <c r="I31" s="86">
        <v>0.61339999999999995</v>
      </c>
      <c r="J31" s="86">
        <v>3.7410000000000001</v>
      </c>
      <c r="K31" s="86">
        <v>0.59179999999999999</v>
      </c>
      <c r="L31" s="86">
        <v>0.439</v>
      </c>
      <c r="M31" s="86">
        <v>1.03</v>
      </c>
      <c r="N31" s="86">
        <v>2.8561999999999999</v>
      </c>
    </row>
    <row r="32" spans="1:14" ht="15" x14ac:dyDescent="0.3">
      <c r="A32" s="85">
        <v>44287</v>
      </c>
      <c r="B32" s="86">
        <v>0.56969999999999998</v>
      </c>
      <c r="C32" s="86">
        <v>0.55000000000000004</v>
      </c>
      <c r="D32" s="86">
        <v>0.40339999999999998</v>
      </c>
      <c r="E32" s="86">
        <v>0.36670000000000003</v>
      </c>
      <c r="F32" s="86">
        <v>0.87060000000000004</v>
      </c>
      <c r="G32" s="86">
        <v>0.317</v>
      </c>
      <c r="H32" s="86">
        <v>47.837899999999998</v>
      </c>
      <c r="I32" s="86">
        <v>0.61599999999999999</v>
      </c>
      <c r="J32" s="86">
        <v>3.7332000000000001</v>
      </c>
      <c r="K32" s="86">
        <v>0.58919999999999995</v>
      </c>
      <c r="L32" s="86">
        <v>0.44009999999999999</v>
      </c>
      <c r="M32" s="86">
        <v>1.0351999999999999</v>
      </c>
      <c r="N32" s="86">
        <v>2.8632</v>
      </c>
    </row>
    <row r="33" spans="1:14" ht="15" x14ac:dyDescent="0.3">
      <c r="A33" s="85">
        <v>44317</v>
      </c>
      <c r="B33" s="86">
        <v>0.57120000000000004</v>
      </c>
      <c r="C33" s="86">
        <v>0.53879999999999995</v>
      </c>
      <c r="D33" s="86">
        <v>0.39900000000000002</v>
      </c>
      <c r="E33" s="86">
        <v>0.36530000000000001</v>
      </c>
      <c r="F33" s="86">
        <v>0.87450000000000006</v>
      </c>
      <c r="G33" s="86">
        <v>0.315</v>
      </c>
      <c r="H33" s="86">
        <v>48.3874</v>
      </c>
      <c r="I33" s="86">
        <v>0.61419999999999997</v>
      </c>
      <c r="J33" s="86">
        <v>3.7109999999999999</v>
      </c>
      <c r="K33" s="86">
        <v>0.59319999999999995</v>
      </c>
      <c r="L33" s="86">
        <v>0.44450000000000001</v>
      </c>
      <c r="M33" s="86">
        <v>1.0425</v>
      </c>
      <c r="N33" s="86">
        <v>2.8915000000000002</v>
      </c>
    </row>
    <row r="34" spans="1:14" ht="15" x14ac:dyDescent="0.3">
      <c r="A34" s="85">
        <v>44348</v>
      </c>
      <c r="B34" s="86">
        <v>0.58399999999999996</v>
      </c>
      <c r="C34" s="86">
        <v>0.54649999999999999</v>
      </c>
      <c r="D34" s="86">
        <v>0.40389999999999998</v>
      </c>
      <c r="E34" s="86">
        <v>0.37059999999999998</v>
      </c>
      <c r="F34" s="86">
        <v>0.88670000000000004</v>
      </c>
      <c r="G34" s="86">
        <v>0.31809999999999999</v>
      </c>
      <c r="H34" s="86">
        <v>49.127899999999997</v>
      </c>
      <c r="I34" s="86">
        <v>0.62819999999999998</v>
      </c>
      <c r="J34" s="86">
        <v>3.7538999999999998</v>
      </c>
      <c r="K34" s="86">
        <v>0.59889999999999999</v>
      </c>
      <c r="L34" s="86">
        <v>0.4476</v>
      </c>
      <c r="M34" s="86">
        <v>1.0566</v>
      </c>
      <c r="N34" s="86">
        <v>2.9121999999999999</v>
      </c>
    </row>
    <row r="35" spans="1:14" ht="15" x14ac:dyDescent="0.3">
      <c r="A35" s="85">
        <v>44378</v>
      </c>
      <c r="B35" s="86">
        <v>0.59550000000000003</v>
      </c>
      <c r="C35" s="86">
        <v>0.55479999999999996</v>
      </c>
      <c r="D35" s="86">
        <v>0.4047</v>
      </c>
      <c r="E35" s="86">
        <v>0.374</v>
      </c>
      <c r="F35" s="86">
        <v>0.88900000000000001</v>
      </c>
      <c r="G35" s="86">
        <v>0.31990000000000002</v>
      </c>
      <c r="H35" s="86">
        <v>48.738900000000001</v>
      </c>
      <c r="I35" s="86">
        <v>0.63349999999999995</v>
      </c>
      <c r="J35" s="86">
        <v>3.8197999999999999</v>
      </c>
      <c r="K35" s="86">
        <v>0.60289999999999999</v>
      </c>
      <c r="L35" s="86">
        <v>0.44319999999999998</v>
      </c>
      <c r="M35" s="86">
        <v>1.0593999999999999</v>
      </c>
      <c r="N35" s="86">
        <v>2.8834</v>
      </c>
    </row>
    <row r="36" spans="1:14" ht="15" x14ac:dyDescent="0.3">
      <c r="A36" s="85">
        <v>44409</v>
      </c>
      <c r="B36" s="86">
        <v>0.60350000000000004</v>
      </c>
      <c r="C36" s="86">
        <v>0.55600000000000005</v>
      </c>
      <c r="D36" s="86">
        <v>0.40150000000000002</v>
      </c>
      <c r="E36" s="86">
        <v>0.3745</v>
      </c>
      <c r="F36" s="86">
        <v>0.89129999999999998</v>
      </c>
      <c r="G36" s="86">
        <v>0.31900000000000001</v>
      </c>
      <c r="H36" s="86">
        <v>48.394799999999996</v>
      </c>
      <c r="I36" s="86">
        <v>0.63239999999999996</v>
      </c>
      <c r="J36" s="86">
        <v>3.8311000000000002</v>
      </c>
      <c r="K36" s="86">
        <v>0.60229999999999995</v>
      </c>
      <c r="L36" s="86">
        <v>0.44190000000000002</v>
      </c>
      <c r="M36" s="86">
        <v>1.0592999999999999</v>
      </c>
      <c r="N36" s="86">
        <v>2.875</v>
      </c>
    </row>
    <row r="37" spans="1:14" ht="15" x14ac:dyDescent="0.3">
      <c r="A37" s="85">
        <v>44440</v>
      </c>
      <c r="B37" s="86">
        <v>0.6048</v>
      </c>
      <c r="C37" s="86">
        <v>0.56200000000000006</v>
      </c>
      <c r="D37" s="86">
        <v>0.40699999999999997</v>
      </c>
      <c r="E37" s="86">
        <v>0.37609999999999999</v>
      </c>
      <c r="F37" s="86">
        <v>0.89319999999999999</v>
      </c>
      <c r="G37" s="86">
        <v>0.32190000000000002</v>
      </c>
      <c r="H37" s="86">
        <v>48.744199999999999</v>
      </c>
      <c r="I37" s="86">
        <v>0.62760000000000005</v>
      </c>
      <c r="J37" s="86">
        <v>3.8332000000000002</v>
      </c>
      <c r="K37" s="86">
        <v>0.6018</v>
      </c>
      <c r="L37" s="86">
        <v>0.44400000000000001</v>
      </c>
      <c r="M37" s="86">
        <v>1.0612999999999999</v>
      </c>
      <c r="N37" s="86">
        <v>2.8885999999999998</v>
      </c>
    </row>
    <row r="38" spans="1:14" ht="15" x14ac:dyDescent="0.3">
      <c r="A38" s="85">
        <v>44470</v>
      </c>
      <c r="B38" s="86">
        <v>0.59919999999999995</v>
      </c>
      <c r="C38" s="86">
        <v>0.55269999999999997</v>
      </c>
      <c r="D38" s="86">
        <v>0.40789999999999998</v>
      </c>
      <c r="E38" s="86">
        <v>0.38200000000000001</v>
      </c>
      <c r="F38" s="86">
        <v>0.89749999999999996</v>
      </c>
      <c r="G38" s="86">
        <v>0.32350000000000001</v>
      </c>
      <c r="H38" s="86">
        <v>50.0625</v>
      </c>
      <c r="I38" s="86">
        <v>0.62919999999999998</v>
      </c>
      <c r="J38" s="86">
        <v>3.85</v>
      </c>
      <c r="K38" s="86">
        <v>0.60370000000000001</v>
      </c>
      <c r="L38" s="86">
        <v>0.44419999999999998</v>
      </c>
      <c r="M38" s="86">
        <v>1.1322000000000001</v>
      </c>
      <c r="N38" s="86">
        <v>2.8900999999999999</v>
      </c>
    </row>
    <row r="39" spans="1:14" ht="15" x14ac:dyDescent="0.3">
      <c r="A39" s="85">
        <v>44501</v>
      </c>
      <c r="B39" s="86">
        <v>0.60389999999999999</v>
      </c>
      <c r="C39" s="86">
        <v>0.55589999999999995</v>
      </c>
      <c r="D39" s="86">
        <v>0.40610000000000002</v>
      </c>
      <c r="E39" s="86">
        <v>0.38729999999999998</v>
      </c>
      <c r="F39" s="86">
        <v>0.9032</v>
      </c>
      <c r="G39" s="86">
        <v>0.32779999999999998</v>
      </c>
      <c r="H39" s="86">
        <v>50.413600000000002</v>
      </c>
      <c r="I39" s="86">
        <v>0.62960000000000005</v>
      </c>
      <c r="J39" s="86">
        <v>3.8976999999999999</v>
      </c>
      <c r="K39" s="86">
        <v>0.60450000000000004</v>
      </c>
      <c r="L39" s="86">
        <v>0.44309999999999999</v>
      </c>
      <c r="M39" s="86">
        <v>1.1776</v>
      </c>
      <c r="N39" s="86">
        <v>2.8826000000000001</v>
      </c>
    </row>
    <row r="40" spans="1:14" ht="15" x14ac:dyDescent="0.3">
      <c r="A40" s="85">
        <v>44531</v>
      </c>
      <c r="B40" s="86">
        <v>0.61029999999999995</v>
      </c>
      <c r="C40" s="86">
        <v>0.56020000000000003</v>
      </c>
      <c r="D40" s="86">
        <v>0.4012</v>
      </c>
      <c r="E40" s="86">
        <v>0.3866</v>
      </c>
      <c r="F40" s="86">
        <v>0.90649999999999997</v>
      </c>
      <c r="G40" s="86">
        <v>0.3281</v>
      </c>
      <c r="H40" s="86">
        <v>49.706800000000001</v>
      </c>
      <c r="I40" s="86">
        <v>0.64410000000000001</v>
      </c>
      <c r="J40" s="86">
        <v>3.9739</v>
      </c>
      <c r="K40" s="86">
        <v>0.60050000000000003</v>
      </c>
      <c r="L40" s="86">
        <v>0.43790000000000001</v>
      </c>
      <c r="M40" s="86">
        <v>1.1821999999999999</v>
      </c>
      <c r="N40" s="86">
        <v>2.8492000000000002</v>
      </c>
    </row>
    <row r="41" spans="1:14" ht="15" x14ac:dyDescent="0.3">
      <c r="A41" s="85">
        <v>44562</v>
      </c>
      <c r="B41" s="86">
        <v>0.60680000000000001</v>
      </c>
      <c r="C41" s="86">
        <v>0.55310000000000004</v>
      </c>
      <c r="D41" s="86">
        <v>0.40010000000000001</v>
      </c>
      <c r="E41" s="86">
        <v>0.38550000000000001</v>
      </c>
      <c r="F41" s="86">
        <v>0.90910000000000002</v>
      </c>
      <c r="G41" s="86">
        <v>0.3216</v>
      </c>
      <c r="H41" s="86">
        <v>50.255299999999998</v>
      </c>
      <c r="I41" s="86">
        <v>0.64570000000000005</v>
      </c>
      <c r="J41" s="86">
        <v>3.9733000000000001</v>
      </c>
      <c r="K41" s="86">
        <v>0.59650000000000003</v>
      </c>
      <c r="L41" s="86">
        <v>0.43919999999999998</v>
      </c>
      <c r="M41" s="86">
        <v>1.1786000000000001</v>
      </c>
      <c r="N41" s="86">
        <v>2.8574000000000002</v>
      </c>
    </row>
    <row r="42" spans="1:14" ht="15" x14ac:dyDescent="0.3">
      <c r="A42" s="85">
        <v>44593</v>
      </c>
      <c r="B42" s="86">
        <v>0.60870000000000002</v>
      </c>
      <c r="C42" s="86">
        <v>0.55489999999999995</v>
      </c>
      <c r="D42" s="86">
        <v>0.4007</v>
      </c>
      <c r="E42" s="86">
        <v>0.38159999999999999</v>
      </c>
      <c r="F42" s="86">
        <v>0.91169999999999995</v>
      </c>
      <c r="G42" s="86">
        <v>0.32150000000000001</v>
      </c>
      <c r="H42" s="86">
        <v>50.09</v>
      </c>
      <c r="I42" s="86">
        <v>0.65410000000000001</v>
      </c>
      <c r="J42" s="86">
        <v>4.0663999999999998</v>
      </c>
      <c r="K42" s="86">
        <v>0.59130000000000005</v>
      </c>
      <c r="L42" s="86">
        <v>0.43619999999999998</v>
      </c>
      <c r="M42" s="86">
        <v>1.1815</v>
      </c>
      <c r="N42" s="86">
        <v>2.8380999999999998</v>
      </c>
    </row>
    <row r="43" spans="1:14" ht="15" x14ac:dyDescent="0.3">
      <c r="A43" s="85">
        <v>44621</v>
      </c>
      <c r="B43" s="86">
        <v>0.59889999999999999</v>
      </c>
      <c r="C43" s="86">
        <v>0.55910000000000004</v>
      </c>
      <c r="D43" s="86">
        <v>0.4083</v>
      </c>
      <c r="E43" s="86">
        <v>0.39960000000000001</v>
      </c>
      <c r="F43" s="86">
        <v>0.90900000000000003</v>
      </c>
      <c r="G43" s="86">
        <v>0.33410000000000001</v>
      </c>
      <c r="H43" s="86">
        <v>52.1145</v>
      </c>
      <c r="I43" s="86">
        <v>0.64349999999999996</v>
      </c>
      <c r="J43" s="86">
        <v>4.2233999999999998</v>
      </c>
      <c r="K43" s="86">
        <v>0.6038</v>
      </c>
      <c r="L43" s="86">
        <v>0.44180000000000003</v>
      </c>
      <c r="M43" s="86">
        <v>1.181</v>
      </c>
      <c r="N43" s="86">
        <v>2.8026</v>
      </c>
    </row>
    <row r="44" spans="1:14" ht="15" x14ac:dyDescent="0.3">
      <c r="A44" s="85">
        <v>44652</v>
      </c>
      <c r="B44" s="86">
        <v>0.59530000000000005</v>
      </c>
      <c r="C44" s="86">
        <v>0.55530000000000002</v>
      </c>
      <c r="D44" s="86">
        <v>0.4128</v>
      </c>
      <c r="E44" s="86">
        <v>0.40579999999999999</v>
      </c>
      <c r="F44" s="86">
        <v>0.90959999999999996</v>
      </c>
      <c r="G44" s="86">
        <v>0.33889999999999998</v>
      </c>
      <c r="H44" s="86">
        <v>55.299399999999999</v>
      </c>
      <c r="I44" s="86">
        <v>0.64880000000000004</v>
      </c>
      <c r="J44" s="86">
        <v>4.2011000000000003</v>
      </c>
      <c r="K44" s="86">
        <v>0.60519999999999996</v>
      </c>
      <c r="L44" s="86">
        <v>0.44069999999999998</v>
      </c>
      <c r="M44" s="86">
        <v>1.1843999999999999</v>
      </c>
      <c r="N44" s="86">
        <v>2.8287</v>
      </c>
    </row>
    <row r="45" spans="1:14" ht="15" x14ac:dyDescent="0.3">
      <c r="A45" s="85">
        <v>44682</v>
      </c>
      <c r="B45" s="86">
        <v>0.60929999999999995</v>
      </c>
      <c r="C45" s="86">
        <v>0.55359999999999998</v>
      </c>
      <c r="D45" s="86">
        <v>0.41949999999999998</v>
      </c>
      <c r="E45" s="86">
        <v>0.40660000000000002</v>
      </c>
      <c r="F45" s="86">
        <v>0.91559999999999997</v>
      </c>
      <c r="G45" s="86">
        <v>0.3448</v>
      </c>
      <c r="H45" s="86">
        <v>55.362900000000003</v>
      </c>
      <c r="I45" s="86">
        <v>0.67149999999999999</v>
      </c>
      <c r="J45" s="86">
        <v>4.2735000000000003</v>
      </c>
      <c r="K45" s="86">
        <v>0.59919999999999995</v>
      </c>
      <c r="L45" s="86">
        <v>0.43099999999999999</v>
      </c>
      <c r="M45" s="86">
        <v>1.1808000000000001</v>
      </c>
      <c r="N45" s="86">
        <v>2.8854000000000002</v>
      </c>
    </row>
    <row r="46" spans="1:14" ht="15" x14ac:dyDescent="0.3">
      <c r="A46" s="85">
        <v>44713</v>
      </c>
      <c r="B46" s="86">
        <v>0.60960000000000003</v>
      </c>
      <c r="C46" s="86">
        <v>0.54990000000000006</v>
      </c>
      <c r="D46" s="86">
        <v>0.41460000000000002</v>
      </c>
      <c r="E46" s="86">
        <v>0.40539999999999998</v>
      </c>
      <c r="F46" s="86">
        <v>0.9133</v>
      </c>
      <c r="G46" s="86">
        <v>0.34710000000000002</v>
      </c>
      <c r="H46" s="86">
        <v>57.3795</v>
      </c>
      <c r="I46" s="86">
        <v>0.67459999999999998</v>
      </c>
      <c r="J46" s="86">
        <v>4.3022999999999998</v>
      </c>
      <c r="K46" s="86">
        <v>0.5978</v>
      </c>
      <c r="L46" s="86">
        <v>0.42959999999999998</v>
      </c>
      <c r="M46" s="86">
        <v>1.1777</v>
      </c>
      <c r="N46" s="86">
        <v>2.8767</v>
      </c>
    </row>
    <row r="47" spans="1:14" ht="15" x14ac:dyDescent="0.3">
      <c r="A47" s="85">
        <v>44743</v>
      </c>
      <c r="B47" s="86">
        <v>0.61850000000000005</v>
      </c>
      <c r="C47" s="86">
        <v>0.55000000000000004</v>
      </c>
      <c r="D47" s="86">
        <v>0.41020000000000001</v>
      </c>
      <c r="E47" s="86">
        <v>0.41670000000000001</v>
      </c>
      <c r="F47" s="86">
        <v>0.91820000000000002</v>
      </c>
      <c r="G47" s="86">
        <v>0.35339999999999999</v>
      </c>
      <c r="H47" s="86">
        <v>58.0608</v>
      </c>
      <c r="I47" s="86">
        <v>0.68489999999999995</v>
      </c>
      <c r="J47" s="86">
        <v>4.4135</v>
      </c>
      <c r="K47" s="86">
        <v>0.59719999999999995</v>
      </c>
      <c r="L47" s="86">
        <v>0.4254</v>
      </c>
      <c r="M47" s="86">
        <v>1.1877</v>
      </c>
      <c r="N47" s="86">
        <v>2.8650000000000002</v>
      </c>
    </row>
    <row r="48" spans="1:14" ht="15" x14ac:dyDescent="0.3">
      <c r="A48" s="85">
        <v>44774</v>
      </c>
      <c r="B48" s="86">
        <v>0.61260000000000003</v>
      </c>
      <c r="C48" s="86">
        <v>0.55130000000000001</v>
      </c>
      <c r="D48" s="86">
        <v>0.40649999999999997</v>
      </c>
      <c r="E48" s="86">
        <v>0.42099999999999999</v>
      </c>
      <c r="F48" s="86">
        <v>0.91559999999999997</v>
      </c>
      <c r="G48" s="86">
        <v>0.35510000000000003</v>
      </c>
      <c r="H48" s="86">
        <v>57.622599999999998</v>
      </c>
      <c r="I48" s="86">
        <v>0.68100000000000005</v>
      </c>
      <c r="J48" s="86">
        <v>4.4252000000000002</v>
      </c>
      <c r="K48" s="86">
        <v>0.59499999999999997</v>
      </c>
      <c r="L48" s="86">
        <v>0.42759999999999998</v>
      </c>
      <c r="M48" s="86">
        <v>1.1879999999999999</v>
      </c>
      <c r="N48" s="86">
        <v>2.9053</v>
      </c>
    </row>
    <row r="49" spans="1:14" ht="15" x14ac:dyDescent="0.3">
      <c r="A49" s="85">
        <v>44805</v>
      </c>
      <c r="B49" s="86">
        <v>0.62490000000000001</v>
      </c>
      <c r="C49" s="86">
        <v>0.55720000000000003</v>
      </c>
      <c r="D49" s="86">
        <v>0.40550000000000003</v>
      </c>
      <c r="E49" s="86">
        <v>0.42180000000000001</v>
      </c>
      <c r="F49" s="86">
        <v>0.91800000000000004</v>
      </c>
      <c r="G49" s="86">
        <v>0.36849999999999999</v>
      </c>
      <c r="H49" s="86">
        <v>59.756999999999998</v>
      </c>
      <c r="I49" s="86">
        <v>0.70409999999999995</v>
      </c>
      <c r="J49" s="86">
        <v>4.5563000000000002</v>
      </c>
      <c r="K49" s="86">
        <v>0.59540000000000004</v>
      </c>
      <c r="L49" s="86">
        <v>0.41920000000000002</v>
      </c>
      <c r="M49" s="86">
        <v>1.1897</v>
      </c>
      <c r="N49" s="86">
        <v>2.9371</v>
      </c>
    </row>
    <row r="50" spans="1:14" ht="15" x14ac:dyDescent="0.3">
      <c r="A50" s="85">
        <v>44835</v>
      </c>
      <c r="B50" s="86">
        <v>0.64370000000000005</v>
      </c>
      <c r="C50" s="86">
        <v>0.56259999999999999</v>
      </c>
      <c r="D50" s="86">
        <v>0.40629999999999999</v>
      </c>
      <c r="E50" s="86">
        <v>0.41639999999999999</v>
      </c>
      <c r="F50" s="86">
        <v>0.92469999999999997</v>
      </c>
      <c r="G50" s="86">
        <v>0.3624</v>
      </c>
      <c r="H50" s="86">
        <v>60.2</v>
      </c>
      <c r="I50" s="86">
        <v>0.72040000000000004</v>
      </c>
      <c r="J50" s="86">
        <v>4.5655999999999999</v>
      </c>
      <c r="K50" s="86">
        <v>0.58850000000000002</v>
      </c>
      <c r="L50" s="86">
        <v>0.4108</v>
      </c>
      <c r="M50" s="86">
        <v>1.2018</v>
      </c>
      <c r="N50" s="86">
        <v>2.9508000000000001</v>
      </c>
    </row>
    <row r="51" spans="1:14" ht="15" x14ac:dyDescent="0.3">
      <c r="A51" s="85">
        <v>44866</v>
      </c>
      <c r="B51" s="86">
        <v>0.63449999999999995</v>
      </c>
      <c r="C51" s="86">
        <v>0.56359999999999999</v>
      </c>
      <c r="D51" s="86">
        <v>0.40239999999999998</v>
      </c>
      <c r="E51" s="86">
        <v>0.41049999999999998</v>
      </c>
      <c r="F51" s="86">
        <v>0.92379999999999995</v>
      </c>
      <c r="G51" s="86">
        <v>0.35620000000000002</v>
      </c>
      <c r="H51" s="86">
        <v>59.570900000000002</v>
      </c>
      <c r="I51" s="86">
        <v>0.69089999999999996</v>
      </c>
      <c r="J51" s="86">
        <v>4.4743000000000004</v>
      </c>
      <c r="K51" s="86">
        <v>0.58550000000000002</v>
      </c>
      <c r="L51" s="86">
        <v>0.41970000000000002</v>
      </c>
      <c r="M51" s="86">
        <v>1.1973</v>
      </c>
      <c r="N51" s="86">
        <v>3.0137999999999998</v>
      </c>
    </row>
    <row r="52" spans="1:14" ht="15" x14ac:dyDescent="0.3">
      <c r="A52" s="85">
        <v>44896</v>
      </c>
      <c r="B52" s="86">
        <v>0.63060000000000005</v>
      </c>
      <c r="C52" s="86">
        <v>0.5796</v>
      </c>
      <c r="D52" s="86">
        <v>0.3957</v>
      </c>
      <c r="E52" s="86">
        <v>0.40229999999999999</v>
      </c>
      <c r="F52" s="86">
        <v>0.92569999999999997</v>
      </c>
      <c r="G52" s="86">
        <v>0.3493</v>
      </c>
      <c r="H52" s="86">
        <v>57.598700000000001</v>
      </c>
      <c r="I52" s="86">
        <v>0.67010000000000003</v>
      </c>
      <c r="J52" s="86">
        <v>4.4280999999999997</v>
      </c>
      <c r="K52" s="86">
        <v>0.58050000000000002</v>
      </c>
      <c r="L52" s="86">
        <v>0.42649999999999999</v>
      </c>
      <c r="M52" s="86">
        <v>1.1951000000000001</v>
      </c>
      <c r="N52" s="86">
        <v>2.9767000000000001</v>
      </c>
    </row>
    <row r="53" spans="1:14" ht="15" x14ac:dyDescent="0.3">
      <c r="A53" s="85">
        <v>44927</v>
      </c>
      <c r="B53" s="86">
        <v>0.61719999999999997</v>
      </c>
      <c r="C53" s="86">
        <v>0.57689999999999997</v>
      </c>
      <c r="D53" s="86">
        <v>0.39479999999999998</v>
      </c>
      <c r="E53" s="86">
        <v>0.39789999999999998</v>
      </c>
      <c r="F53" s="86">
        <v>0.91979999999999995</v>
      </c>
      <c r="G53" s="86">
        <v>0.35020000000000001</v>
      </c>
      <c r="H53" s="86">
        <v>55.869900000000001</v>
      </c>
      <c r="I53" s="86">
        <v>0.66979999999999995</v>
      </c>
      <c r="J53" s="86">
        <v>4.4617000000000004</v>
      </c>
      <c r="K53" s="86">
        <v>0.57340000000000002</v>
      </c>
      <c r="L53" s="86">
        <v>0.42980000000000002</v>
      </c>
      <c r="M53" s="86">
        <v>1.1931</v>
      </c>
      <c r="N53" s="86">
        <v>2.9218000000000002</v>
      </c>
    </row>
    <row r="54" spans="1:14" ht="15" x14ac:dyDescent="0.3">
      <c r="A54" s="85">
        <v>44958</v>
      </c>
      <c r="B54" s="86">
        <v>0.61699999999999999</v>
      </c>
      <c r="C54" s="86">
        <v>0.57430000000000003</v>
      </c>
      <c r="D54" s="86">
        <v>0.39290000000000003</v>
      </c>
      <c r="E54" s="86">
        <v>0.39810000000000001</v>
      </c>
      <c r="F54" s="86">
        <v>0.9163</v>
      </c>
      <c r="G54" s="86">
        <v>0.35249999999999998</v>
      </c>
      <c r="H54" s="86">
        <v>56.677900000000001</v>
      </c>
      <c r="I54" s="86">
        <v>0.6774</v>
      </c>
      <c r="J54" s="86">
        <v>4.4617000000000004</v>
      </c>
      <c r="K54" s="86">
        <v>0.57269999999999999</v>
      </c>
      <c r="L54" s="86">
        <v>0.4279</v>
      </c>
      <c r="M54" s="86">
        <v>1.1940999999999999</v>
      </c>
      <c r="N54" s="86">
        <v>2.9228999999999998</v>
      </c>
    </row>
    <row r="55" spans="1:14" ht="15" x14ac:dyDescent="0.3">
      <c r="A55" s="85">
        <v>44986</v>
      </c>
      <c r="B55" s="86">
        <v>0.63349999999999995</v>
      </c>
      <c r="C55" s="86">
        <v>0.58020000000000005</v>
      </c>
      <c r="D55" s="86">
        <v>0.39069999999999999</v>
      </c>
      <c r="E55" s="86">
        <v>0.39550000000000002</v>
      </c>
      <c r="F55" s="86">
        <v>0.9194</v>
      </c>
      <c r="G55" s="86">
        <v>0.34839999999999999</v>
      </c>
      <c r="H55" s="86">
        <v>56.548000000000002</v>
      </c>
      <c r="I55" s="86">
        <v>0.68240000000000001</v>
      </c>
      <c r="J55" s="86">
        <v>4.4428000000000001</v>
      </c>
      <c r="K55" s="86">
        <v>0.57250000000000001</v>
      </c>
      <c r="L55" s="86">
        <v>0.42430000000000001</v>
      </c>
      <c r="M55" s="86">
        <v>1.198</v>
      </c>
      <c r="N55" s="86">
        <v>2.9260999999999999</v>
      </c>
    </row>
    <row r="56" spans="1:14" ht="15" x14ac:dyDescent="0.3">
      <c r="A56" s="85">
        <v>45017</v>
      </c>
      <c r="B56" s="86">
        <v>0.63249999999999995</v>
      </c>
      <c r="C56" s="86">
        <v>0.57220000000000004</v>
      </c>
      <c r="D56" s="86">
        <v>0.37980000000000003</v>
      </c>
      <c r="E56" s="86">
        <v>0.38690000000000002</v>
      </c>
      <c r="F56" s="86">
        <v>0.9194</v>
      </c>
      <c r="G56" s="86">
        <v>0.34050000000000002</v>
      </c>
      <c r="H56" s="86">
        <v>56.539499999999997</v>
      </c>
      <c r="I56" s="86">
        <v>0.68259999999999998</v>
      </c>
      <c r="J56" s="86">
        <v>4.3917999999999999</v>
      </c>
      <c r="K56" s="86">
        <v>0.56920000000000004</v>
      </c>
      <c r="L56" s="86">
        <v>0.4249</v>
      </c>
      <c r="M56" s="86">
        <v>1.1982999999999999</v>
      </c>
      <c r="N56" s="86">
        <v>2.9266999999999999</v>
      </c>
    </row>
    <row r="57" spans="1:14" ht="15" x14ac:dyDescent="0.3">
      <c r="A57" s="85">
        <v>45047</v>
      </c>
      <c r="B57" s="86">
        <v>0.63629999999999998</v>
      </c>
      <c r="C57" s="86">
        <v>0.57289999999999996</v>
      </c>
      <c r="D57" s="86">
        <v>0.378</v>
      </c>
      <c r="E57" s="86">
        <v>0.38900000000000001</v>
      </c>
      <c r="F57" s="86">
        <v>0.92010000000000003</v>
      </c>
      <c r="G57" s="86">
        <v>0.33850000000000002</v>
      </c>
      <c r="H57" s="86">
        <v>58.019199999999998</v>
      </c>
      <c r="I57" s="86">
        <v>0.68110000000000004</v>
      </c>
      <c r="J57" s="86">
        <v>4.4276999999999997</v>
      </c>
      <c r="K57" s="86">
        <v>0.5716</v>
      </c>
      <c r="L57" s="86">
        <v>0.42420000000000002</v>
      </c>
      <c r="M57" s="86">
        <v>1.1940999999999999</v>
      </c>
      <c r="N57" s="86">
        <v>2.9613999999999998</v>
      </c>
    </row>
    <row r="58" spans="1:14" ht="15" x14ac:dyDescent="0.3">
      <c r="A58" s="85">
        <v>45078</v>
      </c>
      <c r="B58" s="86">
        <v>0.62919999999999998</v>
      </c>
      <c r="C58" s="86">
        <v>0.56240000000000001</v>
      </c>
      <c r="D58" s="86">
        <v>0.379</v>
      </c>
      <c r="E58" s="86">
        <v>0.3896</v>
      </c>
      <c r="F58" s="86">
        <v>0.9214</v>
      </c>
      <c r="G58" s="86">
        <v>0.33400000000000002</v>
      </c>
      <c r="H58" s="86">
        <v>59.669600000000003</v>
      </c>
      <c r="I58" s="86">
        <v>0.68889999999999996</v>
      </c>
      <c r="J58" s="86">
        <v>4.5552000000000001</v>
      </c>
      <c r="K58" s="86">
        <v>0.57350000000000001</v>
      </c>
      <c r="L58" s="86">
        <v>0.42320000000000002</v>
      </c>
      <c r="M58" s="86">
        <v>1.1541999999999999</v>
      </c>
      <c r="N58" s="86">
        <v>3.0299</v>
      </c>
    </row>
    <row r="59" spans="1:14" ht="15" x14ac:dyDescent="0.3">
      <c r="A59" s="85">
        <v>45108</v>
      </c>
      <c r="B59" s="86">
        <v>0.63019999999999998</v>
      </c>
      <c r="C59" s="86">
        <v>0.56230000000000002</v>
      </c>
      <c r="D59" s="86">
        <v>0.3695</v>
      </c>
      <c r="E59" s="86">
        <v>0.38379999999999997</v>
      </c>
      <c r="F59" s="86">
        <v>0.92549999999999999</v>
      </c>
      <c r="G59" s="86">
        <v>0.3291</v>
      </c>
      <c r="H59" s="86">
        <v>59.843899999999998</v>
      </c>
      <c r="I59" s="86">
        <v>0.68220000000000003</v>
      </c>
      <c r="J59" s="86">
        <v>4.4694000000000003</v>
      </c>
      <c r="K59" s="86">
        <v>0.57150000000000001</v>
      </c>
      <c r="L59" s="86">
        <v>0.42530000000000001</v>
      </c>
      <c r="M59" s="86">
        <v>1.1541999999999999</v>
      </c>
      <c r="N59" s="86">
        <v>3.0586000000000002</v>
      </c>
    </row>
    <row r="60" spans="1:14" ht="15" x14ac:dyDescent="0.3">
      <c r="A60" s="85">
        <v>45139</v>
      </c>
      <c r="B60" s="86">
        <v>0.64529999999999998</v>
      </c>
      <c r="C60" s="86">
        <v>0.56520000000000004</v>
      </c>
      <c r="D60" s="86">
        <v>0.36649999999999999</v>
      </c>
      <c r="E60" s="86">
        <v>0.38390000000000002</v>
      </c>
      <c r="F60" s="86">
        <v>0.93089999999999995</v>
      </c>
      <c r="G60" s="86">
        <v>0.32919999999999999</v>
      </c>
      <c r="H60" s="86">
        <v>60.651000000000003</v>
      </c>
      <c r="I60" s="86">
        <v>0.69820000000000004</v>
      </c>
      <c r="J60" s="86">
        <v>4.5335999999999999</v>
      </c>
      <c r="K60" s="86">
        <v>0.57050000000000001</v>
      </c>
      <c r="L60" s="86">
        <v>0.41980000000000001</v>
      </c>
      <c r="M60" s="86">
        <v>1.1575</v>
      </c>
      <c r="N60" s="86">
        <v>3.0411000000000001</v>
      </c>
    </row>
    <row r="61" spans="1:14" ht="15" x14ac:dyDescent="0.3">
      <c r="A61" s="85">
        <v>45170</v>
      </c>
      <c r="B61" s="86">
        <v>0.64870000000000005</v>
      </c>
      <c r="C61" s="86">
        <v>0.56530000000000002</v>
      </c>
      <c r="D61" s="86">
        <v>0.37290000000000001</v>
      </c>
      <c r="E61" s="86">
        <v>0.38990000000000002</v>
      </c>
      <c r="F61" s="86">
        <v>0.93149999999999999</v>
      </c>
      <c r="G61" s="86">
        <v>0.33539999999999998</v>
      </c>
      <c r="H61" s="86">
        <v>61.508899999999997</v>
      </c>
      <c r="I61" s="86">
        <v>0.70320000000000005</v>
      </c>
      <c r="J61" s="86">
        <v>4.6265000000000001</v>
      </c>
      <c r="K61" s="86">
        <v>0.57279999999999998</v>
      </c>
      <c r="L61" s="86">
        <v>0.41739999999999999</v>
      </c>
      <c r="M61" s="86">
        <v>1.1568000000000001</v>
      </c>
      <c r="N61" s="86">
        <v>3.0455999999999999</v>
      </c>
    </row>
    <row r="62" spans="1:14" ht="15" x14ac:dyDescent="0.3">
      <c r="A62" s="85">
        <v>45200</v>
      </c>
      <c r="B62" s="86">
        <v>0.6542</v>
      </c>
      <c r="C62" s="86">
        <v>0.57020000000000004</v>
      </c>
      <c r="D62" s="86">
        <v>0.37419999999999998</v>
      </c>
      <c r="E62" s="86">
        <v>0.39329999999999998</v>
      </c>
      <c r="F62" s="86">
        <v>0.93579999999999997</v>
      </c>
      <c r="G62" s="86">
        <v>0.34089999999999998</v>
      </c>
      <c r="H62" s="86">
        <v>62.112400000000001</v>
      </c>
      <c r="I62" s="86">
        <v>0.70340000000000003</v>
      </c>
      <c r="J62" s="86">
        <v>4.5846999999999998</v>
      </c>
      <c r="K62" s="86">
        <v>0.5736</v>
      </c>
      <c r="L62" s="86">
        <v>0.4163</v>
      </c>
      <c r="M62" s="86">
        <v>1.1574</v>
      </c>
      <c r="N62" s="86">
        <v>3.0421999999999998</v>
      </c>
    </row>
    <row r="63" spans="1:14" ht="15" x14ac:dyDescent="0.3">
      <c r="A63" s="85">
        <v>45231</v>
      </c>
      <c r="B63" s="86">
        <v>0.64470000000000005</v>
      </c>
      <c r="C63" s="86">
        <v>0.57530000000000003</v>
      </c>
      <c r="D63" s="86">
        <v>0.37180000000000002</v>
      </c>
      <c r="E63" s="86">
        <v>0.3871</v>
      </c>
      <c r="F63" s="86">
        <v>0.93540000000000001</v>
      </c>
      <c r="G63" s="86">
        <v>0.3367</v>
      </c>
      <c r="H63" s="86">
        <v>62.744100000000003</v>
      </c>
      <c r="I63" s="86">
        <v>0.69910000000000005</v>
      </c>
      <c r="J63" s="86">
        <v>4.4789000000000003</v>
      </c>
      <c r="K63" s="86">
        <v>0.56940000000000002</v>
      </c>
      <c r="L63" s="86">
        <v>0.41909999999999997</v>
      </c>
      <c r="M63" s="86">
        <v>1.1558999999999999</v>
      </c>
      <c r="N63" s="86">
        <v>3.0291999999999999</v>
      </c>
    </row>
    <row r="64" spans="1:14" ht="15" x14ac:dyDescent="0.3">
      <c r="A64" s="85">
        <v>45261</v>
      </c>
      <c r="B64" s="86">
        <v>0.63480000000000003</v>
      </c>
      <c r="C64" s="86">
        <v>0.57089999999999996</v>
      </c>
      <c r="D64" s="86">
        <v>0.36609999999999998</v>
      </c>
      <c r="E64" s="86">
        <v>0.38869999999999999</v>
      </c>
      <c r="F64" s="86">
        <v>0.9335</v>
      </c>
      <c r="G64" s="86">
        <v>0.3347</v>
      </c>
      <c r="H64" s="86">
        <v>61.13</v>
      </c>
      <c r="I64" s="86">
        <v>0.68269999999999997</v>
      </c>
      <c r="J64" s="86">
        <v>4.3658999999999999</v>
      </c>
      <c r="K64" s="86">
        <v>0.56999999999999995</v>
      </c>
      <c r="L64" s="86">
        <v>0.42459999999999998</v>
      </c>
      <c r="M64" s="86">
        <v>1.1526000000000001</v>
      </c>
      <c r="N64" s="86">
        <v>3.0335000000000001</v>
      </c>
    </row>
  </sheetData>
  <conditionalFormatting sqref="B12:N12">
    <cfRule type="expression" dxfId="0" priority="1">
      <formula>$B$3-$B$13&lt;0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6283-3538-4297-91A2-80B7D52C6A80}">
  <dimension ref="A1:R46"/>
  <sheetViews>
    <sheetView zoomScale="86" workbookViewId="0">
      <pane xSplit="1" topLeftCell="B1" activePane="topRight" state="frozen"/>
      <selection pane="topRight" activeCell="B33" sqref="B33:R33"/>
    </sheetView>
  </sheetViews>
  <sheetFormatPr defaultRowHeight="14.4" x14ac:dyDescent="0.3"/>
  <cols>
    <col min="1" max="1" width="45.33203125" customWidth="1"/>
    <col min="2" max="18" width="10.5546875" customWidth="1"/>
  </cols>
  <sheetData>
    <row r="1" spans="1:18" x14ac:dyDescent="0.3">
      <c r="B1" s="1" t="s">
        <v>17</v>
      </c>
      <c r="C1" s="2" t="s">
        <v>18</v>
      </c>
      <c r="D1" s="3" t="s">
        <v>19</v>
      </c>
      <c r="E1" s="3" t="s">
        <v>20</v>
      </c>
      <c r="F1" s="3" t="s">
        <v>21</v>
      </c>
      <c r="G1" s="3" t="s">
        <v>22</v>
      </c>
      <c r="H1" s="4" t="s">
        <v>23</v>
      </c>
      <c r="I1" s="2" t="s">
        <v>24</v>
      </c>
      <c r="J1" s="3" t="s">
        <v>25</v>
      </c>
      <c r="K1" s="3" t="s">
        <v>26</v>
      </c>
      <c r="L1" s="3" t="s">
        <v>27</v>
      </c>
      <c r="M1" s="5" t="s">
        <v>28</v>
      </c>
      <c r="N1" s="6" t="s">
        <v>29</v>
      </c>
      <c r="O1" s="6" t="s">
        <v>30</v>
      </c>
      <c r="P1" s="6" t="s">
        <v>31</v>
      </c>
      <c r="Q1" s="7" t="s">
        <v>32</v>
      </c>
      <c r="R1" s="8" t="s">
        <v>33</v>
      </c>
    </row>
    <row r="2" spans="1:18" ht="15.6" x14ac:dyDescent="0.3">
      <c r="A2" s="9" t="s">
        <v>34</v>
      </c>
      <c r="B2" s="20" t="s">
        <v>35</v>
      </c>
      <c r="C2" s="20" t="s">
        <v>36</v>
      </c>
      <c r="D2" s="20" t="s">
        <v>37</v>
      </c>
      <c r="E2" s="21" t="s">
        <v>38</v>
      </c>
      <c r="F2" s="21" t="s">
        <v>39</v>
      </c>
      <c r="G2" s="21" t="s">
        <v>40</v>
      </c>
      <c r="H2" s="22" t="s">
        <v>41</v>
      </c>
      <c r="I2" s="21" t="s">
        <v>42</v>
      </c>
      <c r="J2" s="21" t="s">
        <v>43</v>
      </c>
      <c r="K2" s="21" t="s">
        <v>44</v>
      </c>
      <c r="L2" s="21" t="s">
        <v>45</v>
      </c>
      <c r="M2" s="23" t="s">
        <v>46</v>
      </c>
      <c r="N2" s="24" t="s">
        <v>47</v>
      </c>
      <c r="O2" s="24" t="s">
        <v>48</v>
      </c>
      <c r="P2" s="24" t="s">
        <v>49</v>
      </c>
      <c r="Q2" s="25" t="s">
        <v>50</v>
      </c>
      <c r="R2" s="26" t="s">
        <v>51</v>
      </c>
    </row>
    <row r="3" spans="1:18" x14ac:dyDescent="0.3">
      <c r="A3" s="18" t="s">
        <v>0</v>
      </c>
      <c r="B3" s="19">
        <v>169.698593478584</v>
      </c>
      <c r="C3" s="19">
        <v>176.41022439287838</v>
      </c>
      <c r="D3" s="19">
        <v>180.81959127306698</v>
      </c>
      <c r="E3" s="19">
        <v>177.66615325153049</v>
      </c>
      <c r="F3" s="19">
        <v>175.43017261068189</v>
      </c>
      <c r="G3" s="19">
        <v>171.01763748791922</v>
      </c>
      <c r="H3" s="19">
        <v>175.43082973847262</v>
      </c>
      <c r="I3" s="19">
        <v>184.6173173517455</v>
      </c>
      <c r="J3" s="19">
        <v>190.34760831827282</v>
      </c>
      <c r="K3" s="19">
        <v>188.66465143378642</v>
      </c>
      <c r="L3" s="19">
        <v>193.96018988074331</v>
      </c>
      <c r="M3" s="19">
        <v>225.7651666787246</v>
      </c>
      <c r="N3" s="19">
        <v>205.38440437064156</v>
      </c>
      <c r="O3" s="19">
        <v>211.75576070809643</v>
      </c>
      <c r="P3" s="19">
        <v>218.84542849727433</v>
      </c>
      <c r="Q3" s="19">
        <v>223.23684049991516</v>
      </c>
      <c r="R3" s="19">
        <v>227.58200303042412</v>
      </c>
    </row>
    <row r="4" spans="1:18" x14ac:dyDescent="0.3">
      <c r="A4" s="11" t="s">
        <v>1</v>
      </c>
      <c r="B4" s="12">
        <v>19.882250994410999</v>
      </c>
      <c r="C4" s="12">
        <v>18.7892852488324</v>
      </c>
      <c r="D4" s="12">
        <v>19.401575289478</v>
      </c>
      <c r="E4" s="12">
        <v>21.5157732326795</v>
      </c>
      <c r="F4" s="12">
        <v>26.284895612482899</v>
      </c>
      <c r="G4" s="12">
        <v>19.275378750001199</v>
      </c>
      <c r="H4" s="12">
        <v>16.902112395738602</v>
      </c>
      <c r="I4" s="12">
        <v>20.017382775428501</v>
      </c>
      <c r="J4" s="12">
        <v>24.180956892753802</v>
      </c>
      <c r="K4" s="12">
        <v>21.479260914628401</v>
      </c>
      <c r="L4" s="12">
        <v>20.085609548405301</v>
      </c>
      <c r="M4" s="12">
        <v>22.005838225969601</v>
      </c>
      <c r="N4" s="12">
        <v>20.323987285767629</v>
      </c>
      <c r="O4" s="12">
        <v>20.951918439274504</v>
      </c>
      <c r="P4" s="12">
        <v>21.68563371629438</v>
      </c>
      <c r="Q4" s="12">
        <v>22.5211424031509</v>
      </c>
      <c r="R4" s="12">
        <v>23.467030384083237</v>
      </c>
    </row>
    <row r="5" spans="1:18" x14ac:dyDescent="0.3">
      <c r="A5" s="11" t="s">
        <v>52</v>
      </c>
      <c r="B5" s="12">
        <f>B3-B4</f>
        <v>149.81634248417299</v>
      </c>
      <c r="C5" s="12">
        <f t="shared" ref="C5:R5" si="0">C3-C4</f>
        <v>157.62093914404596</v>
      </c>
      <c r="D5" s="12">
        <f t="shared" si="0"/>
        <v>161.41801598358899</v>
      </c>
      <c r="E5" s="12">
        <f t="shared" si="0"/>
        <v>156.150380018851</v>
      </c>
      <c r="F5" s="12">
        <f t="shared" si="0"/>
        <v>149.14527699819899</v>
      </c>
      <c r="G5" s="12">
        <f t="shared" si="0"/>
        <v>151.74225873791801</v>
      </c>
      <c r="H5" s="12">
        <f t="shared" si="0"/>
        <v>158.52871734273401</v>
      </c>
      <c r="I5" s="12">
        <f t="shared" si="0"/>
        <v>164.599934576317</v>
      </c>
      <c r="J5" s="12">
        <f t="shared" si="0"/>
        <v>166.16665142551901</v>
      </c>
      <c r="K5" s="12">
        <f t="shared" si="0"/>
        <v>167.18539051915801</v>
      </c>
      <c r="L5" s="12">
        <f t="shared" si="0"/>
        <v>173.87458033233801</v>
      </c>
      <c r="M5" s="12">
        <f t="shared" si="0"/>
        <v>203.759328452755</v>
      </c>
      <c r="N5" s="12">
        <f t="shared" si="0"/>
        <v>185.06041708487393</v>
      </c>
      <c r="O5" s="12">
        <f t="shared" si="0"/>
        <v>190.80384226882194</v>
      </c>
      <c r="P5" s="12">
        <f t="shared" si="0"/>
        <v>197.15979478097995</v>
      </c>
      <c r="Q5" s="12">
        <f t="shared" si="0"/>
        <v>200.71569809676427</v>
      </c>
      <c r="R5" s="12">
        <f t="shared" si="0"/>
        <v>204.11497264634087</v>
      </c>
    </row>
    <row r="7" spans="1:18" x14ac:dyDescent="0.3">
      <c r="A7" s="18" t="s">
        <v>2</v>
      </c>
      <c r="B7" s="19">
        <v>147.37107346065039</v>
      </c>
      <c r="C7" s="19">
        <v>126.11530757915207</v>
      </c>
      <c r="D7" s="19">
        <v>136.14788247523023</v>
      </c>
      <c r="E7" s="19">
        <v>135.44530260023583</v>
      </c>
      <c r="F7" s="19">
        <v>152.30931062054731</v>
      </c>
      <c r="G7" s="19">
        <v>166.96926044397085</v>
      </c>
      <c r="H7" s="19">
        <v>142.39497154384424</v>
      </c>
      <c r="I7" s="19">
        <v>148.97078809363128</v>
      </c>
      <c r="J7" s="19">
        <v>150.07564094596552</v>
      </c>
      <c r="K7" s="19">
        <v>178.55674843629981</v>
      </c>
      <c r="L7" s="19">
        <v>156.67567643369637</v>
      </c>
      <c r="M7" s="19">
        <v>139.22308577113932</v>
      </c>
      <c r="N7" s="19">
        <v>148.38985778783416</v>
      </c>
      <c r="O7" s="19">
        <v>156.22828015167556</v>
      </c>
      <c r="P7" s="19">
        <v>165.62929882584422</v>
      </c>
      <c r="Q7" s="19">
        <v>176.26813398936318</v>
      </c>
      <c r="R7" s="19">
        <v>188.44929501618023</v>
      </c>
    </row>
    <row r="8" spans="1:18" x14ac:dyDescent="0.3">
      <c r="A8" s="11" t="s">
        <v>53</v>
      </c>
      <c r="B8" s="12">
        <v>8.3748478201894105</v>
      </c>
      <c r="C8" s="12">
        <v>6.2277372231088597</v>
      </c>
      <c r="D8" s="12">
        <v>6.5018693129942298</v>
      </c>
      <c r="E8" s="12">
        <v>6.5964838803246399</v>
      </c>
      <c r="F8" s="12">
        <v>5.8829425792654302</v>
      </c>
      <c r="G8" s="12">
        <v>6.0752275416280499</v>
      </c>
      <c r="H8" s="12">
        <v>6.7012654142483399</v>
      </c>
      <c r="I8" s="12">
        <v>4.0724800178838896</v>
      </c>
      <c r="J8" s="12">
        <v>3.5821040173946201</v>
      </c>
      <c r="K8" s="12">
        <v>3.8959102132830301</v>
      </c>
      <c r="L8" s="12">
        <v>4.1629464604975501</v>
      </c>
      <c r="M8" s="12">
        <v>3.1365906261642298</v>
      </c>
      <c r="N8" s="12">
        <v>3.4661345002945225</v>
      </c>
      <c r="O8" s="12">
        <v>3.7423829668440405</v>
      </c>
      <c r="P8" s="12">
        <v>4.0685145428812017</v>
      </c>
      <c r="Q8" s="12">
        <v>4.4472403719906808</v>
      </c>
      <c r="R8" s="12">
        <v>4.8901624466464844</v>
      </c>
    </row>
    <row r="9" spans="1:18" x14ac:dyDescent="0.3">
      <c r="A9" s="11" t="s">
        <v>3</v>
      </c>
      <c r="B9" s="12">
        <v>52.579928639754201</v>
      </c>
      <c r="C9" s="12">
        <v>53.6209705729093</v>
      </c>
      <c r="D9" s="12">
        <v>54.105166538349899</v>
      </c>
      <c r="E9" s="12">
        <v>55.742487706284699</v>
      </c>
      <c r="F9" s="12">
        <v>59.881517890805704</v>
      </c>
      <c r="G9" s="12">
        <v>60.803691210536499</v>
      </c>
      <c r="H9" s="12">
        <v>59.722468253225102</v>
      </c>
      <c r="I9" s="12">
        <v>56.8498228414716</v>
      </c>
      <c r="J9" s="12">
        <v>58.888219859721502</v>
      </c>
      <c r="K9" s="12">
        <v>63.242166208724299</v>
      </c>
      <c r="L9" s="12">
        <v>50.450670949034397</v>
      </c>
      <c r="M9" s="12">
        <v>43.8444264302424</v>
      </c>
      <c r="N9" s="12">
        <v>44.219703463805615</v>
      </c>
      <c r="O9" s="12">
        <v>44.743525889321624</v>
      </c>
      <c r="P9" s="12">
        <v>45.577922663263692</v>
      </c>
      <c r="Q9" s="12">
        <v>46.669029170695239</v>
      </c>
      <c r="R9" s="12">
        <v>48.119751571505667</v>
      </c>
    </row>
    <row r="10" spans="1:18" x14ac:dyDescent="0.3">
      <c r="A10" s="11" t="s">
        <v>4</v>
      </c>
      <c r="B10" s="12">
        <v>19.1827766862272</v>
      </c>
      <c r="C10" s="12">
        <v>19.968970576314302</v>
      </c>
      <c r="D10" s="12">
        <v>20.672116092353999</v>
      </c>
      <c r="E10" s="12">
        <v>21.032341374606599</v>
      </c>
      <c r="F10" s="12">
        <v>22.600143797009299</v>
      </c>
      <c r="G10" s="12">
        <v>24.670701556929</v>
      </c>
      <c r="H10" s="12">
        <v>24.9592725694256</v>
      </c>
      <c r="I10" s="12">
        <v>27.186355072264998</v>
      </c>
      <c r="J10" s="12">
        <v>29.580339071026099</v>
      </c>
      <c r="K10" s="12">
        <v>29.812049920280199</v>
      </c>
      <c r="L10" s="12">
        <v>31.1404828537352</v>
      </c>
      <c r="M10" s="12">
        <v>32.849121272007601</v>
      </c>
      <c r="N10" s="12">
        <v>34.470553897993895</v>
      </c>
      <c r="O10" s="12">
        <v>35.857304281310192</v>
      </c>
      <c r="P10" s="12">
        <v>37.611802179794694</v>
      </c>
      <c r="Q10" s="12">
        <v>39.40325231761831</v>
      </c>
      <c r="R10" s="12">
        <v>41.251592800385545</v>
      </c>
    </row>
    <row r="11" spans="1:18" x14ac:dyDescent="0.3">
      <c r="A11" s="11" t="s">
        <v>5</v>
      </c>
      <c r="B11" s="12">
        <v>67.233520314479605</v>
      </c>
      <c r="C11" s="12">
        <v>46.2976292068196</v>
      </c>
      <c r="D11" s="12">
        <v>54.868730531532101</v>
      </c>
      <c r="E11" s="12">
        <v>52.073989639019899</v>
      </c>
      <c r="F11" s="12">
        <v>63.944706353466898</v>
      </c>
      <c r="G11" s="12">
        <v>75.419640134877298</v>
      </c>
      <c r="H11" s="12">
        <v>51.0119653069452</v>
      </c>
      <c r="I11" s="12">
        <v>60.8621301620108</v>
      </c>
      <c r="J11" s="12">
        <v>58.024977997823299</v>
      </c>
      <c r="K11" s="12">
        <v>81.606622094012295</v>
      </c>
      <c r="L11" s="12">
        <v>70.921576170429205</v>
      </c>
      <c r="M11" s="12">
        <v>59.392947442725102</v>
      </c>
      <c r="N11" s="12">
        <v>66.23346592574012</v>
      </c>
      <c r="O11" s="12">
        <v>71.885067014199691</v>
      </c>
      <c r="P11" s="12">
        <v>78.371059439904613</v>
      </c>
      <c r="Q11" s="12">
        <v>85.748612129058955</v>
      </c>
      <c r="R11" s="12">
        <v>94.187788197642533</v>
      </c>
    </row>
    <row r="13" spans="1:18" x14ac:dyDescent="0.3">
      <c r="A13" s="18" t="s">
        <v>54</v>
      </c>
      <c r="B13" s="19">
        <v>462.77235567261573</v>
      </c>
      <c r="C13" s="19">
        <v>478.94222101886839</v>
      </c>
      <c r="D13" s="19">
        <v>473.85558966277858</v>
      </c>
      <c r="E13" s="19">
        <v>479.52047974760615</v>
      </c>
      <c r="F13" s="19">
        <v>506.13364151072136</v>
      </c>
      <c r="G13" s="19">
        <v>514.32219006425316</v>
      </c>
      <c r="H13" s="19">
        <v>531.45008472175243</v>
      </c>
      <c r="I13" s="19">
        <v>518.29069621581311</v>
      </c>
      <c r="J13" s="19">
        <v>531.9401550888291</v>
      </c>
      <c r="K13" s="19">
        <v>504.30046129627226</v>
      </c>
      <c r="L13" s="19">
        <v>494.74863942333462</v>
      </c>
      <c r="M13" s="19">
        <v>480.03326275573949</v>
      </c>
      <c r="N13" s="19">
        <v>502.81265251461605</v>
      </c>
      <c r="O13" s="19">
        <v>526.94860380512364</v>
      </c>
      <c r="P13" s="19">
        <v>552.14494282287046</v>
      </c>
      <c r="Q13" s="19">
        <v>579.36163188154569</v>
      </c>
      <c r="R13" s="19">
        <v>614.38253556872826</v>
      </c>
    </row>
    <row r="14" spans="1:18" x14ac:dyDescent="0.3">
      <c r="A14" s="11" t="s">
        <v>55</v>
      </c>
      <c r="B14" s="12">
        <v>85.622069320716804</v>
      </c>
      <c r="C14" s="12">
        <v>85.890325885148698</v>
      </c>
      <c r="D14" s="12">
        <v>83.220296651428399</v>
      </c>
      <c r="E14" s="12">
        <v>85.403676419984905</v>
      </c>
      <c r="F14" s="12">
        <v>98.055260367028396</v>
      </c>
      <c r="G14" s="12">
        <v>100.57109421493</v>
      </c>
      <c r="H14" s="12">
        <v>106.83038557431</v>
      </c>
      <c r="I14" s="12">
        <v>107.28075450489</v>
      </c>
      <c r="J14" s="12">
        <v>109.977103357667</v>
      </c>
      <c r="K14" s="12">
        <v>95.342797600076196</v>
      </c>
      <c r="L14" s="12">
        <v>94.480371967220904</v>
      </c>
      <c r="M14" s="12">
        <v>98.027347318602594</v>
      </c>
      <c r="N14" s="12">
        <v>103.96123730775457</v>
      </c>
      <c r="O14" s="12">
        <v>113.08472484417551</v>
      </c>
      <c r="P14" s="12">
        <v>120.44521002300375</v>
      </c>
      <c r="Q14" s="12">
        <v>128.28477619303044</v>
      </c>
      <c r="R14" s="12">
        <v>141.76599693825688</v>
      </c>
    </row>
    <row r="15" spans="1:18" x14ac:dyDescent="0.3">
      <c r="A15" s="11" t="s">
        <v>56</v>
      </c>
      <c r="B15" s="12">
        <v>26.502738177821726</v>
      </c>
      <c r="C15" s="12">
        <v>28.730890102818499</v>
      </c>
      <c r="D15" s="12">
        <v>30.113164961428801</v>
      </c>
      <c r="E15" s="12">
        <v>31.664900340459099</v>
      </c>
      <c r="F15" s="12">
        <v>31.0477699386362</v>
      </c>
      <c r="G15" s="12">
        <v>36.307791262484599</v>
      </c>
      <c r="H15" s="12">
        <v>37.831370254560099</v>
      </c>
      <c r="I15" s="12">
        <v>35.803383211798</v>
      </c>
      <c r="J15" s="12">
        <v>31.581556590212902</v>
      </c>
      <c r="K15" s="12">
        <v>20.6972732192345</v>
      </c>
      <c r="L15" s="12">
        <v>27.928567027358699</v>
      </c>
      <c r="M15" s="12">
        <v>26.693428915332301</v>
      </c>
      <c r="N15" s="12">
        <v>27.686276276429034</v>
      </c>
      <c r="O15" s="12">
        <v>28.755321145182474</v>
      </c>
      <c r="P15" s="12">
        <v>29.971259218522274</v>
      </c>
      <c r="Q15" s="12">
        <v>31.281275011172617</v>
      </c>
      <c r="R15" s="12">
        <v>32.736330826793079</v>
      </c>
    </row>
    <row r="16" spans="1:18" x14ac:dyDescent="0.3">
      <c r="A16" s="11" t="s">
        <v>57</v>
      </c>
      <c r="B16" s="12">
        <v>16.397102598270259</v>
      </c>
      <c r="C16" s="12">
        <v>23.071399578613001</v>
      </c>
      <c r="D16" s="12">
        <v>22.110732786204501</v>
      </c>
      <c r="E16" s="12">
        <v>23.722849134801901</v>
      </c>
      <c r="F16" s="12">
        <v>27.660261190697501</v>
      </c>
      <c r="G16" s="12">
        <v>30.039452018212302</v>
      </c>
      <c r="H16" s="12">
        <v>32.263870195504303</v>
      </c>
      <c r="I16" s="12">
        <v>31.204923345987801</v>
      </c>
      <c r="J16" s="12">
        <v>22.636193909997601</v>
      </c>
      <c r="K16" s="12">
        <v>9.6439820879869806</v>
      </c>
      <c r="L16" s="12">
        <v>9.2481585416925594</v>
      </c>
      <c r="M16" s="12">
        <v>22.896287524995898</v>
      </c>
      <c r="N16" s="12">
        <v>28.981747787112106</v>
      </c>
      <c r="O16" s="12">
        <v>31.50997055532083</v>
      </c>
      <c r="P16" s="12">
        <v>34.247997936754878</v>
      </c>
      <c r="Q16" s="12">
        <v>37.51323630804302</v>
      </c>
      <c r="R16" s="12">
        <v>41.406660077982188</v>
      </c>
    </row>
    <row r="17" spans="1:18" x14ac:dyDescent="0.3">
      <c r="A17" s="11" t="s">
        <v>58</v>
      </c>
      <c r="B17" s="12">
        <v>23.965787192614865</v>
      </c>
      <c r="C17" s="12">
        <v>24.6234026903951</v>
      </c>
      <c r="D17" s="12">
        <v>19.694139009030199</v>
      </c>
      <c r="E17" s="12">
        <v>22.221173136968499</v>
      </c>
      <c r="F17" s="12">
        <v>22.6960052609539</v>
      </c>
      <c r="G17" s="12">
        <v>22.5410178489618</v>
      </c>
      <c r="H17" s="12">
        <v>24.644849009744899</v>
      </c>
      <c r="I17" s="12">
        <v>24.5150231412339</v>
      </c>
      <c r="J17" s="12">
        <v>31.979584644295301</v>
      </c>
      <c r="K17" s="12">
        <v>28.384081955289101</v>
      </c>
      <c r="L17" s="12">
        <v>33.523449292054103</v>
      </c>
      <c r="M17" s="12">
        <v>26.693428915332301</v>
      </c>
      <c r="N17" s="12">
        <v>27.686276276429034</v>
      </c>
      <c r="O17" s="12">
        <v>28.755321145182474</v>
      </c>
      <c r="P17" s="12">
        <v>29.971259218522274</v>
      </c>
      <c r="Q17" s="12">
        <v>31.281275011172617</v>
      </c>
      <c r="R17" s="12">
        <v>32.736330826793079</v>
      </c>
    </row>
    <row r="18" spans="1:18" x14ac:dyDescent="0.3">
      <c r="A18" s="11" t="s">
        <v>6</v>
      </c>
      <c r="B18" s="12">
        <v>51.565477787398194</v>
      </c>
      <c r="C18" s="12">
        <v>49.9548490744059</v>
      </c>
      <c r="D18" s="12">
        <v>50.521213871636697</v>
      </c>
      <c r="E18" s="12">
        <v>46.339033293576797</v>
      </c>
      <c r="F18" s="12">
        <v>50.133918073325397</v>
      </c>
      <c r="G18" s="12">
        <v>48.000121103955401</v>
      </c>
      <c r="H18" s="12">
        <v>50.141444880501098</v>
      </c>
      <c r="I18" s="12">
        <v>50.215537862793603</v>
      </c>
      <c r="J18" s="12">
        <v>52.714182189246102</v>
      </c>
      <c r="K18" s="12">
        <v>51.0863175931391</v>
      </c>
      <c r="L18" s="12">
        <v>45.328479150130498</v>
      </c>
      <c r="M18" s="12">
        <v>51.338973529041198</v>
      </c>
      <c r="N18" s="12">
        <v>53.191208386037268</v>
      </c>
      <c r="O18" s="12">
        <v>55.21983553625325</v>
      </c>
      <c r="P18" s="12">
        <v>58.348184840397181</v>
      </c>
      <c r="Q18" s="12">
        <v>61.458668802553909</v>
      </c>
      <c r="R18" s="12">
        <v>64.749816669088787</v>
      </c>
    </row>
    <row r="19" spans="1:18" x14ac:dyDescent="0.3">
      <c r="A19" s="11" t="s">
        <v>7</v>
      </c>
      <c r="B19" s="12">
        <v>89.851459395919775</v>
      </c>
      <c r="C19" s="12">
        <v>91.1819588215983</v>
      </c>
      <c r="D19" s="12">
        <v>90.654280442666703</v>
      </c>
      <c r="E19" s="12">
        <v>92.446127421831108</v>
      </c>
      <c r="F19" s="12">
        <v>92.024895197394201</v>
      </c>
      <c r="G19" s="12">
        <v>93.156886866624589</v>
      </c>
      <c r="H19" s="12">
        <v>91.5814097367481</v>
      </c>
      <c r="I19" s="12">
        <v>82.754757247191421</v>
      </c>
      <c r="J19" s="12">
        <v>91.2293745867821</v>
      </c>
      <c r="K19" s="12">
        <v>92.221385145575809</v>
      </c>
      <c r="L19" s="12">
        <v>69.589777264681203</v>
      </c>
      <c r="M19" s="12">
        <v>57.635425031310206</v>
      </c>
      <c r="N19" s="12">
        <v>58.498389155947976</v>
      </c>
      <c r="O19" s="12">
        <v>59.44712478109146</v>
      </c>
      <c r="P19" s="12">
        <v>60.371770730002737</v>
      </c>
      <c r="Q19" s="12">
        <v>61.373631588046656</v>
      </c>
      <c r="R19" s="12">
        <v>62.489311389356153</v>
      </c>
    </row>
    <row r="20" spans="1:18" x14ac:dyDescent="0.3">
      <c r="A20" s="11" t="s">
        <v>8</v>
      </c>
      <c r="B20" s="12">
        <v>75.130261947032892</v>
      </c>
      <c r="C20" s="12">
        <v>75.394467097077793</v>
      </c>
      <c r="D20" s="12">
        <v>75.542313699884502</v>
      </c>
      <c r="E20" s="12">
        <v>75.657310443138101</v>
      </c>
      <c r="F20" s="12">
        <v>76.002601260006898</v>
      </c>
      <c r="G20" s="12">
        <v>77.121791106647194</v>
      </c>
      <c r="H20" s="12">
        <v>75.361366961998598</v>
      </c>
      <c r="I20" s="12">
        <v>74.925461950055706</v>
      </c>
      <c r="J20" s="12">
        <v>73.885292968282997</v>
      </c>
      <c r="K20" s="12">
        <v>75.170118826688807</v>
      </c>
      <c r="L20" s="12">
        <v>54.660240962183899</v>
      </c>
      <c r="M20" s="12">
        <v>47.183359748227701</v>
      </c>
      <c r="N20" s="12">
        <v>47.711456186792532</v>
      </c>
      <c r="O20" s="12">
        <v>48.314939010043936</v>
      </c>
      <c r="P20" s="12">
        <v>48.983303916183118</v>
      </c>
      <c r="Q20" s="12">
        <v>49.70444527077624</v>
      </c>
      <c r="R20" s="12">
        <v>50.450011949837879</v>
      </c>
    </row>
    <row r="21" spans="1:18" x14ac:dyDescent="0.3">
      <c r="A21" s="11" t="s">
        <v>9</v>
      </c>
      <c r="B21" s="12">
        <v>14.72119744888688</v>
      </c>
      <c r="C21" s="12">
        <v>15.7874917245205</v>
      </c>
      <c r="D21" s="12">
        <v>15.111966742782201</v>
      </c>
      <c r="E21" s="12">
        <v>16.788816978692999</v>
      </c>
      <c r="F21" s="12">
        <v>16.0222939373873</v>
      </c>
      <c r="G21" s="12">
        <v>16.035095759977398</v>
      </c>
      <c r="H21" s="12">
        <v>16.220042774749501</v>
      </c>
      <c r="I21" s="12">
        <v>7.8292952971357099</v>
      </c>
      <c r="J21" s="12">
        <v>17.3440816184991</v>
      </c>
      <c r="K21" s="12">
        <v>17.051266318886999</v>
      </c>
      <c r="L21" s="12">
        <v>14.929536302497301</v>
      </c>
      <c r="M21" s="12">
        <v>10.452065283082501</v>
      </c>
      <c r="N21" s="12">
        <v>10.786932969155446</v>
      </c>
      <c r="O21" s="12">
        <v>11.132185771047521</v>
      </c>
      <c r="P21" s="12">
        <v>11.388466813819615</v>
      </c>
      <c r="Q21" s="12">
        <v>11.669186317270416</v>
      </c>
      <c r="R21" s="12">
        <v>12.039299439518272</v>
      </c>
    </row>
    <row r="22" spans="1:18" x14ac:dyDescent="0.3">
      <c r="A22" s="11" t="s">
        <v>10</v>
      </c>
      <c r="B22" s="12">
        <v>5.2796813477594684</v>
      </c>
      <c r="C22" s="12">
        <v>5.3502527426868403</v>
      </c>
      <c r="D22" s="12">
        <v>5.3034942841776802</v>
      </c>
      <c r="E22" s="12">
        <v>5.3937330906346501</v>
      </c>
      <c r="F22" s="12">
        <v>5.8415210569368998</v>
      </c>
      <c r="G22" s="12">
        <v>5.0044795576351699</v>
      </c>
      <c r="H22" s="12">
        <v>5.7308059021194202</v>
      </c>
      <c r="I22" s="12">
        <v>2.8583358482394501</v>
      </c>
      <c r="J22" s="12">
        <v>5.5606911942283004</v>
      </c>
      <c r="K22" s="12">
        <v>4.8415753957269798</v>
      </c>
      <c r="L22" s="12">
        <v>4.3801025301383296</v>
      </c>
      <c r="M22" s="12">
        <v>2.3891288612253798</v>
      </c>
      <c r="N22" s="12">
        <v>2.4413665798726782</v>
      </c>
      <c r="O22" s="12">
        <v>2.4956931837739629</v>
      </c>
      <c r="P22" s="12">
        <v>2.5785076208397024</v>
      </c>
      <c r="Q22" s="12">
        <v>2.6808099494660746</v>
      </c>
      <c r="R22" s="12">
        <v>2.8168243623970333</v>
      </c>
    </row>
    <row r="23" spans="1:18" x14ac:dyDescent="0.3">
      <c r="A23" s="11" t="s">
        <v>11</v>
      </c>
      <c r="B23" s="12">
        <v>2.7552552660703618</v>
      </c>
      <c r="C23" s="12">
        <v>2.9501668145476301</v>
      </c>
      <c r="D23" s="12">
        <v>3.6417212436467299</v>
      </c>
      <c r="E23" s="12">
        <v>4.0312742309596299</v>
      </c>
      <c r="F23" s="12">
        <v>4.9255231575883496</v>
      </c>
      <c r="G23" s="12">
        <v>4.5193535724974998</v>
      </c>
      <c r="H23" s="12">
        <v>4.5747770303003801</v>
      </c>
      <c r="I23" s="12">
        <v>2.7981817543556602</v>
      </c>
      <c r="J23" s="12">
        <v>2.3752516131356098</v>
      </c>
      <c r="K23" s="12">
        <v>2.0654048871027602</v>
      </c>
      <c r="L23" s="12">
        <v>2.4866691141640098</v>
      </c>
      <c r="M23" s="12">
        <v>2.10098448875363</v>
      </c>
      <c r="N23" s="12">
        <v>2.1553259390743689</v>
      </c>
      <c r="O23" s="12">
        <v>2.209753390410397</v>
      </c>
      <c r="P23" s="12">
        <v>2.2830795044819254</v>
      </c>
      <c r="Q23" s="12">
        <v>2.3668114796364015</v>
      </c>
      <c r="R23" s="12">
        <v>2.5223969400868396</v>
      </c>
    </row>
    <row r="24" spans="1:18" x14ac:dyDescent="0.3">
      <c r="A24" s="11" t="s">
        <v>59</v>
      </c>
      <c r="B24" s="12">
        <v>76.680676459756754</v>
      </c>
      <c r="C24" s="12">
        <v>77.743156462021204</v>
      </c>
      <c r="D24" s="12">
        <v>77.986181051935105</v>
      </c>
      <c r="E24" s="12">
        <v>79.307002332706304</v>
      </c>
      <c r="F24" s="12">
        <v>79.7899689452193</v>
      </c>
      <c r="G24" s="12">
        <v>78.597903599999995</v>
      </c>
      <c r="H24" s="12">
        <v>80.819253728972299</v>
      </c>
      <c r="I24" s="12">
        <v>84.073748062283101</v>
      </c>
      <c r="J24" s="12">
        <v>85.594066883264105</v>
      </c>
      <c r="K24" s="12">
        <v>87.216766141175896</v>
      </c>
      <c r="L24" s="12">
        <v>88.922840940375295</v>
      </c>
      <c r="M24" s="12">
        <v>90.846905103052507</v>
      </c>
      <c r="N24" s="12">
        <v>94.57922191359286</v>
      </c>
      <c r="O24" s="12">
        <v>98.563593653655801</v>
      </c>
      <c r="P24" s="12">
        <v>103.19608255537764</v>
      </c>
      <c r="Q24" s="12">
        <v>107.9947003942027</v>
      </c>
      <c r="R24" s="12">
        <v>113.01645396253312</v>
      </c>
    </row>
    <row r="25" spans="1:18" x14ac:dyDescent="0.3">
      <c r="A25" s="11" t="s">
        <v>12</v>
      </c>
      <c r="B25" s="12">
        <v>45.803413542040147</v>
      </c>
      <c r="C25" s="12">
        <v>46.371186948043601</v>
      </c>
      <c r="D25" s="12">
        <v>46.560312626933097</v>
      </c>
      <c r="E25" s="12">
        <v>46.465749787488299</v>
      </c>
      <c r="F25" s="12">
        <v>46.513031207210702</v>
      </c>
      <c r="G25" s="12">
        <v>46.489390497349497</v>
      </c>
      <c r="H25" s="12">
        <v>46.501210852280103</v>
      </c>
      <c r="I25" s="12">
        <v>47.707776540401603</v>
      </c>
      <c r="J25" s="12">
        <v>49.411878754114603</v>
      </c>
      <c r="K25" s="12">
        <v>51.1800626507789</v>
      </c>
      <c r="L25" s="12">
        <v>53.014832395828002</v>
      </c>
      <c r="M25" s="12">
        <v>54.918792648011902</v>
      </c>
      <c r="N25" s="12">
        <v>56.942156817419175</v>
      </c>
      <c r="O25" s="12">
        <v>59.278038580426816</v>
      </c>
      <c r="P25" s="12">
        <v>61.594772214351451</v>
      </c>
      <c r="Q25" s="12">
        <v>64.227460615419375</v>
      </c>
      <c r="R25" s="12">
        <v>66.996989133248405</v>
      </c>
    </row>
    <row r="26" spans="1:18" x14ac:dyDescent="0.3">
      <c r="A26" s="11" t="s">
        <v>13</v>
      </c>
      <c r="B26" s="12">
        <v>18.038859417883234</v>
      </c>
      <c r="C26" s="12">
        <v>21.0518163731447</v>
      </c>
      <c r="D26" s="12">
        <v>21.502627364705301</v>
      </c>
      <c r="E26" s="12">
        <v>20.577476918816298</v>
      </c>
      <c r="F26" s="12">
        <v>24.891136148733501</v>
      </c>
      <c r="G26" s="12">
        <v>27.033934059608399</v>
      </c>
      <c r="H26" s="12">
        <v>28.494408425641801</v>
      </c>
      <c r="I26" s="12">
        <v>27.586507318698398</v>
      </c>
      <c r="J26" s="12">
        <v>27.1435684121939</v>
      </c>
      <c r="K26" s="12">
        <v>41.771004958698299</v>
      </c>
      <c r="L26" s="12">
        <v>48.5130822612307</v>
      </c>
      <c r="M26" s="12">
        <v>33.5648250419463</v>
      </c>
      <c r="N26" s="12">
        <v>34.197521627858194</v>
      </c>
      <c r="O26" s="12">
        <v>35.188992350394173</v>
      </c>
      <c r="P26" s="12">
        <v>36.526252872601134</v>
      </c>
      <c r="Q26" s="12">
        <v>37.978620130933322</v>
      </c>
      <c r="R26" s="12">
        <v>39.556917783485517</v>
      </c>
    </row>
    <row r="27" spans="1:18" x14ac:dyDescent="0.3">
      <c r="A27" s="11" t="s">
        <v>14</v>
      </c>
      <c r="B27" s="12">
        <v>4.6875277815269323</v>
      </c>
      <c r="C27" s="12">
        <v>5.0761738055703596</v>
      </c>
      <c r="D27" s="12">
        <v>4.5431895789523304</v>
      </c>
      <c r="E27" s="12">
        <v>4.6703870424682998</v>
      </c>
      <c r="F27" s="12">
        <v>5.0609631127987802</v>
      </c>
      <c r="G27" s="12">
        <v>5.1680396884285704</v>
      </c>
      <c r="H27" s="12">
        <v>4.5450743698603597</v>
      </c>
      <c r="I27" s="12">
        <v>4.5477207082593196</v>
      </c>
      <c r="J27" s="12">
        <v>4.8687645549846703</v>
      </c>
      <c r="K27" s="12">
        <v>4.7077357568120499</v>
      </c>
      <c r="L27" s="12">
        <v>4.25413367261838</v>
      </c>
      <c r="M27" s="12">
        <v>3.7868303771442</v>
      </c>
      <c r="N27" s="12">
        <v>3.8437474147835222</v>
      </c>
      <c r="O27" s="12">
        <v>3.9206223630791928</v>
      </c>
      <c r="P27" s="12">
        <v>4.0186379221561719</v>
      </c>
      <c r="Q27" s="12">
        <v>4.1191038702100755</v>
      </c>
      <c r="R27" s="12">
        <v>4.222081466965327</v>
      </c>
    </row>
    <row r="28" spans="1:18" x14ac:dyDescent="0.3">
      <c r="A28" s="11" t="s">
        <v>15</v>
      </c>
      <c r="B28" s="12">
        <v>15.622307384837173</v>
      </c>
      <c r="C28" s="12">
        <v>16.946641719874599</v>
      </c>
      <c r="D28" s="12">
        <v>18.004235790033199</v>
      </c>
      <c r="E28" s="12">
        <v>17.2770965969104</v>
      </c>
      <c r="F28" s="12">
        <v>17.4933878541982</v>
      </c>
      <c r="G28" s="12">
        <v>16.892725773565299</v>
      </c>
      <c r="H28" s="12">
        <v>17.4912247612097</v>
      </c>
      <c r="I28" s="12">
        <v>16.944046669680901</v>
      </c>
      <c r="J28" s="12">
        <v>16.867938398707</v>
      </c>
      <c r="K28" s="12">
        <v>15.1420739046757</v>
      </c>
      <c r="L28" s="12">
        <v>13.078175265842001</v>
      </c>
      <c r="M28" s="12">
        <v>11.599663549482999</v>
      </c>
      <c r="N28" s="12">
        <v>11.911285675780629</v>
      </c>
      <c r="O28" s="12">
        <v>12.295454876062614</v>
      </c>
      <c r="P28" s="12">
        <v>12.764931491326871</v>
      </c>
      <c r="Q28" s="12">
        <v>13.309675134648382</v>
      </c>
      <c r="R28" s="12">
        <v>14.184604106426116</v>
      </c>
    </row>
    <row r="30" spans="1:18" ht="15" thickBot="1" x14ac:dyDescent="0.35">
      <c r="A30" s="16" t="s">
        <v>16</v>
      </c>
      <c r="B30" s="17">
        <f>SUM(B3,B7,B13)</f>
        <v>779.8420226118501</v>
      </c>
      <c r="C30" s="17">
        <f t="shared" ref="C30:R30" si="1">SUM(C3,C7,C13)</f>
        <v>781.46775299089882</v>
      </c>
      <c r="D30" s="17">
        <f t="shared" si="1"/>
        <v>790.82306341107574</v>
      </c>
      <c r="E30" s="17">
        <f t="shared" si="1"/>
        <v>792.63193559937247</v>
      </c>
      <c r="F30" s="17">
        <f t="shared" si="1"/>
        <v>833.87312474195051</v>
      </c>
      <c r="G30" s="17">
        <f t="shared" si="1"/>
        <v>852.30908799614326</v>
      </c>
      <c r="H30" s="17">
        <f t="shared" si="1"/>
        <v>849.27588600406932</v>
      </c>
      <c r="I30" s="17">
        <f t="shared" si="1"/>
        <v>851.87880166118987</v>
      </c>
      <c r="J30" s="17">
        <f t="shared" si="1"/>
        <v>872.36340435306738</v>
      </c>
      <c r="K30" s="17">
        <f t="shared" si="1"/>
        <v>871.52186116635846</v>
      </c>
      <c r="L30" s="17">
        <f t="shared" si="1"/>
        <v>845.38450573777436</v>
      </c>
      <c r="M30" s="17">
        <f t="shared" si="1"/>
        <v>845.02151520560346</v>
      </c>
      <c r="N30" s="17">
        <f t="shared" si="1"/>
        <v>856.58691467309177</v>
      </c>
      <c r="O30" s="17">
        <f t="shared" si="1"/>
        <v>894.93264466489563</v>
      </c>
      <c r="P30" s="17">
        <f t="shared" si="1"/>
        <v>936.61967014598895</v>
      </c>
      <c r="Q30" s="17">
        <f t="shared" si="1"/>
        <v>978.866606370824</v>
      </c>
      <c r="R30" s="17">
        <f t="shared" si="1"/>
        <v>1030.4138336153326</v>
      </c>
    </row>
    <row r="31" spans="1:18" x14ac:dyDescent="0.3">
      <c r="A31" s="13" t="s">
        <v>60</v>
      </c>
      <c r="B31" s="14">
        <v>113.408772572861</v>
      </c>
      <c r="C31" s="14">
        <v>115.73105460440399</v>
      </c>
      <c r="D31" s="14">
        <v>123.332679639915</v>
      </c>
      <c r="E31" s="14">
        <v>131.70366175943599</v>
      </c>
      <c r="F31" s="14">
        <v>152.040086066811</v>
      </c>
      <c r="G31" s="14">
        <v>165.28878315</v>
      </c>
      <c r="H31" s="14">
        <v>175.26784345291901</v>
      </c>
      <c r="I31" s="14">
        <v>170.54906333979801</v>
      </c>
      <c r="J31" s="14">
        <v>168.261635095798</v>
      </c>
      <c r="K31" s="14">
        <v>172.832432875888</v>
      </c>
      <c r="L31" s="14">
        <v>175.00135312520899</v>
      </c>
      <c r="M31" s="14">
        <v>196.81656218945099</v>
      </c>
      <c r="N31" s="14">
        <v>203.5</v>
      </c>
      <c r="O31" s="14">
        <v>194</v>
      </c>
      <c r="P31" s="14">
        <v>190</v>
      </c>
      <c r="Q31" s="14">
        <v>189</v>
      </c>
      <c r="R31" s="14">
        <v>183</v>
      </c>
    </row>
    <row r="32" spans="1:18" x14ac:dyDescent="0.3">
      <c r="A32" s="13" t="s">
        <v>61</v>
      </c>
      <c r="B32" s="14">
        <v>0.392454785578288</v>
      </c>
      <c r="C32" s="14">
        <v>0.96864186332145197</v>
      </c>
      <c r="D32" s="14">
        <v>8.5755991996287598E-2</v>
      </c>
      <c r="E32" s="14">
        <v>8.52101434146873E-2</v>
      </c>
      <c r="F32" s="14">
        <v>0.67427298393122803</v>
      </c>
      <c r="G32" s="14">
        <v>0.80846415999999999</v>
      </c>
      <c r="H32" s="14">
        <v>0.76338097884901301</v>
      </c>
      <c r="I32" s="14">
        <v>0.78145856018168303</v>
      </c>
      <c r="J32" s="14">
        <v>0.758642797237015</v>
      </c>
      <c r="K32" s="14">
        <v>0.71732133182708402</v>
      </c>
      <c r="L32" s="14">
        <v>0.85543941432567905</v>
      </c>
      <c r="M32" s="14">
        <v>1.0590750599302601</v>
      </c>
      <c r="N32" s="14">
        <v>1.1000000000000001</v>
      </c>
      <c r="O32" s="14">
        <v>1.1000000000000001</v>
      </c>
      <c r="P32" s="14">
        <v>2</v>
      </c>
      <c r="Q32" s="14">
        <v>2</v>
      </c>
      <c r="R32" s="14">
        <v>2</v>
      </c>
    </row>
    <row r="33" spans="1:18" ht="15" thickBot="1" x14ac:dyDescent="0.35">
      <c r="A33" s="15" t="s">
        <v>62</v>
      </c>
      <c r="B33" s="28">
        <f>SUM(B30:B31)-B32</f>
        <v>892.85834039913289</v>
      </c>
      <c r="C33" s="28">
        <f t="shared" ref="C33:R33" si="2">SUM(C30:C31)-C32</f>
        <v>896.2301657319814</v>
      </c>
      <c r="D33" s="28">
        <f t="shared" si="2"/>
        <v>914.06998705899446</v>
      </c>
      <c r="E33" s="28">
        <f t="shared" si="2"/>
        <v>924.25038721539374</v>
      </c>
      <c r="F33" s="28">
        <f t="shared" si="2"/>
        <v>985.23893782483026</v>
      </c>
      <c r="G33" s="28">
        <f t="shared" si="2"/>
        <v>1016.7894069861433</v>
      </c>
      <c r="H33" s="28">
        <f t="shared" si="2"/>
        <v>1023.7803484781393</v>
      </c>
      <c r="I33" s="28">
        <f t="shared" si="2"/>
        <v>1021.6464064408061</v>
      </c>
      <c r="J33" s="28">
        <f t="shared" si="2"/>
        <v>1039.8663966516285</v>
      </c>
      <c r="K33" s="28">
        <f t="shared" si="2"/>
        <v>1043.6369727104193</v>
      </c>
      <c r="L33" s="28">
        <f t="shared" si="2"/>
        <v>1019.5304194486577</v>
      </c>
      <c r="M33" s="28">
        <f t="shared" si="2"/>
        <v>1040.779002335124</v>
      </c>
      <c r="N33" s="28">
        <f t="shared" si="2"/>
        <v>1058.9869146730919</v>
      </c>
      <c r="O33" s="28">
        <f t="shared" si="2"/>
        <v>1087.8326446648957</v>
      </c>
      <c r="P33" s="28">
        <f t="shared" si="2"/>
        <v>1124.6196701459889</v>
      </c>
      <c r="Q33" s="28">
        <f t="shared" si="2"/>
        <v>1165.866606370824</v>
      </c>
      <c r="R33" s="28">
        <f t="shared" si="2"/>
        <v>1211.4138336153326</v>
      </c>
    </row>
    <row r="34" spans="1:18" ht="15" thickTop="1" x14ac:dyDescent="0.3">
      <c r="B34" s="12"/>
      <c r="C34" s="12"/>
      <c r="D34" s="12"/>
      <c r="E34" s="12"/>
      <c r="F34" s="12"/>
      <c r="G34" s="12"/>
      <c r="H34" s="12"/>
      <c r="I34" s="12"/>
      <c r="J34" s="12"/>
      <c r="K34" s="12"/>
      <c r="L34" s="12"/>
      <c r="M34" s="12"/>
      <c r="N34" s="12"/>
      <c r="O34" s="12"/>
      <c r="P34" s="12"/>
      <c r="Q34" s="12"/>
      <c r="R34" s="12"/>
    </row>
    <row r="35" spans="1:18" x14ac:dyDescent="0.3">
      <c r="B35" s="12"/>
      <c r="C35" s="12"/>
      <c r="D35" s="12"/>
      <c r="E35" s="12"/>
      <c r="F35" s="12"/>
      <c r="G35" s="12"/>
      <c r="H35" s="12"/>
      <c r="I35" s="12"/>
      <c r="J35" s="12"/>
      <c r="K35" s="12"/>
      <c r="L35" s="12"/>
      <c r="M35" s="12"/>
      <c r="N35" s="12"/>
      <c r="O35" s="12"/>
      <c r="P35" s="12"/>
      <c r="Q35" s="12"/>
      <c r="R35" s="12"/>
    </row>
    <row r="36" spans="1:18" x14ac:dyDescent="0.3">
      <c r="B36" s="12"/>
      <c r="C36" s="12"/>
      <c r="D36" s="12"/>
      <c r="E36" s="12"/>
      <c r="F36" s="12"/>
      <c r="G36" s="12"/>
      <c r="H36" s="12"/>
      <c r="I36" s="12"/>
      <c r="J36" s="12"/>
      <c r="K36" s="12"/>
      <c r="L36" s="12"/>
      <c r="M36" s="12"/>
      <c r="N36" s="12"/>
      <c r="O36" s="12"/>
      <c r="P36" s="12"/>
      <c r="Q36" s="12"/>
      <c r="R36" s="12"/>
    </row>
    <row r="37" spans="1:18" ht="15.6" x14ac:dyDescent="0.3">
      <c r="B37" s="30" t="s">
        <v>35</v>
      </c>
      <c r="C37" s="30" t="s">
        <v>36</v>
      </c>
      <c r="D37" s="30" t="s">
        <v>37</v>
      </c>
      <c r="E37" s="29" t="s">
        <v>38</v>
      </c>
      <c r="F37" s="29" t="s">
        <v>39</v>
      </c>
      <c r="G37" s="29" t="s">
        <v>40</v>
      </c>
      <c r="H37" s="32" t="s">
        <v>41</v>
      </c>
      <c r="I37" s="29" t="s">
        <v>42</v>
      </c>
      <c r="J37" s="29" t="s">
        <v>43</v>
      </c>
      <c r="K37" s="29" t="s">
        <v>44</v>
      </c>
      <c r="L37" s="29" t="s">
        <v>45</v>
      </c>
      <c r="M37" s="33" t="s">
        <v>46</v>
      </c>
      <c r="N37" s="29" t="s">
        <v>47</v>
      </c>
      <c r="O37" s="29" t="s">
        <v>48</v>
      </c>
      <c r="P37" s="29" t="s">
        <v>49</v>
      </c>
      <c r="Q37" s="34" t="s">
        <v>50</v>
      </c>
      <c r="R37" s="34" t="s">
        <v>51</v>
      </c>
    </row>
    <row r="38" spans="1:18" ht="15" thickBot="1" x14ac:dyDescent="0.35">
      <c r="A38" s="27" t="s">
        <v>63</v>
      </c>
      <c r="B38" s="35"/>
      <c r="C38" s="36">
        <f>(C33/B33-1)*100</f>
        <v>0.37764393076522573</v>
      </c>
      <c r="D38" s="36">
        <f t="shared" ref="D38:R38" si="3">(D33/C33-1)*100</f>
        <v>1.9905401546535417</v>
      </c>
      <c r="E38" s="36">
        <f t="shared" si="3"/>
        <v>1.1137440568587786</v>
      </c>
      <c r="F38" s="36">
        <f t="shared" si="3"/>
        <v>6.598704361183394</v>
      </c>
      <c r="G38" s="36">
        <f t="shared" si="3"/>
        <v>3.2023165092285977</v>
      </c>
      <c r="H38" s="36">
        <f t="shared" si="3"/>
        <v>0.68755058264402535</v>
      </c>
      <c r="I38" s="36">
        <f t="shared" si="3"/>
        <v>-0.20843748764129977</v>
      </c>
      <c r="J38" s="36">
        <f t="shared" si="3"/>
        <v>1.7833949295918305</v>
      </c>
      <c r="K38" s="36">
        <f t="shared" si="3"/>
        <v>0.36260197184292409</v>
      </c>
      <c r="L38" s="36">
        <f t="shared" si="3"/>
        <v>-2.3098600272041692</v>
      </c>
      <c r="M38" s="36">
        <f t="shared" si="3"/>
        <v>2.0841538889989408</v>
      </c>
      <c r="N38" s="36">
        <f t="shared" si="3"/>
        <v>1.7494503921693383</v>
      </c>
      <c r="O38" s="36">
        <f t="shared" si="3"/>
        <v>2.7238986234979556</v>
      </c>
      <c r="P38" s="36">
        <f t="shared" si="3"/>
        <v>3.3816805977931796</v>
      </c>
      <c r="Q38" s="36">
        <f t="shared" si="3"/>
        <v>3.6676342518071614</v>
      </c>
      <c r="R38" s="36">
        <f t="shared" si="3"/>
        <v>3.9067271500545564</v>
      </c>
    </row>
    <row r="39" spans="1:18" x14ac:dyDescent="0.3">
      <c r="A39" s="9" t="s">
        <v>84</v>
      </c>
      <c r="B39" s="40"/>
      <c r="C39" s="41"/>
      <c r="D39" s="41"/>
      <c r="E39" s="41"/>
      <c r="F39" s="41"/>
      <c r="G39" s="41"/>
      <c r="H39" s="41">
        <v>0.5</v>
      </c>
      <c r="I39" s="41">
        <v>-0.3</v>
      </c>
      <c r="J39" s="41">
        <v>1.8</v>
      </c>
      <c r="K39" s="41">
        <v>-0.9</v>
      </c>
      <c r="L39" s="41">
        <v>-2.1</v>
      </c>
      <c r="M39" s="41">
        <v>2.8</v>
      </c>
      <c r="N39" s="41">
        <v>1.7</v>
      </c>
      <c r="O39" s="41">
        <v>2.7</v>
      </c>
      <c r="P39" s="41">
        <v>3.4</v>
      </c>
      <c r="Q39" s="41">
        <v>3.7</v>
      </c>
      <c r="R39" s="41">
        <v>3.9</v>
      </c>
    </row>
    <row r="40" spans="1:18" x14ac:dyDescent="0.3">
      <c r="A40" t="s">
        <v>64</v>
      </c>
      <c r="B40" s="37"/>
      <c r="C40" s="37"/>
      <c r="D40" s="37"/>
      <c r="E40" s="37"/>
      <c r="F40" s="37"/>
      <c r="G40" s="37"/>
      <c r="H40" s="37"/>
      <c r="I40" s="37"/>
      <c r="J40" s="37"/>
      <c r="K40" s="37"/>
      <c r="L40" s="37">
        <v>-2.2999999999999998</v>
      </c>
      <c r="M40" s="37">
        <v>2.1</v>
      </c>
      <c r="N40" s="37">
        <v>2.7</v>
      </c>
      <c r="O40" s="37">
        <v>2.2999999999999998</v>
      </c>
      <c r="P40" s="37"/>
      <c r="Q40" s="37"/>
      <c r="R40" s="37"/>
    </row>
    <row r="41" spans="1:18" x14ac:dyDescent="0.3">
      <c r="A41" t="s">
        <v>65</v>
      </c>
      <c r="B41" s="37"/>
      <c r="C41" s="37"/>
      <c r="D41" s="37"/>
      <c r="E41" s="37"/>
      <c r="F41" s="37">
        <v>6.6</v>
      </c>
      <c r="G41" s="37">
        <v>3.2</v>
      </c>
      <c r="H41" s="37">
        <v>0.53</v>
      </c>
      <c r="I41" s="37">
        <v>-0.28999999999999998</v>
      </c>
      <c r="J41" s="37">
        <v>1.81</v>
      </c>
      <c r="K41" s="37">
        <v>-0.93</v>
      </c>
      <c r="L41" s="37">
        <v>-2.13</v>
      </c>
      <c r="M41" s="37">
        <v>2.79</v>
      </c>
      <c r="N41" s="37">
        <v>1.72</v>
      </c>
      <c r="O41" s="37">
        <v>2.65</v>
      </c>
      <c r="P41" s="37">
        <v>2.4500000000000002</v>
      </c>
      <c r="Q41" s="37"/>
      <c r="R41" s="37"/>
    </row>
    <row r="42" spans="1:18" x14ac:dyDescent="0.3">
      <c r="A42" t="s">
        <v>66</v>
      </c>
      <c r="B42" s="37"/>
      <c r="C42" s="37"/>
      <c r="D42" s="38">
        <v>1.9905401546535639</v>
      </c>
      <c r="E42" s="38">
        <v>1.1137440568586898</v>
      </c>
      <c r="F42" s="38">
        <v>6.5987043611834606</v>
      </c>
      <c r="G42" s="38">
        <v>3.2023165092285533</v>
      </c>
      <c r="H42" s="38">
        <v>0.52782726631055432</v>
      </c>
      <c r="I42" s="38">
        <v>-0.28520879473590277</v>
      </c>
      <c r="J42" s="38">
        <v>1.8061873534121142</v>
      </c>
      <c r="K42" s="38">
        <v>-0.93492630373457342</v>
      </c>
      <c r="L42" s="39">
        <v>-2.1285445240516898</v>
      </c>
      <c r="M42" s="39">
        <v>2.7901436686258663</v>
      </c>
      <c r="N42" s="39">
        <v>1.7165410953372762</v>
      </c>
      <c r="O42" s="37"/>
      <c r="P42" s="37"/>
      <c r="Q42" s="37"/>
      <c r="R42" s="37"/>
    </row>
    <row r="44" spans="1:18" x14ac:dyDescent="0.3">
      <c r="A44" t="s">
        <v>67</v>
      </c>
    </row>
    <row r="45" spans="1:18" x14ac:dyDescent="0.3">
      <c r="A45" t="s">
        <v>68</v>
      </c>
    </row>
    <row r="46" spans="1:18" x14ac:dyDescent="0.3">
      <c r="A46" t="s">
        <v>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26D46-8D9C-4E33-B71B-47AD65F50399}">
  <dimension ref="A1:JK24"/>
  <sheetViews>
    <sheetView zoomScale="85" workbookViewId="0">
      <pane xSplit="1" topLeftCell="IP1" activePane="topRight" state="frozen"/>
      <selection pane="topRight" activeCell="EM21" sqref="EM21:JD23"/>
    </sheetView>
  </sheetViews>
  <sheetFormatPr defaultRowHeight="14.4" x14ac:dyDescent="0.3"/>
  <cols>
    <col min="1" max="1" width="17.33203125" style="63" customWidth="1"/>
    <col min="2" max="193" width="8.88671875" customWidth="1"/>
  </cols>
  <sheetData>
    <row r="1" spans="1:271" ht="16.2" thickBot="1" x14ac:dyDescent="0.35">
      <c r="A1" s="65"/>
      <c r="B1" s="55">
        <v>37987</v>
      </c>
      <c r="C1" s="55">
        <v>38018</v>
      </c>
      <c r="D1" s="55">
        <v>38047</v>
      </c>
      <c r="E1" s="55">
        <v>38078</v>
      </c>
      <c r="F1" s="55">
        <v>38108</v>
      </c>
      <c r="G1" s="56">
        <v>38139</v>
      </c>
      <c r="H1" s="57">
        <v>38169</v>
      </c>
      <c r="I1" s="55">
        <v>38200</v>
      </c>
      <c r="J1" s="55">
        <v>38231</v>
      </c>
      <c r="K1" s="55">
        <v>38261</v>
      </c>
      <c r="L1" s="55">
        <v>38292</v>
      </c>
      <c r="M1" s="55">
        <v>38322</v>
      </c>
      <c r="N1" s="55">
        <v>38353</v>
      </c>
      <c r="O1" s="55">
        <v>38384</v>
      </c>
      <c r="P1" s="55">
        <v>38412</v>
      </c>
      <c r="Q1" s="55">
        <v>38443</v>
      </c>
      <c r="R1" s="55">
        <v>38473</v>
      </c>
      <c r="S1" s="56">
        <v>38504</v>
      </c>
      <c r="T1" s="57">
        <v>38534</v>
      </c>
      <c r="U1" s="55">
        <v>38565</v>
      </c>
      <c r="V1" s="55">
        <v>38596</v>
      </c>
      <c r="W1" s="55">
        <v>38626</v>
      </c>
      <c r="X1" s="55">
        <v>38657</v>
      </c>
      <c r="Y1" s="55">
        <v>38687</v>
      </c>
      <c r="Z1" s="55">
        <v>38718</v>
      </c>
      <c r="AA1" s="55">
        <v>38749</v>
      </c>
      <c r="AB1" s="55">
        <v>38777</v>
      </c>
      <c r="AC1" s="55">
        <v>38808</v>
      </c>
      <c r="AD1" s="55">
        <v>38838</v>
      </c>
      <c r="AE1" s="56">
        <v>38869</v>
      </c>
      <c r="AF1" s="57">
        <v>38899</v>
      </c>
      <c r="AG1" s="55">
        <v>38930</v>
      </c>
      <c r="AH1" s="55">
        <v>38961</v>
      </c>
      <c r="AI1" s="55">
        <v>38991</v>
      </c>
      <c r="AJ1" s="55">
        <v>39022</v>
      </c>
      <c r="AK1" s="55">
        <v>39052</v>
      </c>
      <c r="AL1" s="55">
        <v>39083</v>
      </c>
      <c r="AM1" s="55">
        <v>39114</v>
      </c>
      <c r="AN1" s="55">
        <v>39142</v>
      </c>
      <c r="AO1" s="55">
        <v>39173</v>
      </c>
      <c r="AP1" s="55">
        <v>39203</v>
      </c>
      <c r="AQ1" s="56">
        <v>39234</v>
      </c>
      <c r="AR1" s="57">
        <v>39264</v>
      </c>
      <c r="AS1" s="55">
        <v>39295</v>
      </c>
      <c r="AT1" s="55">
        <v>39326</v>
      </c>
      <c r="AU1" s="55">
        <v>39356</v>
      </c>
      <c r="AV1" s="55">
        <v>39387</v>
      </c>
      <c r="AW1" s="55">
        <v>39417</v>
      </c>
      <c r="AX1" s="55">
        <v>39448</v>
      </c>
      <c r="AY1" s="55">
        <v>39479</v>
      </c>
      <c r="AZ1" s="55">
        <v>39508</v>
      </c>
      <c r="BA1" s="55">
        <v>39539</v>
      </c>
      <c r="BB1" s="55">
        <v>39569</v>
      </c>
      <c r="BC1" s="56">
        <v>39600</v>
      </c>
      <c r="BD1" s="57">
        <v>39630</v>
      </c>
      <c r="BE1" s="55">
        <v>39661</v>
      </c>
      <c r="BF1" s="55">
        <v>39692</v>
      </c>
      <c r="BG1" s="55">
        <v>39722</v>
      </c>
      <c r="BH1" s="55">
        <v>39753</v>
      </c>
      <c r="BI1" s="55">
        <v>39783</v>
      </c>
      <c r="BJ1" s="55">
        <v>39814</v>
      </c>
      <c r="BK1" s="55">
        <v>39845</v>
      </c>
      <c r="BL1" s="55">
        <v>39873</v>
      </c>
      <c r="BM1" s="55">
        <v>39904</v>
      </c>
      <c r="BN1" s="55">
        <v>39934</v>
      </c>
      <c r="BO1" s="56">
        <v>39965</v>
      </c>
      <c r="BP1" s="57">
        <v>39995</v>
      </c>
      <c r="BQ1" s="55">
        <v>40026</v>
      </c>
      <c r="BR1" s="55">
        <v>40057</v>
      </c>
      <c r="BS1" s="55">
        <v>40087</v>
      </c>
      <c r="BT1" s="55">
        <v>40118</v>
      </c>
      <c r="BU1" s="55">
        <v>40148</v>
      </c>
      <c r="BV1" s="55">
        <v>40179</v>
      </c>
      <c r="BW1" s="55">
        <v>40210</v>
      </c>
      <c r="BX1" s="55">
        <v>40238</v>
      </c>
      <c r="BY1" s="55">
        <v>40269</v>
      </c>
      <c r="BZ1" s="55">
        <v>40299</v>
      </c>
      <c r="CA1" s="56">
        <v>40330</v>
      </c>
      <c r="CB1" s="57">
        <v>40360</v>
      </c>
      <c r="CC1" s="55">
        <v>40391</v>
      </c>
      <c r="CD1" s="55">
        <v>40422</v>
      </c>
      <c r="CE1" s="55">
        <v>40452</v>
      </c>
      <c r="CF1" s="55">
        <v>40483</v>
      </c>
      <c r="CG1" s="55">
        <v>40513</v>
      </c>
      <c r="CH1" s="55">
        <v>40544</v>
      </c>
      <c r="CI1" s="55">
        <v>40575</v>
      </c>
      <c r="CJ1" s="55">
        <v>40603</v>
      </c>
      <c r="CK1" s="55">
        <v>40634</v>
      </c>
      <c r="CL1" s="55">
        <v>40664</v>
      </c>
      <c r="CM1" s="56">
        <v>40695</v>
      </c>
      <c r="CN1" s="57">
        <v>40725</v>
      </c>
      <c r="CO1" s="55">
        <v>40756</v>
      </c>
      <c r="CP1" s="55">
        <v>40787</v>
      </c>
      <c r="CQ1" s="55">
        <v>40817</v>
      </c>
      <c r="CR1" s="55">
        <v>40848</v>
      </c>
      <c r="CS1" s="55">
        <v>40878</v>
      </c>
      <c r="CT1" s="55">
        <v>40909</v>
      </c>
      <c r="CU1" s="55">
        <v>40940</v>
      </c>
      <c r="CV1" s="55">
        <v>40969</v>
      </c>
      <c r="CW1" s="55">
        <v>41000</v>
      </c>
      <c r="CX1" s="55">
        <v>41030</v>
      </c>
      <c r="CY1" s="56">
        <v>41061</v>
      </c>
      <c r="CZ1" s="57">
        <v>41091</v>
      </c>
      <c r="DA1" s="55">
        <v>41122</v>
      </c>
      <c r="DB1" s="55">
        <v>41153</v>
      </c>
      <c r="DC1" s="55">
        <v>41183</v>
      </c>
      <c r="DD1" s="55">
        <v>41214</v>
      </c>
      <c r="DE1" s="55">
        <v>41244</v>
      </c>
      <c r="DF1" s="55">
        <v>41275</v>
      </c>
      <c r="DG1" s="55">
        <v>41306</v>
      </c>
      <c r="DH1" s="55">
        <v>41334</v>
      </c>
      <c r="DI1" s="55">
        <v>41365</v>
      </c>
      <c r="DJ1" s="55">
        <v>41395</v>
      </c>
      <c r="DK1" s="56">
        <v>41426</v>
      </c>
      <c r="DL1" s="57">
        <v>41456</v>
      </c>
      <c r="DM1" s="55">
        <v>41487</v>
      </c>
      <c r="DN1" s="55">
        <v>41518</v>
      </c>
      <c r="DO1" s="55">
        <v>41548</v>
      </c>
      <c r="DP1" s="55">
        <v>41579</v>
      </c>
      <c r="DQ1" s="55">
        <v>41609</v>
      </c>
      <c r="DR1" s="55">
        <v>41640</v>
      </c>
      <c r="DS1" s="55">
        <v>41671</v>
      </c>
      <c r="DT1" s="55">
        <v>41699</v>
      </c>
      <c r="DU1" s="55">
        <v>41730</v>
      </c>
      <c r="DV1" s="55">
        <v>41760</v>
      </c>
      <c r="DW1" s="56">
        <v>41791</v>
      </c>
      <c r="DX1" s="57">
        <v>41821</v>
      </c>
      <c r="DY1" s="55">
        <v>41852</v>
      </c>
      <c r="DZ1" s="55">
        <v>41883</v>
      </c>
      <c r="EA1" s="55">
        <v>41913</v>
      </c>
      <c r="EB1" s="55">
        <v>41944</v>
      </c>
      <c r="EC1" s="55">
        <v>41974</v>
      </c>
      <c r="ED1" s="55">
        <v>42005</v>
      </c>
      <c r="EE1" s="55">
        <v>42036</v>
      </c>
      <c r="EF1" s="55">
        <v>42064</v>
      </c>
      <c r="EG1" s="55">
        <v>42095</v>
      </c>
      <c r="EH1" s="55">
        <v>42125</v>
      </c>
      <c r="EI1" s="56">
        <v>42156</v>
      </c>
      <c r="EJ1" s="57">
        <v>42186</v>
      </c>
      <c r="EK1" s="55">
        <v>42217</v>
      </c>
      <c r="EL1" s="55">
        <v>42248</v>
      </c>
      <c r="EM1" s="55">
        <v>42278</v>
      </c>
      <c r="EN1" s="55">
        <v>42309</v>
      </c>
      <c r="EO1" s="55">
        <v>42339</v>
      </c>
      <c r="EP1" s="55">
        <v>42370</v>
      </c>
      <c r="EQ1" s="55">
        <v>42401</v>
      </c>
      <c r="ER1" s="55">
        <v>42430</v>
      </c>
      <c r="ES1" s="55">
        <v>42461</v>
      </c>
      <c r="ET1" s="55">
        <v>42491</v>
      </c>
      <c r="EU1" s="56">
        <v>42522</v>
      </c>
      <c r="EV1" s="57">
        <v>42552</v>
      </c>
      <c r="EW1" s="55">
        <v>42583</v>
      </c>
      <c r="EX1" s="55">
        <v>42614</v>
      </c>
      <c r="EY1" s="55">
        <v>42644</v>
      </c>
      <c r="EZ1" s="55">
        <v>42675</v>
      </c>
      <c r="FA1" s="55">
        <v>42705</v>
      </c>
      <c r="FB1" s="55">
        <v>42736</v>
      </c>
      <c r="FC1" s="55">
        <v>42767</v>
      </c>
      <c r="FD1" s="55">
        <v>42795</v>
      </c>
      <c r="FE1" s="55">
        <v>42826</v>
      </c>
      <c r="FF1" s="55">
        <v>42856</v>
      </c>
      <c r="FG1" s="56">
        <v>42887</v>
      </c>
      <c r="FH1" s="57">
        <v>42917</v>
      </c>
      <c r="FI1" s="55">
        <v>42948</v>
      </c>
      <c r="FJ1" s="55">
        <v>42979</v>
      </c>
      <c r="FK1" s="55">
        <v>43009</v>
      </c>
      <c r="FL1" s="55">
        <v>43040</v>
      </c>
      <c r="FM1" s="55">
        <v>43070</v>
      </c>
      <c r="FN1" s="55">
        <v>43101</v>
      </c>
      <c r="FO1" s="55">
        <v>43132</v>
      </c>
      <c r="FP1" s="55">
        <v>43160</v>
      </c>
      <c r="FQ1" s="55">
        <v>43191</v>
      </c>
      <c r="FR1" s="55">
        <v>43221</v>
      </c>
      <c r="FS1" s="56">
        <v>43252</v>
      </c>
      <c r="FT1" s="57">
        <v>43282</v>
      </c>
      <c r="FU1" s="55">
        <v>43313</v>
      </c>
      <c r="FV1" s="55">
        <v>43344</v>
      </c>
      <c r="FW1" s="55">
        <v>43374</v>
      </c>
      <c r="FX1" s="55">
        <v>43405</v>
      </c>
      <c r="FY1" s="55">
        <v>43435</v>
      </c>
      <c r="FZ1" s="55">
        <v>43466</v>
      </c>
      <c r="GA1" s="55">
        <v>43497</v>
      </c>
      <c r="GB1" s="55">
        <v>43525</v>
      </c>
      <c r="GC1" s="55">
        <v>43556</v>
      </c>
      <c r="GD1" s="55">
        <v>43586</v>
      </c>
      <c r="GE1" s="55">
        <v>43617</v>
      </c>
      <c r="GF1" s="55">
        <v>43647</v>
      </c>
      <c r="GG1" s="55">
        <v>43678</v>
      </c>
      <c r="GH1" s="55">
        <v>43709</v>
      </c>
      <c r="GI1" s="55">
        <v>43739</v>
      </c>
      <c r="GJ1" s="55">
        <v>43770</v>
      </c>
      <c r="GK1" s="55">
        <v>43800</v>
      </c>
      <c r="GL1" s="55">
        <v>43831</v>
      </c>
      <c r="GM1" s="55">
        <v>43862</v>
      </c>
      <c r="GN1" s="55">
        <v>43891</v>
      </c>
      <c r="GO1" s="55">
        <v>43922</v>
      </c>
      <c r="GP1" s="55">
        <v>43952</v>
      </c>
      <c r="GQ1" s="55">
        <v>43983</v>
      </c>
      <c r="GR1" s="55">
        <v>44013</v>
      </c>
      <c r="GS1" s="55">
        <v>44044</v>
      </c>
      <c r="GT1" s="55">
        <v>44075</v>
      </c>
      <c r="GU1" s="55">
        <v>44105</v>
      </c>
      <c r="GV1" s="55">
        <v>44136</v>
      </c>
      <c r="GW1" s="55">
        <v>44166</v>
      </c>
      <c r="GX1" s="55">
        <v>44197</v>
      </c>
      <c r="GY1" s="55">
        <v>44228</v>
      </c>
      <c r="GZ1" s="55">
        <v>44256</v>
      </c>
      <c r="HA1" s="55">
        <v>44287</v>
      </c>
      <c r="HB1" s="55">
        <v>44317</v>
      </c>
      <c r="HC1" s="55">
        <v>44348</v>
      </c>
      <c r="HD1" s="55">
        <v>44378</v>
      </c>
      <c r="HE1" s="55">
        <v>44409</v>
      </c>
      <c r="HF1" s="55">
        <v>44440</v>
      </c>
      <c r="HG1" s="55">
        <v>44470</v>
      </c>
      <c r="HH1" s="55">
        <v>44501</v>
      </c>
      <c r="HI1" s="55">
        <v>44531</v>
      </c>
      <c r="HJ1" s="55">
        <v>44562</v>
      </c>
      <c r="HK1" s="55">
        <v>44593</v>
      </c>
      <c r="HL1" s="55">
        <v>44621</v>
      </c>
      <c r="HM1" s="55">
        <v>44652</v>
      </c>
      <c r="HN1" s="55">
        <v>44682</v>
      </c>
      <c r="HO1" s="55">
        <v>44713</v>
      </c>
      <c r="HP1" s="55">
        <v>44743</v>
      </c>
      <c r="HQ1" s="55">
        <v>44774</v>
      </c>
      <c r="HR1" s="55">
        <v>44805</v>
      </c>
      <c r="HS1" s="55">
        <v>44835</v>
      </c>
      <c r="HT1" s="55">
        <v>44866</v>
      </c>
      <c r="HU1" s="55">
        <v>44896</v>
      </c>
      <c r="HV1" s="55">
        <v>44927</v>
      </c>
      <c r="HW1" s="55">
        <v>44958</v>
      </c>
      <c r="HX1" s="55">
        <v>44986</v>
      </c>
      <c r="HY1" s="55">
        <v>45017</v>
      </c>
      <c r="HZ1" s="55">
        <v>45047</v>
      </c>
      <c r="IA1" s="55">
        <v>45078</v>
      </c>
      <c r="IB1" s="55">
        <v>45108</v>
      </c>
      <c r="IC1" s="55">
        <v>45139</v>
      </c>
      <c r="ID1" s="55">
        <v>45170</v>
      </c>
      <c r="IE1" s="55">
        <v>45200</v>
      </c>
      <c r="IF1" s="55">
        <v>45231</v>
      </c>
      <c r="IG1" s="55">
        <v>45261</v>
      </c>
      <c r="IH1" s="55">
        <v>45292</v>
      </c>
      <c r="II1" s="55">
        <v>45323</v>
      </c>
      <c r="IJ1" s="55">
        <v>45352</v>
      </c>
      <c r="IK1" s="55">
        <v>45383</v>
      </c>
      <c r="IL1" s="55">
        <v>45413</v>
      </c>
      <c r="IM1" s="55">
        <v>45444</v>
      </c>
      <c r="IN1" s="55">
        <v>45474</v>
      </c>
      <c r="IO1" s="55">
        <v>45505</v>
      </c>
      <c r="IP1" s="55">
        <v>45536</v>
      </c>
      <c r="IQ1" s="55">
        <v>45566</v>
      </c>
      <c r="IR1" s="55">
        <v>45597</v>
      </c>
      <c r="IS1" s="55">
        <v>45627</v>
      </c>
      <c r="IT1" s="55">
        <v>45658</v>
      </c>
      <c r="IU1" s="55">
        <v>45689</v>
      </c>
      <c r="IV1" s="55">
        <v>45717</v>
      </c>
      <c r="IW1" s="55">
        <v>45748</v>
      </c>
      <c r="IX1" s="55">
        <v>45778</v>
      </c>
      <c r="IY1" s="55">
        <v>45809</v>
      </c>
      <c r="IZ1" s="55">
        <v>45839</v>
      </c>
      <c r="JA1" s="55">
        <v>45870</v>
      </c>
      <c r="JB1" s="55">
        <v>45901</v>
      </c>
      <c r="JC1" s="55">
        <v>45931</v>
      </c>
      <c r="JD1" s="55">
        <v>45962</v>
      </c>
      <c r="JE1" s="55">
        <v>45992</v>
      </c>
      <c r="JF1" s="55">
        <v>46023</v>
      </c>
      <c r="JG1" s="55">
        <v>46054</v>
      </c>
      <c r="JH1" s="55">
        <v>46082</v>
      </c>
      <c r="JI1" s="55">
        <v>46113</v>
      </c>
      <c r="JJ1" s="55">
        <v>46143</v>
      </c>
      <c r="JK1" s="55">
        <v>46174</v>
      </c>
    </row>
    <row r="2" spans="1:271" ht="15.6" x14ac:dyDescent="0.3">
      <c r="A2" s="64" t="s">
        <v>86</v>
      </c>
      <c r="B2" s="48">
        <v>54.9</v>
      </c>
      <c r="C2" s="48">
        <v>54.3</v>
      </c>
      <c r="D2" s="48">
        <v>56.3</v>
      </c>
      <c r="E2" s="48">
        <v>60.4</v>
      </c>
      <c r="F2" s="48">
        <v>63.9</v>
      </c>
      <c r="G2" s="49">
        <v>89.7</v>
      </c>
      <c r="H2" s="49">
        <v>89.5</v>
      </c>
      <c r="I2" s="49">
        <v>78.400000000000006</v>
      </c>
      <c r="J2" s="49">
        <v>79</v>
      </c>
      <c r="K2" s="49">
        <v>87.1</v>
      </c>
      <c r="L2" s="49">
        <v>91.5</v>
      </c>
      <c r="M2" s="50">
        <v>93.4</v>
      </c>
      <c r="N2" s="49">
        <v>87.1</v>
      </c>
      <c r="O2" s="49">
        <v>85.4</v>
      </c>
      <c r="P2" s="49">
        <v>80.900000000000006</v>
      </c>
      <c r="Q2" s="49">
        <v>83.2</v>
      </c>
      <c r="R2" s="49">
        <v>85.9</v>
      </c>
      <c r="S2" s="49">
        <v>82.120999999999995</v>
      </c>
      <c r="T2" s="49">
        <v>80.694000000000003</v>
      </c>
      <c r="U2" s="49">
        <v>81.5</v>
      </c>
      <c r="V2" s="49">
        <v>82.8</v>
      </c>
      <c r="W2" s="49">
        <v>82.4</v>
      </c>
      <c r="X2" s="49">
        <v>81.8</v>
      </c>
      <c r="Y2" s="50">
        <v>85.7</v>
      </c>
      <c r="Z2" s="49">
        <v>87.2</v>
      </c>
      <c r="AA2" s="49">
        <v>82.4</v>
      </c>
      <c r="AB2" s="49">
        <v>77.400000000000006</v>
      </c>
      <c r="AC2" s="49">
        <v>83.9</v>
      </c>
      <c r="AD2" s="49">
        <v>84.2</v>
      </c>
      <c r="AE2" s="49">
        <v>83.2</v>
      </c>
      <c r="AF2" s="49">
        <v>86.3</v>
      </c>
      <c r="AG2" s="49">
        <v>85.7</v>
      </c>
      <c r="AH2" s="49">
        <v>85.3</v>
      </c>
      <c r="AI2" s="49">
        <v>89.2</v>
      </c>
      <c r="AJ2" s="49">
        <v>84.6</v>
      </c>
      <c r="AK2" s="50">
        <v>84.2</v>
      </c>
      <c r="AL2" s="49">
        <v>85.4</v>
      </c>
      <c r="AM2" s="49">
        <v>84.2</v>
      </c>
      <c r="AN2" s="49">
        <v>90.4</v>
      </c>
      <c r="AO2" s="49">
        <v>80.599999999999994</v>
      </c>
      <c r="AP2" s="49">
        <v>84.9</v>
      </c>
      <c r="AQ2" s="49">
        <v>91.6</v>
      </c>
      <c r="AR2" s="49">
        <v>90.3</v>
      </c>
      <c r="AS2" s="49">
        <v>97.7</v>
      </c>
      <c r="AT2" s="49">
        <v>104.8</v>
      </c>
      <c r="AU2" s="49">
        <v>109</v>
      </c>
      <c r="AV2" s="49">
        <v>94.8</v>
      </c>
      <c r="AW2" s="50">
        <v>114.6</v>
      </c>
      <c r="AX2" s="49">
        <v>113.1</v>
      </c>
      <c r="AY2" s="49">
        <v>101.8</v>
      </c>
      <c r="AZ2" s="49">
        <v>96.3</v>
      </c>
      <c r="BA2" s="49">
        <v>89.7</v>
      </c>
      <c r="BB2" s="49">
        <v>89.5</v>
      </c>
      <c r="BC2" s="49">
        <v>89.1</v>
      </c>
      <c r="BD2" s="49">
        <v>86.2</v>
      </c>
      <c r="BE2" s="49">
        <v>91.3</v>
      </c>
      <c r="BF2" s="49">
        <v>128.5</v>
      </c>
      <c r="BG2" s="49">
        <v>121.6</v>
      </c>
      <c r="BH2" s="49">
        <v>122.7</v>
      </c>
      <c r="BI2" s="50">
        <v>123.9</v>
      </c>
      <c r="BJ2" s="49">
        <v>130.4</v>
      </c>
      <c r="BK2" s="49">
        <v>131.1</v>
      </c>
      <c r="BL2" s="49">
        <v>130.6</v>
      </c>
      <c r="BM2" s="49">
        <v>132.6</v>
      </c>
      <c r="BN2" s="49">
        <v>132.1</v>
      </c>
      <c r="BO2" s="49">
        <v>136.30000000000001</v>
      </c>
      <c r="BP2" s="49">
        <v>139.4</v>
      </c>
      <c r="BQ2" s="49">
        <v>159.19999999999999</v>
      </c>
      <c r="BR2" s="49">
        <v>163.30000000000001</v>
      </c>
      <c r="BS2" s="49">
        <v>160.69999999999999</v>
      </c>
      <c r="BT2" s="49">
        <v>159.9</v>
      </c>
      <c r="BU2" s="50">
        <v>160.4</v>
      </c>
      <c r="BV2" s="49">
        <v>160.80000000000001</v>
      </c>
      <c r="BW2" s="49">
        <v>153.5</v>
      </c>
      <c r="BX2" s="49">
        <v>155.5</v>
      </c>
      <c r="BY2" s="49">
        <v>161.4</v>
      </c>
      <c r="BZ2" s="49">
        <v>166.7</v>
      </c>
      <c r="CA2" s="49">
        <v>170.5</v>
      </c>
      <c r="CB2" s="49">
        <v>178</v>
      </c>
      <c r="CC2" s="49">
        <v>174.1</v>
      </c>
      <c r="CD2" s="49">
        <v>172.7</v>
      </c>
      <c r="CE2" s="49">
        <v>176.5</v>
      </c>
      <c r="CF2" s="49">
        <v>168</v>
      </c>
      <c r="CG2" s="50">
        <v>177.5</v>
      </c>
      <c r="CH2" s="49">
        <v>165.2</v>
      </c>
      <c r="CI2" s="49">
        <v>158.80000000000001</v>
      </c>
      <c r="CJ2" s="49">
        <v>157.1</v>
      </c>
      <c r="CK2" s="49">
        <v>160.1</v>
      </c>
      <c r="CL2" s="49">
        <v>170.2</v>
      </c>
      <c r="CM2" s="49">
        <v>203.8</v>
      </c>
      <c r="CN2" s="49">
        <v>197.6</v>
      </c>
      <c r="CO2" s="49">
        <v>212.4</v>
      </c>
      <c r="CP2" s="49">
        <v>208.1</v>
      </c>
      <c r="CQ2" s="49">
        <v>213.9</v>
      </c>
      <c r="CR2" s="49">
        <v>212.9</v>
      </c>
      <c r="CS2" s="50">
        <v>226</v>
      </c>
      <c r="CT2" s="49">
        <v>229.5</v>
      </c>
      <c r="CU2" s="51">
        <v>230.6</v>
      </c>
      <c r="CV2" s="51">
        <v>239.2</v>
      </c>
      <c r="CW2" s="51">
        <v>240.3</v>
      </c>
      <c r="CX2" s="51">
        <v>245</v>
      </c>
      <c r="CY2" s="51">
        <v>246.1</v>
      </c>
      <c r="CZ2" s="51">
        <v>251.1</v>
      </c>
      <c r="DA2" s="51">
        <v>252.7</v>
      </c>
      <c r="DB2" s="51">
        <v>247.9</v>
      </c>
      <c r="DC2" s="51">
        <v>246.2</v>
      </c>
      <c r="DD2" s="51">
        <v>253.7</v>
      </c>
      <c r="DE2" s="51">
        <v>257.3</v>
      </c>
      <c r="DF2" s="51">
        <v>260.3</v>
      </c>
      <c r="DG2" s="51">
        <v>258</v>
      </c>
      <c r="DH2" s="51">
        <v>244.8</v>
      </c>
      <c r="DI2" s="51">
        <v>258.39999999999998</v>
      </c>
      <c r="DJ2" s="51">
        <v>259.2</v>
      </c>
      <c r="DK2" s="51">
        <v>263.3</v>
      </c>
      <c r="DL2" s="51">
        <v>252.698048</v>
      </c>
      <c r="DM2" s="51">
        <v>256.2</v>
      </c>
      <c r="DN2" s="51">
        <v>254.2</v>
      </c>
      <c r="DO2" s="51">
        <v>260.60000000000002</v>
      </c>
      <c r="DP2" s="51">
        <v>265.39999999999998</v>
      </c>
      <c r="DQ2" s="51">
        <v>271.8</v>
      </c>
      <c r="DR2" s="51">
        <v>276.7</v>
      </c>
      <c r="DS2" s="51">
        <v>281.10000000000002</v>
      </c>
      <c r="DT2" s="51">
        <v>274.8</v>
      </c>
      <c r="DU2" s="51">
        <v>267.89999999999998</v>
      </c>
      <c r="DV2" s="51">
        <v>266.8</v>
      </c>
      <c r="DW2" s="51">
        <v>274.39999999999998</v>
      </c>
      <c r="DX2" s="51">
        <v>280.39999999999998</v>
      </c>
      <c r="DY2" s="51">
        <v>283.89999999999998</v>
      </c>
      <c r="DZ2" s="51">
        <v>270.89999999999998</v>
      </c>
      <c r="EA2" s="51">
        <v>271.5</v>
      </c>
      <c r="EB2" s="51">
        <v>267.89999999999998</v>
      </c>
      <c r="EC2" s="51">
        <v>293.60000000000002</v>
      </c>
      <c r="ED2" s="51">
        <v>287.2</v>
      </c>
      <c r="EE2" s="51">
        <v>281.3</v>
      </c>
      <c r="EF2" s="51">
        <v>270.2</v>
      </c>
      <c r="EG2" s="51">
        <v>272.10000000000002</v>
      </c>
      <c r="EH2" s="51">
        <v>281.10000000000002</v>
      </c>
      <c r="EI2" s="51">
        <v>289.7</v>
      </c>
      <c r="EJ2" s="51">
        <v>302.60000000000002</v>
      </c>
      <c r="EK2" s="51">
        <v>310.89999999999998</v>
      </c>
      <c r="EL2" s="51">
        <v>311.7</v>
      </c>
      <c r="EM2" s="51">
        <v>315.8</v>
      </c>
      <c r="EN2" s="51">
        <v>319</v>
      </c>
      <c r="EO2" s="51">
        <v>327.8</v>
      </c>
      <c r="EP2" s="51">
        <v>326.3</v>
      </c>
      <c r="EQ2" s="51">
        <v>328.5</v>
      </c>
      <c r="ER2" s="51">
        <v>317.3</v>
      </c>
      <c r="ES2" s="51">
        <v>322.89999999999998</v>
      </c>
      <c r="ET2" s="51">
        <v>330.7</v>
      </c>
      <c r="EU2" s="51">
        <v>354.9</v>
      </c>
      <c r="EV2" s="51">
        <v>367.4</v>
      </c>
      <c r="EW2" s="51">
        <v>366.3</v>
      </c>
      <c r="EX2" s="51">
        <v>363.7</v>
      </c>
      <c r="EY2" s="51">
        <v>367</v>
      </c>
      <c r="EZ2" s="51">
        <v>360.9</v>
      </c>
      <c r="FA2" s="51">
        <v>378.8</v>
      </c>
      <c r="FB2" s="51">
        <v>380.8</v>
      </c>
      <c r="FC2" s="51">
        <v>377.7</v>
      </c>
      <c r="FD2" s="51">
        <v>366</v>
      </c>
      <c r="FE2" s="51">
        <v>371.7</v>
      </c>
      <c r="FF2" s="51">
        <v>392.3</v>
      </c>
      <c r="FG2" s="51">
        <v>407.9</v>
      </c>
      <c r="FH2" s="52">
        <v>408.9</v>
      </c>
      <c r="FI2" s="51">
        <v>405</v>
      </c>
      <c r="FJ2" s="51">
        <v>403</v>
      </c>
      <c r="FK2" s="51">
        <v>413.6</v>
      </c>
      <c r="FL2" s="51">
        <v>424.8</v>
      </c>
      <c r="FM2" s="52">
        <v>422.6</v>
      </c>
      <c r="FN2" s="51">
        <v>424.1</v>
      </c>
      <c r="FO2" s="51">
        <v>448</v>
      </c>
      <c r="FP2" s="51">
        <v>447.7</v>
      </c>
      <c r="FQ2" s="51">
        <v>445.9</v>
      </c>
      <c r="FR2" s="51">
        <v>441.9</v>
      </c>
      <c r="FS2" s="51">
        <v>468.7</v>
      </c>
      <c r="FT2" s="53">
        <v>476.5</v>
      </c>
      <c r="FU2" s="54">
        <v>475</v>
      </c>
      <c r="FV2" s="54">
        <v>452.2</v>
      </c>
      <c r="FW2">
        <v>457.3</v>
      </c>
      <c r="FX2">
        <v>468.7</v>
      </c>
      <c r="FY2">
        <v>478.5</v>
      </c>
      <c r="FZ2">
        <v>478.9</v>
      </c>
      <c r="GA2">
        <v>473.5</v>
      </c>
      <c r="GB2" s="12">
        <v>465</v>
      </c>
      <c r="GC2" s="12">
        <v>464.2</v>
      </c>
      <c r="GD2">
        <v>468.3</v>
      </c>
      <c r="GE2">
        <v>484.3</v>
      </c>
      <c r="GF2">
        <v>492.9</v>
      </c>
      <c r="GG2">
        <v>491.8</v>
      </c>
      <c r="GH2">
        <v>490.8</v>
      </c>
      <c r="GI2">
        <v>489.3</v>
      </c>
      <c r="GJ2">
        <v>489.5</v>
      </c>
      <c r="GK2">
        <v>487.4</v>
      </c>
      <c r="GL2">
        <v>482.9</v>
      </c>
      <c r="GM2">
        <v>479.8</v>
      </c>
      <c r="GN2">
        <v>457.5</v>
      </c>
      <c r="GO2">
        <v>475.1</v>
      </c>
      <c r="GP2">
        <v>489.6</v>
      </c>
      <c r="GQ2">
        <v>543.79999999999995</v>
      </c>
      <c r="GR2">
        <v>555.9</v>
      </c>
      <c r="GS2">
        <v>556.1</v>
      </c>
      <c r="GT2">
        <v>576.5</v>
      </c>
      <c r="GU2">
        <v>581.6</v>
      </c>
      <c r="GV2">
        <v>590.20000000000005</v>
      </c>
      <c r="GW2">
        <v>675.6</v>
      </c>
      <c r="GX2">
        <v>705.3</v>
      </c>
      <c r="GY2">
        <v>692.4</v>
      </c>
      <c r="GZ2">
        <v>685.7</v>
      </c>
      <c r="HA2">
        <v>679.7</v>
      </c>
      <c r="HB2">
        <v>689.5</v>
      </c>
      <c r="HC2">
        <v>715.2</v>
      </c>
      <c r="HD2">
        <v>704.8</v>
      </c>
      <c r="HE2">
        <v>751.7</v>
      </c>
      <c r="HF2">
        <v>757</v>
      </c>
      <c r="HG2">
        <v>757</v>
      </c>
      <c r="HH2">
        <v>783.9</v>
      </c>
      <c r="HI2">
        <v>817.5</v>
      </c>
      <c r="HJ2">
        <v>856.1</v>
      </c>
      <c r="HK2">
        <v>867.3</v>
      </c>
      <c r="HL2">
        <v>861.4</v>
      </c>
      <c r="HM2" s="12">
        <v>884</v>
      </c>
      <c r="HN2">
        <v>880.4</v>
      </c>
      <c r="HO2">
        <v>871.2</v>
      </c>
      <c r="HP2">
        <v>884.8</v>
      </c>
      <c r="HQ2" s="12">
        <v>871</v>
      </c>
      <c r="HR2">
        <v>895.3</v>
      </c>
      <c r="HS2" s="12">
        <v>877</v>
      </c>
      <c r="HT2">
        <v>866.2</v>
      </c>
      <c r="HU2" s="12">
        <v>868.9</v>
      </c>
      <c r="HV2">
        <v>911.1</v>
      </c>
      <c r="HW2" s="12">
        <v>911.2</v>
      </c>
      <c r="HX2">
        <v>883.7</v>
      </c>
      <c r="HY2" s="12">
        <v>860.5</v>
      </c>
      <c r="HZ2">
        <v>864.8</v>
      </c>
      <c r="IA2" s="12">
        <v>921.4</v>
      </c>
      <c r="IB2">
        <v>945.2</v>
      </c>
      <c r="IC2" s="12">
        <v>920</v>
      </c>
      <c r="ID2">
        <v>886.1</v>
      </c>
      <c r="IE2" s="12">
        <v>891.2</v>
      </c>
      <c r="IF2">
        <v>892</v>
      </c>
      <c r="IG2" s="12">
        <v>901.7</v>
      </c>
      <c r="IH2">
        <v>894.7</v>
      </c>
      <c r="II2" s="12">
        <v>891.4</v>
      </c>
      <c r="IJ2">
        <v>868.7</v>
      </c>
      <c r="IK2" s="12">
        <v>904.8</v>
      </c>
      <c r="IL2">
        <v>893</v>
      </c>
      <c r="IM2" s="12">
        <v>924.3</v>
      </c>
      <c r="IN2">
        <v>909.1</v>
      </c>
      <c r="IO2" s="12">
        <v>905.5</v>
      </c>
      <c r="IP2">
        <v>887.4</v>
      </c>
      <c r="IQ2">
        <v>898.2</v>
      </c>
      <c r="IR2">
        <v>892.2</v>
      </c>
      <c r="IS2">
        <v>889.1</v>
      </c>
      <c r="IT2" s="12">
        <v>878</v>
      </c>
      <c r="IU2">
        <v>865.4</v>
      </c>
      <c r="IV2">
        <v>842.6</v>
      </c>
      <c r="IW2">
        <v>867.6</v>
      </c>
      <c r="IX2">
        <v>871.5</v>
      </c>
      <c r="IY2">
        <v>925.1</v>
      </c>
      <c r="IZ2">
        <v>921</v>
      </c>
      <c r="JA2">
        <v>921.1</v>
      </c>
      <c r="JB2">
        <v>897.2</v>
      </c>
      <c r="JC2">
        <v>939.5</v>
      </c>
      <c r="JD2">
        <v>940.3</v>
      </c>
    </row>
    <row r="3" spans="1:271" ht="15.6" x14ac:dyDescent="0.3">
      <c r="A3" s="64" t="s">
        <v>120</v>
      </c>
      <c r="B3" s="48">
        <v>3.3</v>
      </c>
      <c r="C3" s="48">
        <v>3.4</v>
      </c>
      <c r="D3" s="48">
        <v>3.4</v>
      </c>
      <c r="E3" s="48">
        <v>3.6</v>
      </c>
      <c r="F3" s="48">
        <v>3.9</v>
      </c>
      <c r="G3" s="49">
        <v>5.4</v>
      </c>
      <c r="H3" s="49">
        <v>5.5</v>
      </c>
      <c r="I3" s="49">
        <v>4.8</v>
      </c>
      <c r="J3" s="49">
        <v>4.8</v>
      </c>
      <c r="K3" s="49">
        <v>5.4</v>
      </c>
      <c r="L3" s="49">
        <v>5.3</v>
      </c>
      <c r="M3" s="50">
        <v>5.4</v>
      </c>
      <c r="N3" s="49">
        <v>5</v>
      </c>
      <c r="O3" s="49">
        <v>4.8</v>
      </c>
      <c r="P3" s="49">
        <v>4.5</v>
      </c>
      <c r="Q3" s="49">
        <v>4.7</v>
      </c>
      <c r="R3" s="49">
        <v>4.7</v>
      </c>
      <c r="S3" s="49">
        <v>4.4000000000000004</v>
      </c>
      <c r="T3" s="49">
        <v>4.3</v>
      </c>
      <c r="U3" s="49">
        <v>4.3</v>
      </c>
      <c r="V3" s="49">
        <v>4.3</v>
      </c>
      <c r="W3" s="49">
        <v>4.2</v>
      </c>
      <c r="X3" s="49">
        <v>4.2</v>
      </c>
      <c r="Y3" s="50">
        <v>4.4000000000000004</v>
      </c>
      <c r="Z3" s="49">
        <v>4.5</v>
      </c>
      <c r="AA3" s="49">
        <v>4.3</v>
      </c>
      <c r="AB3" s="49">
        <v>3.9</v>
      </c>
      <c r="AC3" s="49">
        <v>4.2</v>
      </c>
      <c r="AD3" s="49">
        <v>4.3</v>
      </c>
      <c r="AE3" s="49">
        <v>4.3</v>
      </c>
      <c r="AF3" s="49">
        <v>4.4000000000000004</v>
      </c>
      <c r="AG3" s="49">
        <v>4.3</v>
      </c>
      <c r="AH3" s="49">
        <v>4.2</v>
      </c>
      <c r="AI3" s="49">
        <v>4.4000000000000004</v>
      </c>
      <c r="AJ3" s="49">
        <v>4.3</v>
      </c>
      <c r="AK3" s="50">
        <v>4.3</v>
      </c>
      <c r="AL3" s="49">
        <v>4.3</v>
      </c>
      <c r="AM3" s="49">
        <v>4.2</v>
      </c>
      <c r="AN3" s="49">
        <v>4.5</v>
      </c>
      <c r="AO3" s="49">
        <v>4</v>
      </c>
      <c r="AP3" s="49">
        <v>4.0999999999999996</v>
      </c>
      <c r="AQ3" s="49">
        <v>4.4000000000000004</v>
      </c>
      <c r="AR3" s="49">
        <v>4.2</v>
      </c>
      <c r="AS3" s="49">
        <v>4.4000000000000004</v>
      </c>
      <c r="AT3" s="49">
        <v>4.8</v>
      </c>
      <c r="AU3" s="49">
        <v>4.8</v>
      </c>
      <c r="AV3" s="49">
        <v>4</v>
      </c>
      <c r="AW3" s="50">
        <v>4.9000000000000004</v>
      </c>
      <c r="AX3" s="49">
        <v>4.8</v>
      </c>
      <c r="AY3" s="49">
        <v>4.5999999999999996</v>
      </c>
      <c r="AZ3" s="49">
        <v>4.0999999999999996</v>
      </c>
      <c r="BA3" s="49">
        <v>3.6</v>
      </c>
      <c r="BB3" s="49">
        <v>3.6</v>
      </c>
      <c r="BC3" s="49">
        <v>3.5</v>
      </c>
      <c r="BD3" s="49">
        <v>3.3</v>
      </c>
      <c r="BE3" s="49">
        <v>3.6</v>
      </c>
      <c r="BF3" s="49">
        <v>5</v>
      </c>
      <c r="BG3" s="49">
        <v>4.8</v>
      </c>
      <c r="BH3" s="49">
        <v>4.9000000000000004</v>
      </c>
      <c r="BI3" s="50">
        <v>4.5999999999999996</v>
      </c>
      <c r="BJ3" s="49">
        <v>4.8</v>
      </c>
      <c r="BK3" s="49">
        <v>4.9000000000000004</v>
      </c>
      <c r="BL3" s="49">
        <v>4.9000000000000004</v>
      </c>
      <c r="BM3" s="49">
        <v>5.0999999999999996</v>
      </c>
      <c r="BN3" s="49">
        <v>5</v>
      </c>
      <c r="BO3" s="49">
        <v>5.3</v>
      </c>
      <c r="BP3" s="49">
        <v>5.6</v>
      </c>
      <c r="BQ3" s="49">
        <v>6.5</v>
      </c>
      <c r="BR3" s="49">
        <v>6.7</v>
      </c>
      <c r="BS3" s="49">
        <v>6.7</v>
      </c>
      <c r="BT3" s="49">
        <v>6.7</v>
      </c>
      <c r="BU3" s="50">
        <v>6.8</v>
      </c>
      <c r="BV3" s="49">
        <v>6.6</v>
      </c>
      <c r="BW3" s="49">
        <v>6.2</v>
      </c>
      <c r="BX3" s="49">
        <v>6.2</v>
      </c>
      <c r="BY3" s="49">
        <v>6.3</v>
      </c>
      <c r="BZ3" s="49">
        <v>6.6</v>
      </c>
      <c r="CA3" s="49">
        <v>7.1</v>
      </c>
      <c r="CB3" s="49">
        <v>7.4144920988075578</v>
      </c>
      <c r="CC3" s="49">
        <v>7.1968388565057309</v>
      </c>
      <c r="CD3" s="49">
        <v>7.0980639115281576</v>
      </c>
      <c r="CE3" s="49">
        <v>7.2389722685901017</v>
      </c>
      <c r="CF3" s="49">
        <v>6.8364944479554213</v>
      </c>
      <c r="CG3" s="50">
        <v>7.0582375911595019</v>
      </c>
      <c r="CH3" s="49">
        <v>6.5</v>
      </c>
      <c r="CI3" s="49">
        <v>6.2</v>
      </c>
      <c r="CJ3" s="49">
        <v>6.094884760095173</v>
      </c>
      <c r="CK3" s="49">
        <v>6.3</v>
      </c>
      <c r="CL3" s="49">
        <v>6.5009958150321436</v>
      </c>
      <c r="CM3" s="49">
        <v>7.693450541457663</v>
      </c>
      <c r="CN3" s="49">
        <v>7.5069762550638934</v>
      </c>
      <c r="CO3" s="49">
        <v>8.0659794908982025</v>
      </c>
      <c r="CP3" s="49">
        <v>7.8</v>
      </c>
      <c r="CQ3" s="49">
        <v>8</v>
      </c>
      <c r="CR3" s="49">
        <v>7.8</v>
      </c>
      <c r="CS3" s="50">
        <v>8.1999999999999993</v>
      </c>
      <c r="CT3" s="49">
        <v>8.1999999999999993</v>
      </c>
      <c r="CU3" s="51">
        <v>8.1999999999999993</v>
      </c>
      <c r="CV3" s="51">
        <v>8.6</v>
      </c>
      <c r="CW3" s="51">
        <v>8.4916066834820487</v>
      </c>
      <c r="CX3" s="51">
        <v>8.4708494870952773</v>
      </c>
      <c r="CY3" s="51">
        <v>8.549448697921104</v>
      </c>
      <c r="CZ3" s="51">
        <v>8.6405512510244389</v>
      </c>
      <c r="DA3" s="51">
        <v>8.5746950904522397</v>
      </c>
      <c r="DB3" s="51">
        <v>8.5113460186636853</v>
      </c>
      <c r="DC3" s="51">
        <v>8.5</v>
      </c>
      <c r="DD3" s="51">
        <v>8.8000000000000007</v>
      </c>
      <c r="DE3" s="51">
        <v>9</v>
      </c>
      <c r="DF3" s="51">
        <v>9.1</v>
      </c>
      <c r="DG3" s="51">
        <v>8.9</v>
      </c>
      <c r="DH3" s="51">
        <v>8.5</v>
      </c>
      <c r="DI3" s="51">
        <v>9</v>
      </c>
      <c r="DJ3" s="51">
        <v>9.1</v>
      </c>
      <c r="DK3" s="51">
        <v>9.1</v>
      </c>
      <c r="DL3" s="51">
        <v>8.8000000000000007</v>
      </c>
      <c r="DM3" s="51">
        <v>9</v>
      </c>
      <c r="DN3" s="51">
        <v>8.9</v>
      </c>
      <c r="DO3" s="51">
        <v>8.9</v>
      </c>
      <c r="DP3" s="51">
        <v>9</v>
      </c>
      <c r="DQ3" s="51">
        <v>9.3000000000000007</v>
      </c>
      <c r="DR3" s="51">
        <v>9.4</v>
      </c>
      <c r="DS3" s="51">
        <v>9.4</v>
      </c>
      <c r="DT3" s="51">
        <v>9.1</v>
      </c>
      <c r="DU3" s="51">
        <v>8.9</v>
      </c>
      <c r="DV3" s="51">
        <v>8.9</v>
      </c>
      <c r="DW3" s="51">
        <v>9.1</v>
      </c>
      <c r="DX3" s="51">
        <v>9.1</v>
      </c>
      <c r="DY3" s="51">
        <v>9.1</v>
      </c>
      <c r="DZ3" s="51">
        <v>8.4</v>
      </c>
      <c r="EA3" s="51">
        <v>8.1999999999999993</v>
      </c>
      <c r="EB3" s="51">
        <v>8</v>
      </c>
      <c r="EC3" s="51">
        <v>8.6999999999999993</v>
      </c>
      <c r="ED3" s="51">
        <v>8.5</v>
      </c>
      <c r="EE3" s="51">
        <v>8.3000000000000007</v>
      </c>
      <c r="EF3" s="51">
        <v>7.9</v>
      </c>
      <c r="EG3" s="51">
        <v>7.9</v>
      </c>
      <c r="EH3" s="51">
        <v>8</v>
      </c>
      <c r="EI3" s="51">
        <v>8.1</v>
      </c>
      <c r="EJ3" s="51">
        <v>8.5</v>
      </c>
      <c r="EK3" s="51">
        <v>8.6</v>
      </c>
      <c r="EL3" s="52">
        <v>8.6</v>
      </c>
      <c r="EM3" s="52">
        <v>8.8000000000000007</v>
      </c>
      <c r="EN3" s="52">
        <v>8.9</v>
      </c>
      <c r="EO3" s="52">
        <v>8.9</v>
      </c>
      <c r="EP3" s="52">
        <v>8.8000000000000007</v>
      </c>
      <c r="EQ3" s="52">
        <v>7.1</v>
      </c>
      <c r="ER3" s="52">
        <v>6.7</v>
      </c>
      <c r="ES3" s="52">
        <v>6.7</v>
      </c>
      <c r="ET3" s="52">
        <v>6.8</v>
      </c>
      <c r="EU3" s="52">
        <v>7.2</v>
      </c>
      <c r="EV3" s="52">
        <v>7.4</v>
      </c>
      <c r="EW3" s="52">
        <v>7.2</v>
      </c>
      <c r="EX3" s="52">
        <v>6.9</v>
      </c>
      <c r="EY3" s="52">
        <v>7</v>
      </c>
      <c r="EZ3" s="52">
        <v>6.7</v>
      </c>
      <c r="FA3" s="52">
        <v>7.1</v>
      </c>
      <c r="FB3" s="52">
        <v>7.1</v>
      </c>
      <c r="FC3" s="52">
        <v>6.9</v>
      </c>
      <c r="FD3" s="51">
        <v>6.7</v>
      </c>
      <c r="FE3" s="52">
        <v>6.7</v>
      </c>
      <c r="FF3" s="52">
        <v>7.1</v>
      </c>
      <c r="FG3" s="52">
        <v>7.5</v>
      </c>
      <c r="FH3" s="52">
        <v>7.5</v>
      </c>
      <c r="FI3" s="52">
        <v>7.4</v>
      </c>
      <c r="FJ3" s="51">
        <v>7.3</v>
      </c>
      <c r="FK3" s="52">
        <v>7.5</v>
      </c>
      <c r="FL3" s="52">
        <v>7.7</v>
      </c>
      <c r="FM3" s="52">
        <v>7.6</v>
      </c>
      <c r="FN3" s="52">
        <v>7.4</v>
      </c>
      <c r="FO3" s="52">
        <v>7.9</v>
      </c>
      <c r="FP3" s="52">
        <v>7.8</v>
      </c>
      <c r="FQ3" s="51">
        <v>8</v>
      </c>
      <c r="FR3" s="51">
        <v>7.5</v>
      </c>
      <c r="FS3" s="51">
        <v>8</v>
      </c>
      <c r="FT3" s="53">
        <v>8.1999999999999993</v>
      </c>
      <c r="FU3" s="58">
        <v>8.1</v>
      </c>
      <c r="FV3" s="58">
        <v>7.8</v>
      </c>
      <c r="FW3" s="59">
        <v>7.7</v>
      </c>
      <c r="FX3" s="59">
        <v>8.1999999999999993</v>
      </c>
      <c r="FY3" s="53">
        <v>8.4</v>
      </c>
      <c r="FZ3" s="53">
        <v>8.1</v>
      </c>
      <c r="GA3" s="58">
        <v>7.9</v>
      </c>
      <c r="GB3" s="58">
        <v>7.8</v>
      </c>
      <c r="GC3" s="58">
        <v>7.5</v>
      </c>
      <c r="GD3" s="60">
        <v>7.5</v>
      </c>
      <c r="GE3" s="60">
        <v>7.9</v>
      </c>
      <c r="GF3" s="60">
        <v>8</v>
      </c>
      <c r="GG3">
        <v>8.1</v>
      </c>
      <c r="GH3" s="12">
        <v>8</v>
      </c>
      <c r="GI3" s="12">
        <v>7.5</v>
      </c>
      <c r="GJ3">
        <v>7.4</v>
      </c>
      <c r="GK3">
        <v>7.4</v>
      </c>
      <c r="GL3" s="61">
        <v>7.4</v>
      </c>
      <c r="GM3">
        <v>7.4</v>
      </c>
      <c r="GN3">
        <v>7.1</v>
      </c>
      <c r="GO3">
        <v>7.7</v>
      </c>
      <c r="GP3">
        <v>8.1999999999999993</v>
      </c>
      <c r="GQ3">
        <v>9.1999999999999993</v>
      </c>
      <c r="GR3">
        <v>9.5</v>
      </c>
      <c r="GS3" s="61">
        <v>9.6</v>
      </c>
      <c r="GT3" s="12">
        <v>10</v>
      </c>
      <c r="GU3">
        <v>9.6999999999999993</v>
      </c>
      <c r="GV3" s="62">
        <v>10.9</v>
      </c>
      <c r="GW3" s="61">
        <v>12.5</v>
      </c>
      <c r="GX3">
        <v>12</v>
      </c>
      <c r="GY3">
        <v>11.7</v>
      </c>
      <c r="GZ3">
        <v>12.2</v>
      </c>
      <c r="HA3">
        <v>11.9</v>
      </c>
      <c r="HB3">
        <v>14.7</v>
      </c>
      <c r="HC3">
        <v>11.8</v>
      </c>
      <c r="HD3">
        <v>11.5</v>
      </c>
      <c r="HE3">
        <v>12.1</v>
      </c>
      <c r="HF3">
        <v>12.4</v>
      </c>
      <c r="HG3">
        <v>12.8</v>
      </c>
      <c r="HH3">
        <v>13</v>
      </c>
      <c r="HI3">
        <v>13.4</v>
      </c>
      <c r="HJ3">
        <v>13.9</v>
      </c>
      <c r="HK3">
        <v>14.4</v>
      </c>
      <c r="HL3">
        <v>14.5</v>
      </c>
      <c r="HM3">
        <v>14.9</v>
      </c>
      <c r="HN3">
        <v>14.7</v>
      </c>
      <c r="HO3" s="12">
        <v>14.4</v>
      </c>
      <c r="HP3">
        <v>14.4</v>
      </c>
      <c r="HQ3">
        <v>14</v>
      </c>
      <c r="HR3">
        <v>13.7</v>
      </c>
      <c r="HS3">
        <v>13.9</v>
      </c>
      <c r="HT3">
        <v>12.6</v>
      </c>
      <c r="HU3">
        <v>13.4</v>
      </c>
      <c r="HV3">
        <v>12.8</v>
      </c>
      <c r="HW3">
        <v>12.6</v>
      </c>
      <c r="HX3">
        <v>12</v>
      </c>
      <c r="HY3">
        <v>11.4</v>
      </c>
      <c r="HZ3">
        <v>11.5</v>
      </c>
      <c r="IA3" s="12">
        <v>12</v>
      </c>
      <c r="IB3">
        <v>12.3</v>
      </c>
      <c r="IC3">
        <v>11.9</v>
      </c>
      <c r="ID3">
        <v>11.4</v>
      </c>
      <c r="IE3">
        <v>11.4</v>
      </c>
      <c r="IF3">
        <v>11.4</v>
      </c>
      <c r="IG3">
        <v>11.6</v>
      </c>
      <c r="IH3">
        <v>11.5</v>
      </c>
      <c r="II3">
        <v>11.5</v>
      </c>
      <c r="IJ3">
        <v>11.1</v>
      </c>
      <c r="IK3">
        <v>11.6</v>
      </c>
      <c r="IL3">
        <v>11.5</v>
      </c>
      <c r="IM3">
        <v>11.9</v>
      </c>
      <c r="IN3">
        <v>11.5</v>
      </c>
      <c r="IO3">
        <v>10.4</v>
      </c>
      <c r="IP3">
        <v>10.199999999999999</v>
      </c>
      <c r="IQ3">
        <v>10.3</v>
      </c>
      <c r="IR3">
        <v>10.3</v>
      </c>
      <c r="IS3">
        <v>10.199999999999999</v>
      </c>
      <c r="IT3">
        <v>10.1</v>
      </c>
      <c r="IU3">
        <v>9.9</v>
      </c>
      <c r="IV3">
        <v>9.6999999999999993</v>
      </c>
      <c r="IW3">
        <v>10</v>
      </c>
      <c r="IX3" s="12">
        <v>10</v>
      </c>
      <c r="IY3">
        <v>10.6</v>
      </c>
      <c r="IZ3">
        <v>10.7</v>
      </c>
      <c r="JA3">
        <v>10.7</v>
      </c>
      <c r="JB3">
        <v>10.4</v>
      </c>
      <c r="JC3">
        <v>10.9</v>
      </c>
      <c r="JD3">
        <v>10.9</v>
      </c>
    </row>
    <row r="4" spans="1:271" s="31" customFormat="1" ht="15.6" x14ac:dyDescent="0.3">
      <c r="A4" s="64"/>
      <c r="B4" s="67"/>
      <c r="C4" s="67"/>
      <c r="D4" s="67"/>
      <c r="E4" s="67"/>
      <c r="F4" s="67"/>
      <c r="G4" s="68"/>
      <c r="H4" s="68"/>
      <c r="I4" s="68"/>
      <c r="J4" s="68"/>
      <c r="K4" s="68"/>
      <c r="L4" s="68"/>
      <c r="M4" s="69"/>
      <c r="N4" s="68"/>
      <c r="O4" s="68"/>
      <c r="P4" s="68"/>
      <c r="Q4" s="68"/>
      <c r="R4" s="68"/>
      <c r="S4" s="68"/>
      <c r="T4" s="68"/>
      <c r="U4" s="68"/>
      <c r="V4" s="68"/>
      <c r="W4" s="68"/>
      <c r="X4" s="68"/>
      <c r="Y4" s="69"/>
      <c r="Z4" s="68"/>
      <c r="AA4" s="68"/>
      <c r="AB4" s="68"/>
      <c r="AC4" s="68"/>
      <c r="AD4" s="68"/>
      <c r="AE4" s="68"/>
      <c r="AF4" s="68"/>
      <c r="AG4" s="68"/>
      <c r="AH4" s="68"/>
      <c r="AI4" s="68"/>
      <c r="AJ4" s="68"/>
      <c r="AK4" s="69"/>
      <c r="AL4" s="68"/>
      <c r="AM4" s="68"/>
      <c r="AN4" s="68"/>
      <c r="AO4" s="68"/>
      <c r="AP4" s="68"/>
      <c r="AQ4" s="68"/>
      <c r="AR4" s="68"/>
      <c r="AS4" s="68"/>
      <c r="AT4" s="68"/>
      <c r="AU4" s="68"/>
      <c r="AV4" s="68"/>
      <c r="AW4" s="69"/>
      <c r="AX4" s="68"/>
      <c r="AY4" s="68"/>
      <c r="AZ4" s="68"/>
      <c r="BA4" s="68"/>
      <c r="BB4" s="68"/>
      <c r="BC4" s="68"/>
      <c r="BD4" s="68"/>
      <c r="BE4" s="68"/>
      <c r="BF4" s="68"/>
      <c r="BG4" s="68"/>
      <c r="BH4" s="68"/>
      <c r="BI4" s="69"/>
      <c r="BJ4" s="68"/>
      <c r="BK4" s="68"/>
      <c r="BL4" s="68"/>
      <c r="BM4" s="68"/>
      <c r="BN4" s="68"/>
      <c r="BO4" s="68"/>
      <c r="BP4" s="68"/>
      <c r="BQ4" s="68"/>
      <c r="BR4" s="68"/>
      <c r="BS4" s="68"/>
      <c r="BT4" s="68"/>
      <c r="BU4" s="69"/>
      <c r="BV4" s="68"/>
      <c r="BW4" s="68"/>
      <c r="BX4" s="68"/>
      <c r="BY4" s="68"/>
      <c r="BZ4" s="68"/>
      <c r="CA4" s="68"/>
      <c r="CB4" s="68"/>
      <c r="CC4" s="68"/>
      <c r="CD4" s="68"/>
      <c r="CE4" s="68"/>
      <c r="CF4" s="68"/>
      <c r="CG4" s="69"/>
      <c r="CH4" s="68"/>
      <c r="CI4" s="68"/>
      <c r="CJ4" s="68"/>
      <c r="CK4" s="68"/>
      <c r="CL4" s="68"/>
      <c r="CM4" s="68"/>
      <c r="CN4" s="68"/>
      <c r="CO4" s="68"/>
      <c r="CP4" s="68"/>
      <c r="CQ4" s="68"/>
      <c r="CR4" s="68"/>
      <c r="CS4" s="69"/>
      <c r="CT4" s="68"/>
      <c r="CU4" s="70"/>
      <c r="CV4" s="70"/>
      <c r="CW4" s="70"/>
      <c r="CX4" s="70"/>
      <c r="CY4" s="70"/>
      <c r="CZ4" s="70"/>
      <c r="DA4" s="70"/>
      <c r="DB4" s="70"/>
      <c r="DC4" s="70"/>
      <c r="DD4" s="70"/>
      <c r="DE4" s="70"/>
      <c r="DF4" s="70"/>
      <c r="DG4" s="70"/>
      <c r="DH4" s="70"/>
      <c r="DI4" s="70"/>
      <c r="DJ4" s="70"/>
      <c r="DK4" s="70"/>
      <c r="DL4" s="70"/>
      <c r="DM4" s="70"/>
      <c r="DN4" s="70"/>
      <c r="DO4" s="70"/>
      <c r="DP4" s="70"/>
      <c r="DQ4" s="70"/>
      <c r="DR4" s="70"/>
      <c r="DS4" s="70"/>
      <c r="DT4" s="70"/>
      <c r="DU4" s="70"/>
      <c r="DV4" s="70"/>
      <c r="DW4" s="70"/>
      <c r="DX4" s="70"/>
      <c r="DY4" s="70"/>
      <c r="DZ4" s="70"/>
      <c r="EA4" s="70"/>
      <c r="EB4" s="70"/>
      <c r="EC4" s="70"/>
      <c r="ED4" s="70"/>
      <c r="EE4" s="70"/>
      <c r="EF4" s="70"/>
      <c r="EG4" s="70"/>
      <c r="EH4" s="70"/>
      <c r="EI4" s="70"/>
      <c r="EJ4" s="70"/>
      <c r="EK4" s="70"/>
      <c r="EL4" s="71"/>
      <c r="EM4" s="71"/>
      <c r="EN4" s="71"/>
      <c r="EO4" s="71"/>
      <c r="EP4" s="71"/>
      <c r="EQ4" s="71"/>
      <c r="ER4" s="71"/>
      <c r="ES4" s="71"/>
      <c r="ET4" s="71"/>
      <c r="EU4" s="71"/>
      <c r="EV4" s="71"/>
      <c r="EW4" s="71"/>
      <c r="EX4" s="71"/>
      <c r="EY4" s="71"/>
      <c r="EZ4" s="71"/>
      <c r="FA4" s="71"/>
      <c r="FB4" s="71"/>
      <c r="FC4" s="71"/>
      <c r="FD4" s="70"/>
      <c r="FE4" s="71"/>
      <c r="FF4" s="71"/>
      <c r="FG4" s="71"/>
      <c r="FH4" s="71"/>
      <c r="FI4" s="71"/>
      <c r="FJ4" s="70"/>
      <c r="FK4" s="71"/>
      <c r="FL4" s="71"/>
      <c r="FM4" s="71"/>
      <c r="FN4" s="71"/>
      <c r="FO4" s="71"/>
      <c r="FP4" s="71"/>
      <c r="FQ4" s="70"/>
      <c r="FR4" s="70"/>
      <c r="FS4" s="70"/>
      <c r="FT4" s="72"/>
      <c r="FU4" s="73"/>
      <c r="FV4" s="73"/>
      <c r="FW4" s="74"/>
      <c r="FX4" s="74"/>
      <c r="FY4" s="72"/>
      <c r="FZ4" s="72"/>
      <c r="GA4" s="73"/>
      <c r="GB4" s="73"/>
      <c r="GC4" s="73"/>
      <c r="GD4" s="75"/>
      <c r="GE4" s="75"/>
      <c r="GF4" s="75"/>
      <c r="GH4" s="76"/>
      <c r="GI4" s="76"/>
      <c r="GL4" s="77"/>
      <c r="GS4" s="77"/>
      <c r="GT4" s="76"/>
      <c r="GV4" s="78"/>
      <c r="GW4" s="77"/>
      <c r="HO4" s="76"/>
      <c r="IA4" s="76"/>
      <c r="IX4" s="76"/>
    </row>
    <row r="5" spans="1:271" s="31" customFormat="1" ht="15.6" x14ac:dyDescent="0.3">
      <c r="A5" s="64"/>
      <c r="B5" s="67"/>
      <c r="C5" s="67"/>
      <c r="D5" s="67"/>
      <c r="E5" s="67"/>
      <c r="F5" s="67"/>
      <c r="G5" s="68"/>
      <c r="H5" s="68"/>
      <c r="I5" s="68"/>
      <c r="J5" s="68"/>
      <c r="K5" s="68"/>
      <c r="L5" s="68"/>
      <c r="M5" s="69"/>
      <c r="N5" s="68"/>
      <c r="O5" s="68"/>
      <c r="P5" s="68"/>
      <c r="Q5" s="68"/>
      <c r="R5" s="68"/>
      <c r="S5" s="68"/>
      <c r="T5" s="68"/>
      <c r="U5" s="68"/>
      <c r="V5" s="68"/>
      <c r="W5" s="68"/>
      <c r="X5" s="68"/>
      <c r="Y5" s="69"/>
      <c r="Z5" s="68"/>
      <c r="AA5" s="68"/>
      <c r="AB5" s="68"/>
      <c r="AC5" s="68"/>
      <c r="AD5" s="68"/>
      <c r="AE5" s="68"/>
      <c r="AF5" s="68"/>
      <c r="AG5" s="68"/>
      <c r="AH5" s="68"/>
      <c r="AI5" s="68"/>
      <c r="AJ5" s="68"/>
      <c r="AK5" s="69"/>
      <c r="AL5" s="68"/>
      <c r="AM5" s="68"/>
      <c r="AN5" s="68"/>
      <c r="AO5" s="68"/>
      <c r="AP5" s="68"/>
      <c r="AQ5" s="68"/>
      <c r="AR5" s="68"/>
      <c r="AS5" s="68"/>
      <c r="AT5" s="68"/>
      <c r="AU5" s="68"/>
      <c r="AV5" s="68"/>
      <c r="AW5" s="69"/>
      <c r="AX5" s="68"/>
      <c r="AY5" s="68"/>
      <c r="AZ5" s="68"/>
      <c r="BA5" s="68"/>
      <c r="BB5" s="68"/>
      <c r="BC5" s="68"/>
      <c r="BD5" s="68"/>
      <c r="BE5" s="68"/>
      <c r="BF5" s="68"/>
      <c r="BG5" s="68"/>
      <c r="BH5" s="68"/>
      <c r="BI5" s="69"/>
      <c r="BJ5" s="68"/>
      <c r="BK5" s="68"/>
      <c r="BL5" s="68"/>
      <c r="BM5" s="68"/>
      <c r="BN5" s="68"/>
      <c r="BO5" s="68"/>
      <c r="BP5" s="68"/>
      <c r="BQ5" s="68"/>
      <c r="BR5" s="68"/>
      <c r="BS5" s="68"/>
      <c r="BT5" s="68"/>
      <c r="BU5" s="69"/>
      <c r="BV5" s="68"/>
      <c r="BW5" s="68"/>
      <c r="BX5" s="68"/>
      <c r="BY5" s="68"/>
      <c r="BZ5" s="68"/>
      <c r="CA5" s="68"/>
      <c r="CB5" s="68"/>
      <c r="CC5" s="68"/>
      <c r="CD5" s="68"/>
      <c r="CE5" s="68"/>
      <c r="CF5" s="68"/>
      <c r="CG5" s="69"/>
      <c r="CH5" s="68"/>
      <c r="CI5" s="68"/>
      <c r="CJ5" s="68"/>
      <c r="CK5" s="68"/>
      <c r="CL5" s="68"/>
      <c r="CM5" s="68"/>
      <c r="CN5" s="68"/>
      <c r="CO5" s="68"/>
      <c r="CP5" s="68"/>
      <c r="CQ5" s="68"/>
      <c r="CR5" s="68"/>
      <c r="CS5" s="69"/>
      <c r="CT5" s="68"/>
      <c r="CU5" s="70"/>
      <c r="CV5" s="70"/>
      <c r="CW5" s="70"/>
      <c r="CX5" s="70"/>
      <c r="CY5" s="70"/>
      <c r="CZ5" s="70"/>
      <c r="DA5" s="70"/>
      <c r="DB5" s="70"/>
      <c r="DC5" s="70"/>
      <c r="DD5" s="70"/>
      <c r="DE5" s="70"/>
      <c r="DF5" s="70"/>
      <c r="DG5" s="70"/>
      <c r="DH5" s="70"/>
      <c r="DI5" s="70"/>
      <c r="DJ5" s="70"/>
      <c r="DK5" s="70"/>
      <c r="DL5" s="70"/>
      <c r="DM5" s="70"/>
      <c r="DN5" s="70"/>
      <c r="DO5" s="70"/>
      <c r="DP5" s="70"/>
      <c r="DQ5" s="70"/>
      <c r="DR5" s="70"/>
      <c r="DS5" s="70"/>
      <c r="DT5" s="70"/>
      <c r="DU5" s="70"/>
      <c r="DV5" s="70"/>
      <c r="DW5" s="70"/>
      <c r="DX5" s="70"/>
      <c r="DY5" s="70"/>
      <c r="DZ5" s="70"/>
      <c r="EA5" s="70"/>
      <c r="EB5" s="70"/>
      <c r="EC5" s="70"/>
      <c r="ED5" s="70"/>
      <c r="EE5" s="70"/>
      <c r="EF5" s="70"/>
      <c r="EG5" s="70"/>
      <c r="EH5" s="70"/>
      <c r="EI5" s="70"/>
      <c r="EJ5" s="70"/>
      <c r="EK5" s="70"/>
      <c r="EL5" s="71"/>
      <c r="EM5" s="71"/>
      <c r="EN5" s="71"/>
      <c r="EO5" s="71"/>
      <c r="EP5" s="71"/>
      <c r="EQ5" s="71"/>
      <c r="ER5" s="71"/>
      <c r="ES5" s="71"/>
      <c r="ET5" s="71"/>
      <c r="EU5" s="71"/>
      <c r="EV5" s="71"/>
      <c r="EW5" s="71"/>
      <c r="EX5" s="71"/>
      <c r="EY5" s="71"/>
      <c r="EZ5" s="71"/>
      <c r="FA5" s="71"/>
      <c r="FB5" s="71"/>
      <c r="FC5" s="71"/>
      <c r="FD5" s="70"/>
      <c r="FE5" s="71"/>
      <c r="FF5" s="71"/>
      <c r="FG5" s="71"/>
      <c r="FH5" s="71"/>
      <c r="FI5" s="71"/>
      <c r="FJ5" s="70"/>
      <c r="FK5" s="71"/>
      <c r="FL5" s="71"/>
      <c r="FM5" s="71"/>
      <c r="FN5" s="71"/>
      <c r="FO5" s="71"/>
      <c r="FP5" s="71"/>
      <c r="FQ5" s="70"/>
      <c r="FR5" s="70"/>
      <c r="FS5" s="70"/>
      <c r="FT5" s="72"/>
      <c r="FU5" s="73"/>
      <c r="FV5" s="73"/>
      <c r="FW5" s="74"/>
      <c r="FX5" s="74"/>
      <c r="FY5" s="72"/>
      <c r="FZ5" s="72"/>
      <c r="GA5" s="73"/>
      <c r="GB5" s="73"/>
      <c r="GC5" s="73"/>
      <c r="GD5" s="75"/>
      <c r="GE5" s="75"/>
      <c r="GF5" s="75"/>
      <c r="GH5" s="76"/>
      <c r="GI5" s="76"/>
      <c r="GL5" s="77"/>
      <c r="GS5" s="77"/>
      <c r="GT5" s="76"/>
      <c r="GV5" s="78"/>
      <c r="GW5" s="77"/>
      <c r="HO5" s="76"/>
      <c r="IA5" s="76"/>
      <c r="IX5" s="76"/>
      <c r="JC5" s="31" t="s">
        <v>121</v>
      </c>
    </row>
    <row r="6" spans="1:271" s="31" customFormat="1" ht="15.6" x14ac:dyDescent="0.3">
      <c r="A6" s="64"/>
      <c r="B6" s="67"/>
      <c r="C6" s="67"/>
      <c r="D6" s="67"/>
      <c r="E6" s="67"/>
      <c r="F6" s="67"/>
      <c r="G6" s="68"/>
      <c r="H6" s="68"/>
      <c r="I6" s="68"/>
      <c r="J6" s="68"/>
      <c r="K6" s="68"/>
      <c r="L6" s="68"/>
      <c r="M6" s="69"/>
      <c r="N6" s="68"/>
      <c r="O6" s="68"/>
      <c r="P6" s="68"/>
      <c r="Q6" s="68"/>
      <c r="R6" s="68"/>
      <c r="S6" s="68"/>
      <c r="T6" s="68"/>
      <c r="U6" s="68"/>
      <c r="V6" s="68"/>
      <c r="W6" s="68"/>
      <c r="X6" s="68"/>
      <c r="Y6" s="69"/>
      <c r="Z6" s="68"/>
      <c r="AA6" s="68"/>
      <c r="AB6" s="68"/>
      <c r="AC6" s="68"/>
      <c r="AD6" s="68"/>
      <c r="AE6" s="68"/>
      <c r="AF6" s="68"/>
      <c r="AG6" s="68"/>
      <c r="AH6" s="68"/>
      <c r="AI6" s="68"/>
      <c r="AJ6" s="68"/>
      <c r="AK6" s="69"/>
      <c r="AL6" s="68"/>
      <c r="AM6" s="68"/>
      <c r="AN6" s="68"/>
      <c r="AO6" s="68"/>
      <c r="AP6" s="68"/>
      <c r="AQ6" s="68"/>
      <c r="AR6" s="68"/>
      <c r="AS6" s="68"/>
      <c r="AT6" s="68"/>
      <c r="AU6" s="68"/>
      <c r="AV6" s="68"/>
      <c r="AW6" s="69"/>
      <c r="AX6" s="68"/>
      <c r="AY6" s="68"/>
      <c r="AZ6" s="68"/>
      <c r="BA6" s="68"/>
      <c r="BB6" s="68"/>
      <c r="BC6" s="68"/>
      <c r="BD6" s="68"/>
      <c r="BE6" s="68"/>
      <c r="BF6" s="68"/>
      <c r="BG6" s="68"/>
      <c r="BH6" s="68"/>
      <c r="BI6" s="69"/>
      <c r="BJ6" s="68"/>
      <c r="BK6" s="68"/>
      <c r="BL6" s="68"/>
      <c r="BM6" s="68"/>
      <c r="BN6" s="68"/>
      <c r="BO6" s="68"/>
      <c r="BP6" s="68"/>
      <c r="BQ6" s="68"/>
      <c r="BR6" s="68"/>
      <c r="BS6" s="68"/>
      <c r="BT6" s="68"/>
      <c r="BU6" s="69"/>
      <c r="BV6" s="68"/>
      <c r="BW6" s="68"/>
      <c r="BX6" s="68"/>
      <c r="BY6" s="68"/>
      <c r="BZ6" s="68"/>
      <c r="CA6" s="68"/>
      <c r="CB6" s="68"/>
      <c r="CC6" s="68"/>
      <c r="CD6" s="68"/>
      <c r="CE6" s="68"/>
      <c r="CF6" s="68"/>
      <c r="CG6" s="69"/>
      <c r="CH6" s="68"/>
      <c r="CI6" s="68"/>
      <c r="CJ6" s="68"/>
      <c r="CK6" s="68"/>
      <c r="CL6" s="68"/>
      <c r="CM6" s="68"/>
      <c r="CN6" s="68"/>
      <c r="CO6" s="68"/>
      <c r="CP6" s="68"/>
      <c r="CQ6" s="68"/>
      <c r="CR6" s="68"/>
      <c r="CS6" s="69"/>
      <c r="CT6" s="68"/>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1"/>
      <c r="EM6" s="71"/>
      <c r="EN6" s="71"/>
      <c r="EO6" s="71"/>
      <c r="EP6" s="71"/>
      <c r="EQ6" s="71"/>
      <c r="ER6" s="71"/>
      <c r="ES6" s="71"/>
      <c r="ET6" s="71"/>
      <c r="EU6" s="71"/>
      <c r="EV6" s="71"/>
      <c r="EW6" s="71"/>
      <c r="EX6" s="71"/>
      <c r="EY6" s="71"/>
      <c r="EZ6" s="71"/>
      <c r="FA6" s="71"/>
      <c r="FB6" s="71"/>
      <c r="FC6" s="71"/>
      <c r="FD6" s="70"/>
      <c r="FE6" s="71"/>
      <c r="FF6" s="71"/>
      <c r="FG6" s="71"/>
      <c r="FH6" s="71"/>
      <c r="FI6" s="71"/>
      <c r="FJ6" s="70"/>
      <c r="FK6" s="71"/>
      <c r="FL6" s="71"/>
      <c r="FM6" s="71"/>
      <c r="FN6" s="71"/>
      <c r="FO6" s="71"/>
      <c r="FP6" s="71"/>
      <c r="FQ6" s="70"/>
      <c r="FR6" s="70"/>
      <c r="FS6" s="70"/>
      <c r="FT6" s="72"/>
      <c r="FU6" s="73"/>
      <c r="FV6" s="73"/>
      <c r="FW6" s="74"/>
      <c r="FX6" s="74"/>
      <c r="FY6" s="72"/>
      <c r="FZ6" s="72"/>
      <c r="GA6" s="73"/>
      <c r="GB6" s="73"/>
      <c r="GC6" s="73"/>
      <c r="GD6" s="75"/>
      <c r="GE6" s="75"/>
      <c r="GF6" s="75"/>
      <c r="GH6" s="76"/>
      <c r="GI6" s="76"/>
      <c r="GL6" s="77"/>
      <c r="GS6" s="77"/>
      <c r="GT6" s="76"/>
      <c r="GV6" s="78"/>
      <c r="GW6" s="77"/>
      <c r="HO6" s="76"/>
      <c r="IA6" s="76"/>
      <c r="IX6" s="76"/>
    </row>
    <row r="7" spans="1:271" s="31" customFormat="1" ht="15.6" x14ac:dyDescent="0.3">
      <c r="A7" s="64"/>
      <c r="B7" s="67"/>
      <c r="C7" s="67"/>
      <c r="D7" s="67"/>
      <c r="E7" s="67"/>
      <c r="F7" s="67"/>
      <c r="G7" s="68"/>
      <c r="H7" s="68"/>
      <c r="I7" s="68"/>
      <c r="J7" s="68"/>
      <c r="K7" s="68"/>
      <c r="L7" s="68"/>
      <c r="M7" s="69"/>
      <c r="N7" s="68"/>
      <c r="O7" s="68"/>
      <c r="P7" s="68"/>
      <c r="Q7" s="68"/>
      <c r="R7" s="68"/>
      <c r="S7" s="68"/>
      <c r="T7" s="68"/>
      <c r="U7" s="68"/>
      <c r="V7" s="68"/>
      <c r="W7" s="68"/>
      <c r="X7" s="68"/>
      <c r="Y7" s="69"/>
      <c r="Z7" s="68"/>
      <c r="AA7" s="68"/>
      <c r="AB7" s="68"/>
      <c r="AC7" s="68"/>
      <c r="AD7" s="68"/>
      <c r="AE7" s="68"/>
      <c r="AF7" s="68"/>
      <c r="AG7" s="68"/>
      <c r="AH7" s="68"/>
      <c r="AI7" s="68"/>
      <c r="AJ7" s="68"/>
      <c r="AK7" s="69"/>
      <c r="AL7" s="68"/>
      <c r="AM7" s="68"/>
      <c r="AN7" s="68"/>
      <c r="AO7" s="68"/>
      <c r="AP7" s="68"/>
      <c r="AQ7" s="68"/>
      <c r="AR7" s="68"/>
      <c r="AS7" s="68"/>
      <c r="AT7" s="68"/>
      <c r="AU7" s="68"/>
      <c r="AV7" s="68"/>
      <c r="AW7" s="69"/>
      <c r="AX7" s="68"/>
      <c r="AY7" s="68"/>
      <c r="AZ7" s="68"/>
      <c r="BA7" s="68"/>
      <c r="BB7" s="68"/>
      <c r="BC7" s="68"/>
      <c r="BD7" s="68"/>
      <c r="BE7" s="68"/>
      <c r="BF7" s="68"/>
      <c r="BG7" s="68"/>
      <c r="BH7" s="68"/>
      <c r="BI7" s="69"/>
      <c r="BJ7" s="68"/>
      <c r="BK7" s="68"/>
      <c r="BL7" s="68"/>
      <c r="BM7" s="68"/>
      <c r="BN7" s="68"/>
      <c r="BO7" s="68"/>
      <c r="BP7" s="68"/>
      <c r="BQ7" s="68"/>
      <c r="BR7" s="68"/>
      <c r="BS7" s="68"/>
      <c r="BT7" s="68"/>
      <c r="BU7" s="69"/>
      <c r="BV7" s="68"/>
      <c r="BW7" s="68"/>
      <c r="BX7" s="68"/>
      <c r="BY7" s="68"/>
      <c r="BZ7" s="68"/>
      <c r="CA7" s="68"/>
      <c r="CB7" s="68"/>
      <c r="CC7" s="68"/>
      <c r="CD7" s="68"/>
      <c r="CE7" s="68"/>
      <c r="CF7" s="68"/>
      <c r="CG7" s="69"/>
      <c r="CH7" s="68"/>
      <c r="CI7" s="68"/>
      <c r="CJ7" s="68"/>
      <c r="CK7" s="68"/>
      <c r="CL7" s="68"/>
      <c r="CM7" s="68"/>
      <c r="CN7" s="68"/>
      <c r="CO7" s="68"/>
      <c r="CP7" s="68"/>
      <c r="CQ7" s="68"/>
      <c r="CR7" s="68"/>
      <c r="CS7" s="69"/>
      <c r="CT7" s="68"/>
      <c r="CU7" s="70"/>
      <c r="CV7" s="70"/>
      <c r="CW7" s="70"/>
      <c r="CX7" s="70"/>
      <c r="CY7" s="70"/>
      <c r="CZ7" s="70"/>
      <c r="DA7" s="70"/>
      <c r="DB7" s="70"/>
      <c r="DC7" s="70"/>
      <c r="DD7" s="70"/>
      <c r="DE7" s="70"/>
      <c r="DF7" s="70"/>
      <c r="DG7" s="70"/>
      <c r="DH7" s="70"/>
      <c r="DI7" s="70"/>
      <c r="DJ7" s="70"/>
      <c r="DK7" s="70"/>
      <c r="DL7" s="70"/>
      <c r="DM7" s="70"/>
      <c r="DN7" s="70"/>
      <c r="DO7" s="70"/>
      <c r="DP7" s="70"/>
      <c r="DQ7" s="70"/>
      <c r="DR7" s="70"/>
      <c r="DS7" s="70"/>
      <c r="DT7" s="70"/>
      <c r="DU7" s="70"/>
      <c r="DV7" s="70"/>
      <c r="DW7" s="70"/>
      <c r="DX7" s="70"/>
      <c r="DY7" s="70"/>
      <c r="DZ7" s="70"/>
      <c r="EA7" s="70"/>
      <c r="EB7" s="70"/>
      <c r="EC7" s="70"/>
      <c r="ED7" s="70"/>
      <c r="EE7" s="70"/>
      <c r="EF7" s="70"/>
      <c r="EG7" s="70"/>
      <c r="EH7" s="70"/>
      <c r="EI7" s="70"/>
      <c r="EJ7" s="70"/>
      <c r="EK7" s="70"/>
      <c r="EL7" s="71"/>
      <c r="EM7" s="71"/>
      <c r="EN7" s="71"/>
      <c r="EO7" s="71"/>
      <c r="EP7" s="71"/>
      <c r="EQ7" s="71"/>
      <c r="ER7" s="71"/>
      <c r="ES7" s="71"/>
      <c r="ET7" s="71"/>
      <c r="EU7" s="71"/>
      <c r="EV7" s="71"/>
      <c r="EW7" s="71"/>
      <c r="EX7" s="71"/>
      <c r="EY7" s="71"/>
      <c r="EZ7" s="71"/>
      <c r="FA7" s="71"/>
      <c r="FB7" s="71"/>
      <c r="FC7" s="71"/>
      <c r="FD7" s="70"/>
      <c r="FE7" s="71"/>
      <c r="FF7" s="71"/>
      <c r="FG7" s="71"/>
      <c r="FH7" s="71"/>
      <c r="FI7" s="71"/>
      <c r="FJ7" s="70"/>
      <c r="FK7" s="71"/>
      <c r="FL7" s="71"/>
      <c r="FM7" s="71"/>
      <c r="FN7" s="71"/>
      <c r="FO7" s="71"/>
      <c r="FP7" s="71"/>
      <c r="FQ7" s="70"/>
      <c r="FR7" s="70"/>
      <c r="FS7" s="70"/>
      <c r="FT7" s="72"/>
      <c r="FU7" s="73"/>
      <c r="FV7" s="73"/>
      <c r="FW7" s="74"/>
      <c r="FX7" s="74"/>
      <c r="FY7" s="72"/>
      <c r="FZ7" s="72"/>
      <c r="GA7" s="73"/>
      <c r="GB7" s="73"/>
      <c r="GC7" s="73"/>
      <c r="GD7" s="75"/>
      <c r="GE7" s="75"/>
      <c r="GF7" s="75"/>
      <c r="GH7" s="76"/>
      <c r="GI7" s="76"/>
      <c r="GL7" s="77"/>
      <c r="GS7" s="77"/>
      <c r="GT7" s="76"/>
      <c r="GV7" s="78"/>
      <c r="GW7" s="77"/>
      <c r="HO7" s="76"/>
      <c r="IA7" s="76"/>
      <c r="IX7" s="76"/>
    </row>
    <row r="8" spans="1:271" s="31" customFormat="1" ht="15.6" x14ac:dyDescent="0.3">
      <c r="A8" s="64"/>
      <c r="B8" s="67"/>
      <c r="C8" s="67"/>
      <c r="D8" s="67"/>
      <c r="E8" s="67"/>
      <c r="F8" s="67"/>
      <c r="G8" s="68"/>
      <c r="H8" s="68"/>
      <c r="I8" s="68"/>
      <c r="J8" s="68"/>
      <c r="K8" s="68"/>
      <c r="L8" s="68"/>
      <c r="M8" s="69"/>
      <c r="N8" s="68"/>
      <c r="O8" s="68"/>
      <c r="P8" s="68"/>
      <c r="Q8" s="68"/>
      <c r="R8" s="68"/>
      <c r="S8" s="68"/>
      <c r="T8" s="68"/>
      <c r="U8" s="68"/>
      <c r="V8" s="68"/>
      <c r="W8" s="68"/>
      <c r="X8" s="68"/>
      <c r="Y8" s="69"/>
      <c r="Z8" s="68"/>
      <c r="AA8" s="68"/>
      <c r="AB8" s="68"/>
      <c r="AC8" s="68"/>
      <c r="AD8" s="68"/>
      <c r="AE8" s="68"/>
      <c r="AF8" s="68"/>
      <c r="AG8" s="68"/>
      <c r="AH8" s="68"/>
      <c r="AI8" s="68"/>
      <c r="AJ8" s="68"/>
      <c r="AK8" s="69"/>
      <c r="AL8" s="68"/>
      <c r="AM8" s="68"/>
      <c r="AN8" s="68"/>
      <c r="AO8" s="68"/>
      <c r="AP8" s="68"/>
      <c r="AQ8" s="68"/>
      <c r="AR8" s="68"/>
      <c r="AS8" s="68"/>
      <c r="AT8" s="68"/>
      <c r="AU8" s="68"/>
      <c r="AV8" s="68"/>
      <c r="AW8" s="69"/>
      <c r="AX8" s="68"/>
      <c r="AY8" s="68"/>
      <c r="AZ8" s="68"/>
      <c r="BA8" s="68"/>
      <c r="BB8" s="68"/>
      <c r="BC8" s="68"/>
      <c r="BD8" s="68"/>
      <c r="BE8" s="68"/>
      <c r="BF8" s="68"/>
      <c r="BG8" s="68"/>
      <c r="BH8" s="68"/>
      <c r="BI8" s="69"/>
      <c r="BJ8" s="68"/>
      <c r="BK8" s="68"/>
      <c r="BL8" s="68"/>
      <c r="BM8" s="68"/>
      <c r="BN8" s="68"/>
      <c r="BO8" s="68"/>
      <c r="BP8" s="68"/>
      <c r="BQ8" s="68"/>
      <c r="BR8" s="68"/>
      <c r="BS8" s="68"/>
      <c r="BT8" s="68"/>
      <c r="BU8" s="69"/>
      <c r="BV8" s="68"/>
      <c r="BW8" s="68"/>
      <c r="BX8" s="68"/>
      <c r="BY8" s="68"/>
      <c r="BZ8" s="68"/>
      <c r="CA8" s="68"/>
      <c r="CB8" s="68"/>
      <c r="CC8" s="68"/>
      <c r="CD8" s="68"/>
      <c r="CE8" s="68"/>
      <c r="CF8" s="68"/>
      <c r="CG8" s="69"/>
      <c r="CH8" s="68"/>
      <c r="CI8" s="68"/>
      <c r="CJ8" s="68"/>
      <c r="CK8" s="68"/>
      <c r="CL8" s="68"/>
      <c r="CM8" s="68"/>
      <c r="CN8" s="68"/>
      <c r="CO8" s="68"/>
      <c r="CP8" s="68"/>
      <c r="CQ8" s="68"/>
      <c r="CR8" s="68"/>
      <c r="CS8" s="69"/>
      <c r="CT8" s="68"/>
      <c r="CU8" s="70"/>
      <c r="CV8" s="70"/>
      <c r="CW8" s="70"/>
      <c r="CX8" s="70"/>
      <c r="CY8" s="70"/>
      <c r="CZ8" s="70"/>
      <c r="DA8" s="70"/>
      <c r="DB8" s="70"/>
      <c r="DC8" s="70"/>
      <c r="DD8" s="70"/>
      <c r="DE8" s="70"/>
      <c r="DF8" s="70"/>
      <c r="DG8" s="70"/>
      <c r="DH8" s="70"/>
      <c r="DI8" s="70"/>
      <c r="DJ8" s="70"/>
      <c r="DK8" s="70"/>
      <c r="DL8" s="70"/>
      <c r="DM8" s="70"/>
      <c r="DN8" s="70"/>
      <c r="DO8" s="70"/>
      <c r="DP8" s="70"/>
      <c r="DQ8" s="70"/>
      <c r="DR8" s="70"/>
      <c r="DS8" s="70"/>
      <c r="DT8" s="70"/>
      <c r="DU8" s="70"/>
      <c r="DV8" s="70"/>
      <c r="DW8" s="70"/>
      <c r="DX8" s="70"/>
      <c r="DY8" s="70"/>
      <c r="DZ8" s="70"/>
      <c r="EA8" s="70"/>
      <c r="EB8" s="70"/>
      <c r="EC8" s="70"/>
      <c r="ED8" s="70"/>
      <c r="EE8" s="70"/>
      <c r="EF8" s="70"/>
      <c r="EG8" s="70"/>
      <c r="EH8" s="70"/>
      <c r="EI8" s="70"/>
      <c r="EJ8" s="70"/>
      <c r="EK8" s="70"/>
      <c r="EL8" s="71"/>
      <c r="EM8" s="71"/>
      <c r="EN8" s="71"/>
      <c r="EO8" s="71"/>
      <c r="EP8" s="71"/>
      <c r="EQ8" s="71"/>
      <c r="ER8" s="71"/>
      <c r="ES8" s="71"/>
      <c r="ET8" s="71"/>
      <c r="EU8" s="71"/>
      <c r="EV8" s="71"/>
      <c r="EW8" s="71"/>
      <c r="EX8" s="71"/>
      <c r="EY8" s="71"/>
      <c r="EZ8" s="71"/>
      <c r="FA8" s="71"/>
      <c r="FB8" s="71"/>
      <c r="FC8" s="71"/>
      <c r="FD8" s="70"/>
      <c r="FE8" s="71"/>
      <c r="FF8" s="71"/>
      <c r="FG8" s="71"/>
      <c r="FH8" s="71"/>
      <c r="FI8" s="71"/>
      <c r="FJ8" s="70"/>
      <c r="FK8" s="71"/>
      <c r="FL8" s="71"/>
      <c r="FM8" s="71"/>
      <c r="FN8" s="71"/>
      <c r="FO8" s="71"/>
      <c r="FP8" s="71"/>
      <c r="FQ8" s="70"/>
      <c r="FR8" s="70"/>
      <c r="FS8" s="70"/>
      <c r="FT8" s="72"/>
      <c r="FU8" s="73"/>
      <c r="FV8" s="73"/>
      <c r="FW8" s="74"/>
      <c r="FX8" s="74"/>
      <c r="FY8" s="72"/>
      <c r="FZ8" s="72"/>
      <c r="GA8" s="73"/>
      <c r="GB8" s="73"/>
      <c r="GC8" s="73"/>
      <c r="GD8" s="75"/>
      <c r="GE8" s="75"/>
      <c r="GF8" s="75"/>
      <c r="GH8" s="76"/>
      <c r="GI8" s="76"/>
      <c r="GL8" s="77"/>
      <c r="GS8" s="77"/>
      <c r="GT8" s="76"/>
      <c r="GV8" s="78"/>
      <c r="GW8" s="77"/>
      <c r="HO8" s="76"/>
      <c r="IA8" s="76"/>
      <c r="IX8" s="76"/>
    </row>
    <row r="9" spans="1:271" s="31" customFormat="1" ht="15.6" x14ac:dyDescent="0.3">
      <c r="A9" s="64"/>
      <c r="B9" s="67"/>
      <c r="C9" s="67"/>
      <c r="D9" s="67"/>
      <c r="E9" s="67"/>
      <c r="F9" s="67"/>
      <c r="G9" s="68"/>
      <c r="H9" s="68"/>
      <c r="I9" s="68"/>
      <c r="J9" s="68"/>
      <c r="K9" s="68"/>
      <c r="L9" s="68"/>
      <c r="M9" s="69"/>
      <c r="N9" s="68"/>
      <c r="O9" s="68"/>
      <c r="P9" s="68"/>
      <c r="Q9" s="68"/>
      <c r="R9" s="68"/>
      <c r="S9" s="68"/>
      <c r="T9" s="68"/>
      <c r="U9" s="68"/>
      <c r="V9" s="68"/>
      <c r="W9" s="68"/>
      <c r="X9" s="68"/>
      <c r="Y9" s="69"/>
      <c r="Z9" s="68"/>
      <c r="AA9" s="68"/>
      <c r="AB9" s="68"/>
      <c r="AC9" s="68"/>
      <c r="AD9" s="68"/>
      <c r="AE9" s="68"/>
      <c r="AF9" s="68"/>
      <c r="AG9" s="68"/>
      <c r="AH9" s="68"/>
      <c r="AI9" s="68"/>
      <c r="AJ9" s="68"/>
      <c r="AK9" s="69"/>
      <c r="AL9" s="68"/>
      <c r="AM9" s="68"/>
      <c r="AN9" s="68"/>
      <c r="AO9" s="68"/>
      <c r="AP9" s="68"/>
      <c r="AQ9" s="68"/>
      <c r="AR9" s="68"/>
      <c r="AS9" s="68"/>
      <c r="AT9" s="68"/>
      <c r="AU9" s="68"/>
      <c r="AV9" s="68"/>
      <c r="AW9" s="69"/>
      <c r="AX9" s="68"/>
      <c r="AY9" s="68"/>
      <c r="AZ9" s="68"/>
      <c r="BA9" s="68"/>
      <c r="BB9" s="68"/>
      <c r="BC9" s="68"/>
      <c r="BD9" s="68"/>
      <c r="BE9" s="68"/>
      <c r="BF9" s="68"/>
      <c r="BG9" s="68"/>
      <c r="BH9" s="68"/>
      <c r="BI9" s="69"/>
      <c r="BJ9" s="68"/>
      <c r="BK9" s="68"/>
      <c r="BL9" s="68"/>
      <c r="BM9" s="68"/>
      <c r="BN9" s="68"/>
      <c r="BO9" s="68"/>
      <c r="BP9" s="68"/>
      <c r="BQ9" s="68"/>
      <c r="BR9" s="68"/>
      <c r="BS9" s="68"/>
      <c r="BT9" s="68"/>
      <c r="BU9" s="69"/>
      <c r="BV9" s="68"/>
      <c r="BW9" s="68"/>
      <c r="BX9" s="68"/>
      <c r="BY9" s="68"/>
      <c r="BZ9" s="68"/>
      <c r="CA9" s="68"/>
      <c r="CB9" s="68"/>
      <c r="CC9" s="68"/>
      <c r="CD9" s="68"/>
      <c r="CE9" s="68"/>
      <c r="CF9" s="68"/>
      <c r="CG9" s="69"/>
      <c r="CH9" s="68"/>
      <c r="CI9" s="68"/>
      <c r="CJ9" s="68"/>
      <c r="CK9" s="68"/>
      <c r="CL9" s="68"/>
      <c r="CM9" s="68"/>
      <c r="CN9" s="68"/>
      <c r="CO9" s="68"/>
      <c r="CP9" s="68"/>
      <c r="CQ9" s="68"/>
      <c r="CR9" s="68"/>
      <c r="CS9" s="69"/>
      <c r="CT9" s="68"/>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1"/>
      <c r="EM9" s="71"/>
      <c r="EN9" s="71"/>
      <c r="EO9" s="71"/>
      <c r="EP9" s="71"/>
      <c r="EQ9" s="71"/>
      <c r="ER9" s="71"/>
      <c r="ES9" s="71"/>
      <c r="ET9" s="71"/>
      <c r="EU9" s="71"/>
      <c r="EV9" s="71"/>
      <c r="EW9" s="71"/>
      <c r="EX9" s="71"/>
      <c r="EY9" s="71"/>
      <c r="EZ9" s="71"/>
      <c r="FA9" s="71"/>
      <c r="FB9" s="71"/>
      <c r="FC9" s="71"/>
      <c r="FD9" s="70"/>
      <c r="FE9" s="71"/>
      <c r="FF9" s="71"/>
      <c r="FG9" s="71"/>
      <c r="FH9" s="71"/>
      <c r="FI9" s="71"/>
      <c r="FJ9" s="70"/>
      <c r="FK9" s="71"/>
      <c r="FL9" s="71"/>
      <c r="FM9" s="71"/>
      <c r="FN9" s="71"/>
      <c r="FO9" s="71"/>
      <c r="FP9" s="71"/>
      <c r="FQ9" s="70"/>
      <c r="FR9" s="70"/>
      <c r="FS9" s="70"/>
      <c r="FT9" s="72"/>
      <c r="FU9" s="73"/>
      <c r="FV9" s="73"/>
      <c r="FW9" s="74"/>
      <c r="FX9" s="74"/>
      <c r="FY9" s="72"/>
      <c r="FZ9" s="72"/>
      <c r="GA9" s="73"/>
      <c r="GB9" s="73"/>
      <c r="GC9" s="73"/>
      <c r="GD9" s="75"/>
      <c r="GE9" s="75"/>
      <c r="GF9" s="75"/>
      <c r="GH9" s="76"/>
      <c r="GI9" s="76"/>
      <c r="GL9" s="77"/>
      <c r="GS9" s="77"/>
      <c r="GT9" s="76"/>
      <c r="GV9" s="78"/>
      <c r="GW9" s="77"/>
      <c r="HO9" s="76"/>
      <c r="IA9" s="76"/>
      <c r="IX9" s="76"/>
    </row>
    <row r="10" spans="1:271" s="31" customFormat="1" ht="15.6" x14ac:dyDescent="0.3">
      <c r="A10" s="64"/>
      <c r="B10" s="67"/>
      <c r="C10" s="67"/>
      <c r="D10" s="67"/>
      <c r="E10" s="67"/>
      <c r="F10" s="67"/>
      <c r="G10" s="68"/>
      <c r="H10" s="68"/>
      <c r="I10" s="68"/>
      <c r="J10" s="68"/>
      <c r="K10" s="68"/>
      <c r="L10" s="68"/>
      <c r="M10" s="69"/>
      <c r="N10" s="68"/>
      <c r="O10" s="68"/>
      <c r="P10" s="68"/>
      <c r="Q10" s="68"/>
      <c r="R10" s="68"/>
      <c r="S10" s="68"/>
      <c r="T10" s="68"/>
      <c r="U10" s="68"/>
      <c r="V10" s="68"/>
      <c r="W10" s="68"/>
      <c r="X10" s="68"/>
      <c r="Y10" s="69"/>
      <c r="Z10" s="68"/>
      <c r="AA10" s="68"/>
      <c r="AB10" s="68"/>
      <c r="AC10" s="68"/>
      <c r="AD10" s="68"/>
      <c r="AE10" s="68"/>
      <c r="AF10" s="68"/>
      <c r="AG10" s="68"/>
      <c r="AH10" s="68"/>
      <c r="AI10" s="68"/>
      <c r="AJ10" s="68"/>
      <c r="AK10" s="69"/>
      <c r="AL10" s="68"/>
      <c r="AM10" s="68"/>
      <c r="AN10" s="68"/>
      <c r="AO10" s="68"/>
      <c r="AP10" s="68"/>
      <c r="AQ10" s="68"/>
      <c r="AR10" s="68"/>
      <c r="AS10" s="68"/>
      <c r="AT10" s="68"/>
      <c r="AU10" s="68"/>
      <c r="AV10" s="68"/>
      <c r="AW10" s="69"/>
      <c r="AX10" s="68"/>
      <c r="AY10" s="68"/>
      <c r="AZ10" s="68"/>
      <c r="BA10" s="68"/>
      <c r="BB10" s="68"/>
      <c r="BC10" s="68"/>
      <c r="BD10" s="68"/>
      <c r="BE10" s="68"/>
      <c r="BF10" s="68"/>
      <c r="BG10" s="68"/>
      <c r="BH10" s="68"/>
      <c r="BI10" s="69"/>
      <c r="BJ10" s="68"/>
      <c r="BK10" s="68"/>
      <c r="BL10" s="68"/>
      <c r="BM10" s="68"/>
      <c r="BN10" s="68"/>
      <c r="BO10" s="68"/>
      <c r="BP10" s="68"/>
      <c r="BQ10" s="68"/>
      <c r="BR10" s="68"/>
      <c r="BS10" s="68"/>
      <c r="BT10" s="68"/>
      <c r="BU10" s="69"/>
      <c r="BV10" s="68"/>
      <c r="BW10" s="68"/>
      <c r="BX10" s="68"/>
      <c r="BY10" s="68"/>
      <c r="BZ10" s="68"/>
      <c r="CA10" s="68"/>
      <c r="CB10" s="68"/>
      <c r="CC10" s="68"/>
      <c r="CD10" s="68"/>
      <c r="CE10" s="68"/>
      <c r="CF10" s="68"/>
      <c r="CG10" s="69"/>
      <c r="CH10" s="68"/>
      <c r="CI10" s="68"/>
      <c r="CJ10" s="68"/>
      <c r="CK10" s="68"/>
      <c r="CL10" s="68"/>
      <c r="CM10" s="68"/>
      <c r="CN10" s="68"/>
      <c r="CO10" s="68"/>
      <c r="CP10" s="68"/>
      <c r="CQ10" s="68"/>
      <c r="CR10" s="68"/>
      <c r="CS10" s="69"/>
      <c r="CT10" s="68"/>
      <c r="CU10" s="70"/>
      <c r="CV10" s="70"/>
      <c r="CW10" s="70"/>
      <c r="CX10" s="70"/>
      <c r="CY10" s="70"/>
      <c r="CZ10" s="70"/>
      <c r="DA10" s="70"/>
      <c r="DB10" s="70"/>
      <c r="DC10" s="70"/>
      <c r="DD10" s="70"/>
      <c r="DE10" s="70"/>
      <c r="DF10" s="70"/>
      <c r="DG10" s="70"/>
      <c r="DH10" s="70"/>
      <c r="DI10" s="70"/>
      <c r="DJ10" s="70"/>
      <c r="DK10" s="70"/>
      <c r="DL10" s="70"/>
      <c r="DM10" s="70"/>
      <c r="DN10" s="70"/>
      <c r="DO10" s="70"/>
      <c r="DP10" s="70"/>
      <c r="DQ10" s="70"/>
      <c r="DR10" s="70"/>
      <c r="DS10" s="70"/>
      <c r="DT10" s="70"/>
      <c r="DU10" s="70"/>
      <c r="DV10" s="70"/>
      <c r="DW10" s="70"/>
      <c r="DX10" s="70"/>
      <c r="DY10" s="70"/>
      <c r="DZ10" s="70"/>
      <c r="EA10" s="70"/>
      <c r="EB10" s="70"/>
      <c r="EC10" s="70"/>
      <c r="ED10" s="70"/>
      <c r="EE10" s="70"/>
      <c r="EF10" s="70"/>
      <c r="EG10" s="70"/>
      <c r="EH10" s="70"/>
      <c r="EI10" s="70"/>
      <c r="EJ10" s="70"/>
      <c r="EK10" s="70"/>
      <c r="EL10" s="71"/>
      <c r="EM10" s="71"/>
      <c r="EN10" s="71"/>
      <c r="EO10" s="71"/>
      <c r="EP10" s="71"/>
      <c r="EQ10" s="71"/>
      <c r="ER10" s="71"/>
      <c r="ES10" s="71"/>
      <c r="ET10" s="71"/>
      <c r="EU10" s="71"/>
      <c r="EV10" s="71"/>
      <c r="EW10" s="71"/>
      <c r="EX10" s="71"/>
      <c r="EY10" s="71"/>
      <c r="EZ10" s="71"/>
      <c r="FA10" s="71"/>
      <c r="FB10" s="71"/>
      <c r="FC10" s="71"/>
      <c r="FD10" s="70"/>
      <c r="FE10" s="71"/>
      <c r="FF10" s="71"/>
      <c r="FG10" s="71"/>
      <c r="FH10" s="71"/>
      <c r="FI10" s="71"/>
      <c r="FJ10" s="70"/>
      <c r="FK10" s="71"/>
      <c r="FL10" s="71"/>
      <c r="FM10" s="71"/>
      <c r="FN10" s="71"/>
      <c r="FO10" s="71"/>
      <c r="FP10" s="71"/>
      <c r="FQ10" s="70"/>
      <c r="FR10" s="70"/>
      <c r="FS10" s="70"/>
      <c r="FT10" s="72"/>
      <c r="FU10" s="73"/>
      <c r="FV10" s="73"/>
      <c r="FW10" s="74"/>
      <c r="FX10" s="74"/>
      <c r="FY10" s="72"/>
      <c r="FZ10" s="72"/>
      <c r="GA10" s="73"/>
      <c r="GB10" s="73"/>
      <c r="GC10" s="73"/>
      <c r="GD10" s="75"/>
      <c r="GE10" s="75"/>
      <c r="GF10" s="75"/>
      <c r="GH10" s="76"/>
      <c r="GI10" s="76"/>
      <c r="GL10" s="77"/>
      <c r="GS10" s="77"/>
      <c r="GT10" s="76"/>
      <c r="GV10" s="78"/>
      <c r="GW10" s="77"/>
      <c r="HO10" s="76"/>
      <c r="IA10" s="76"/>
      <c r="IX10" s="76"/>
    </row>
    <row r="11" spans="1:271" s="31" customFormat="1" ht="15.6" x14ac:dyDescent="0.3">
      <c r="A11" s="64"/>
      <c r="B11" s="67"/>
      <c r="C11" s="67"/>
      <c r="D11" s="67"/>
      <c r="E11" s="67"/>
      <c r="F11" s="67"/>
      <c r="G11" s="68"/>
      <c r="H11" s="68"/>
      <c r="I11" s="68"/>
      <c r="J11" s="68"/>
      <c r="K11" s="68"/>
      <c r="L11" s="68"/>
      <c r="M11" s="69"/>
      <c r="N11" s="68"/>
      <c r="O11" s="68"/>
      <c r="P11" s="68"/>
      <c r="Q11" s="68"/>
      <c r="R11" s="68"/>
      <c r="S11" s="68"/>
      <c r="T11" s="68"/>
      <c r="U11" s="68"/>
      <c r="V11" s="68"/>
      <c r="W11" s="68"/>
      <c r="X11" s="68"/>
      <c r="Y11" s="69"/>
      <c r="Z11" s="68"/>
      <c r="AA11" s="68"/>
      <c r="AB11" s="68"/>
      <c r="AC11" s="68"/>
      <c r="AD11" s="68"/>
      <c r="AE11" s="68"/>
      <c r="AF11" s="68"/>
      <c r="AG11" s="68"/>
      <c r="AH11" s="68"/>
      <c r="AI11" s="68"/>
      <c r="AJ11" s="68"/>
      <c r="AK11" s="69"/>
      <c r="AL11" s="68"/>
      <c r="AM11" s="68"/>
      <c r="AN11" s="68"/>
      <c r="AO11" s="68"/>
      <c r="AP11" s="68"/>
      <c r="AQ11" s="68"/>
      <c r="AR11" s="68"/>
      <c r="AS11" s="68"/>
      <c r="AT11" s="68"/>
      <c r="AU11" s="68"/>
      <c r="AV11" s="68"/>
      <c r="AW11" s="69"/>
      <c r="AX11" s="68"/>
      <c r="AY11" s="68"/>
      <c r="AZ11" s="68"/>
      <c r="BA11" s="68"/>
      <c r="BB11" s="68"/>
      <c r="BC11" s="68"/>
      <c r="BD11" s="68"/>
      <c r="BE11" s="68"/>
      <c r="BF11" s="68"/>
      <c r="BG11" s="68"/>
      <c r="BH11" s="68"/>
      <c r="BI11" s="69"/>
      <c r="BJ11" s="68"/>
      <c r="BK11" s="68"/>
      <c r="BL11" s="68"/>
      <c r="BM11" s="68"/>
      <c r="BN11" s="68"/>
      <c r="BO11" s="68"/>
      <c r="BP11" s="68"/>
      <c r="BQ11" s="68"/>
      <c r="BR11" s="68"/>
      <c r="BS11" s="68"/>
      <c r="BT11" s="68"/>
      <c r="BU11" s="69"/>
      <c r="BV11" s="68"/>
      <c r="BW11" s="68"/>
      <c r="BX11" s="68"/>
      <c r="BY11" s="68"/>
      <c r="BZ11" s="68"/>
      <c r="CA11" s="68"/>
      <c r="CB11" s="68"/>
      <c r="CC11" s="68"/>
      <c r="CD11" s="68"/>
      <c r="CE11" s="68"/>
      <c r="CF11" s="68"/>
      <c r="CG11" s="69"/>
      <c r="CH11" s="68"/>
      <c r="CI11" s="68"/>
      <c r="CJ11" s="68"/>
      <c r="CK11" s="68"/>
      <c r="CL11" s="68"/>
      <c r="CM11" s="68"/>
      <c r="CN11" s="68"/>
      <c r="CO11" s="68"/>
      <c r="CP11" s="68"/>
      <c r="CQ11" s="68"/>
      <c r="CR11" s="68"/>
      <c r="CS11" s="69"/>
      <c r="CT11" s="68"/>
      <c r="CU11" s="70"/>
      <c r="CV11" s="70"/>
      <c r="CW11" s="70"/>
      <c r="CX11" s="70"/>
      <c r="CY11" s="70"/>
      <c r="CZ11" s="70"/>
      <c r="DA11" s="70"/>
      <c r="DB11" s="70"/>
      <c r="DC11" s="70"/>
      <c r="DD11" s="70"/>
      <c r="DE11" s="70"/>
      <c r="DF11" s="70"/>
      <c r="DG11" s="70"/>
      <c r="DH11" s="70"/>
      <c r="DI11" s="70"/>
      <c r="DJ11" s="70"/>
      <c r="DK11" s="70"/>
      <c r="DL11" s="70"/>
      <c r="DM11" s="70"/>
      <c r="DN11" s="70"/>
      <c r="DO11" s="70"/>
      <c r="DP11" s="70"/>
      <c r="DQ11" s="70"/>
      <c r="DR11" s="70"/>
      <c r="DS11" s="70"/>
      <c r="DT11" s="70"/>
      <c r="DU11" s="70"/>
      <c r="DV11" s="70"/>
      <c r="DW11" s="70"/>
      <c r="DX11" s="70"/>
      <c r="DY11" s="70"/>
      <c r="DZ11" s="70"/>
      <c r="EA11" s="70"/>
      <c r="EB11" s="70"/>
      <c r="EC11" s="70"/>
      <c r="ED11" s="70"/>
      <c r="EE11" s="70"/>
      <c r="EF11" s="70"/>
      <c r="EG11" s="70"/>
      <c r="EH11" s="70"/>
      <c r="EI11" s="70"/>
      <c r="EJ11" s="70"/>
      <c r="EK11" s="70"/>
      <c r="EL11" s="71"/>
      <c r="EM11" s="71"/>
      <c r="EN11" s="71"/>
      <c r="EO11" s="71"/>
      <c r="EP11" s="71"/>
      <c r="EQ11" s="71"/>
      <c r="ER11" s="71"/>
      <c r="ES11" s="71"/>
      <c r="ET11" s="71"/>
      <c r="EU11" s="71"/>
      <c r="EV11" s="71"/>
      <c r="EW11" s="71"/>
      <c r="EX11" s="71"/>
      <c r="EY11" s="71"/>
      <c r="EZ11" s="71"/>
      <c r="FA11" s="71"/>
      <c r="FB11" s="71"/>
      <c r="FC11" s="71"/>
      <c r="FD11" s="70"/>
      <c r="FE11" s="71"/>
      <c r="FF11" s="71"/>
      <c r="FG11" s="71"/>
      <c r="FH11" s="71"/>
      <c r="FI11" s="71"/>
      <c r="FJ11" s="70"/>
      <c r="FK11" s="71"/>
      <c r="FL11" s="71"/>
      <c r="FM11" s="71"/>
      <c r="FN11" s="71"/>
      <c r="FO11" s="71"/>
      <c r="FP11" s="71"/>
      <c r="FQ11" s="70"/>
      <c r="FR11" s="70"/>
      <c r="FS11" s="70"/>
      <c r="FT11" s="72"/>
      <c r="FU11" s="73"/>
      <c r="FV11" s="73"/>
      <c r="FW11" s="74"/>
      <c r="FX11" s="74"/>
      <c r="FY11" s="72"/>
      <c r="FZ11" s="72"/>
      <c r="GA11" s="73"/>
      <c r="GB11" s="73"/>
      <c r="GC11" s="73"/>
      <c r="GD11" s="75"/>
      <c r="GE11" s="75"/>
      <c r="GF11" s="75"/>
      <c r="GH11" s="76"/>
      <c r="GI11" s="76"/>
      <c r="GL11" s="77"/>
      <c r="GS11" s="77"/>
      <c r="GT11" s="76"/>
      <c r="GV11" s="78"/>
      <c r="GW11" s="77"/>
      <c r="HO11" s="76"/>
      <c r="IA11" s="76"/>
      <c r="IX11" s="76"/>
    </row>
    <row r="12" spans="1:271" s="31" customFormat="1" ht="15.6" x14ac:dyDescent="0.3">
      <c r="A12" s="64"/>
      <c r="B12" s="67"/>
      <c r="C12" s="67"/>
      <c r="D12" s="67"/>
      <c r="E12" s="67"/>
      <c r="F12" s="67"/>
      <c r="G12" s="68"/>
      <c r="H12" s="68"/>
      <c r="I12" s="68"/>
      <c r="J12" s="68"/>
      <c r="K12" s="68"/>
      <c r="L12" s="68"/>
      <c r="M12" s="69"/>
      <c r="N12" s="68"/>
      <c r="O12" s="68"/>
      <c r="P12" s="68"/>
      <c r="Q12" s="68"/>
      <c r="R12" s="68"/>
      <c r="S12" s="68"/>
      <c r="T12" s="68"/>
      <c r="U12" s="68"/>
      <c r="V12" s="68"/>
      <c r="W12" s="68"/>
      <c r="X12" s="68"/>
      <c r="Y12" s="69"/>
      <c r="Z12" s="68"/>
      <c r="AA12" s="68"/>
      <c r="AB12" s="68"/>
      <c r="AC12" s="68"/>
      <c r="AD12" s="68"/>
      <c r="AE12" s="68"/>
      <c r="AF12" s="68"/>
      <c r="AG12" s="68"/>
      <c r="AH12" s="68"/>
      <c r="AI12" s="68"/>
      <c r="AJ12" s="68"/>
      <c r="AK12" s="69"/>
      <c r="AL12" s="68"/>
      <c r="AM12" s="68"/>
      <c r="AN12" s="68"/>
      <c r="AO12" s="68"/>
      <c r="AP12" s="68"/>
      <c r="AQ12" s="68"/>
      <c r="AR12" s="68"/>
      <c r="AS12" s="68"/>
      <c r="AT12" s="68"/>
      <c r="AU12" s="68"/>
      <c r="AV12" s="68"/>
      <c r="AW12" s="69"/>
      <c r="AX12" s="68"/>
      <c r="AY12" s="68"/>
      <c r="AZ12" s="68"/>
      <c r="BA12" s="68"/>
      <c r="BB12" s="68"/>
      <c r="BC12" s="68"/>
      <c r="BD12" s="68"/>
      <c r="BE12" s="68"/>
      <c r="BF12" s="68"/>
      <c r="BG12" s="68"/>
      <c r="BH12" s="68"/>
      <c r="BI12" s="69"/>
      <c r="BJ12" s="68"/>
      <c r="BK12" s="68"/>
      <c r="BL12" s="68"/>
      <c r="BM12" s="68"/>
      <c r="BN12" s="68"/>
      <c r="BO12" s="68"/>
      <c r="BP12" s="68"/>
      <c r="BQ12" s="68"/>
      <c r="BR12" s="68"/>
      <c r="BS12" s="68"/>
      <c r="BT12" s="68"/>
      <c r="BU12" s="69"/>
      <c r="BV12" s="68"/>
      <c r="BW12" s="68"/>
      <c r="BX12" s="68"/>
      <c r="BY12" s="68"/>
      <c r="BZ12" s="68"/>
      <c r="CA12" s="68"/>
      <c r="CB12" s="68"/>
      <c r="CC12" s="68"/>
      <c r="CD12" s="68"/>
      <c r="CE12" s="68"/>
      <c r="CF12" s="68"/>
      <c r="CG12" s="69"/>
      <c r="CH12" s="68"/>
      <c r="CI12" s="68"/>
      <c r="CJ12" s="68"/>
      <c r="CK12" s="68"/>
      <c r="CL12" s="68"/>
      <c r="CM12" s="68"/>
      <c r="CN12" s="68"/>
      <c r="CO12" s="68"/>
      <c r="CP12" s="68"/>
      <c r="CQ12" s="68"/>
      <c r="CR12" s="68"/>
      <c r="CS12" s="69"/>
      <c r="CT12" s="68"/>
      <c r="CU12" s="70"/>
      <c r="CV12" s="70"/>
      <c r="CW12" s="70"/>
      <c r="CX12" s="70"/>
      <c r="CY12" s="70"/>
      <c r="CZ12" s="70"/>
      <c r="DA12" s="70"/>
      <c r="DB12" s="70"/>
      <c r="DC12" s="70"/>
      <c r="DD12" s="70"/>
      <c r="DE12" s="70"/>
      <c r="DF12" s="70"/>
      <c r="DG12" s="70"/>
      <c r="DH12" s="70"/>
      <c r="DI12" s="70"/>
      <c r="DJ12" s="70"/>
      <c r="DK12" s="70"/>
      <c r="DL12" s="70"/>
      <c r="DM12" s="70"/>
      <c r="DN12" s="70"/>
      <c r="DO12" s="70"/>
      <c r="DP12" s="70"/>
      <c r="DQ12" s="70"/>
      <c r="DR12" s="70"/>
      <c r="DS12" s="70"/>
      <c r="DT12" s="70"/>
      <c r="DU12" s="70"/>
      <c r="DV12" s="70"/>
      <c r="DW12" s="70"/>
      <c r="DX12" s="70"/>
      <c r="DY12" s="70"/>
      <c r="DZ12" s="70"/>
      <c r="EA12" s="70"/>
      <c r="EB12" s="70"/>
      <c r="EC12" s="70"/>
      <c r="ED12" s="70"/>
      <c r="EE12" s="70"/>
      <c r="EF12" s="70"/>
      <c r="EG12" s="70"/>
      <c r="EH12" s="70"/>
      <c r="EI12" s="70"/>
      <c r="EJ12" s="70"/>
      <c r="EK12" s="70"/>
      <c r="EL12" s="71"/>
      <c r="EM12" s="71"/>
      <c r="EN12" s="71"/>
      <c r="EO12" s="71"/>
      <c r="EP12" s="71"/>
      <c r="EQ12" s="71"/>
      <c r="ER12" s="71"/>
      <c r="ES12" s="71"/>
      <c r="ET12" s="71"/>
      <c r="EU12" s="71"/>
      <c r="EV12" s="71"/>
      <c r="EW12" s="71"/>
      <c r="EX12" s="71"/>
      <c r="EY12" s="71"/>
      <c r="EZ12" s="71"/>
      <c r="FA12" s="71"/>
      <c r="FB12" s="71"/>
      <c r="FC12" s="71"/>
      <c r="FD12" s="70"/>
      <c r="FE12" s="71"/>
      <c r="FF12" s="71"/>
      <c r="FG12" s="71"/>
      <c r="FH12" s="71"/>
      <c r="FI12" s="71"/>
      <c r="FJ12" s="70"/>
      <c r="FK12" s="71"/>
      <c r="FL12" s="71"/>
      <c r="FM12" s="71"/>
      <c r="FN12" s="71"/>
      <c r="FO12" s="71"/>
      <c r="FP12" s="71"/>
      <c r="FQ12" s="70"/>
      <c r="FR12" s="70"/>
      <c r="FS12" s="70"/>
      <c r="FT12" s="72"/>
      <c r="FU12" s="73"/>
      <c r="FV12" s="73"/>
      <c r="FW12" s="74"/>
      <c r="FX12" s="74"/>
      <c r="FY12" s="72"/>
      <c r="FZ12" s="72"/>
      <c r="GA12" s="73"/>
      <c r="GB12" s="73"/>
      <c r="GC12" s="73"/>
      <c r="GD12" s="75"/>
      <c r="GE12" s="75"/>
      <c r="GF12" s="75"/>
      <c r="GH12" s="76"/>
      <c r="GI12" s="76"/>
      <c r="GL12" s="77"/>
      <c r="GS12" s="77"/>
      <c r="GT12" s="76"/>
      <c r="GV12" s="78"/>
      <c r="GW12" s="77"/>
      <c r="HO12" s="76"/>
      <c r="IA12" s="76"/>
      <c r="IX12" s="76"/>
    </row>
    <row r="13" spans="1:271" s="31" customFormat="1" ht="15.6" x14ac:dyDescent="0.3">
      <c r="A13" s="64"/>
      <c r="B13" s="67"/>
      <c r="C13" s="67"/>
      <c r="D13" s="67"/>
      <c r="E13" s="67"/>
      <c r="F13" s="67"/>
      <c r="G13" s="68"/>
      <c r="H13" s="68"/>
      <c r="I13" s="68"/>
      <c r="J13" s="68"/>
      <c r="K13" s="68"/>
      <c r="L13" s="68"/>
      <c r="M13" s="69"/>
      <c r="N13" s="68"/>
      <c r="O13" s="68"/>
      <c r="P13" s="68"/>
      <c r="Q13" s="68"/>
      <c r="R13" s="68"/>
      <c r="S13" s="68"/>
      <c r="T13" s="68"/>
      <c r="U13" s="68"/>
      <c r="V13" s="68"/>
      <c r="W13" s="68"/>
      <c r="X13" s="68"/>
      <c r="Y13" s="69"/>
      <c r="Z13" s="68"/>
      <c r="AA13" s="68"/>
      <c r="AB13" s="68"/>
      <c r="AC13" s="68"/>
      <c r="AD13" s="68"/>
      <c r="AE13" s="68"/>
      <c r="AF13" s="68"/>
      <c r="AG13" s="68"/>
      <c r="AH13" s="68"/>
      <c r="AI13" s="68"/>
      <c r="AJ13" s="68"/>
      <c r="AK13" s="69"/>
      <c r="AL13" s="68"/>
      <c r="AM13" s="68"/>
      <c r="AN13" s="68"/>
      <c r="AO13" s="68"/>
      <c r="AP13" s="68"/>
      <c r="AQ13" s="68"/>
      <c r="AR13" s="68"/>
      <c r="AS13" s="68"/>
      <c r="AT13" s="68"/>
      <c r="AU13" s="68"/>
      <c r="AV13" s="68"/>
      <c r="AW13" s="69"/>
      <c r="AX13" s="68"/>
      <c r="AY13" s="68"/>
      <c r="AZ13" s="68"/>
      <c r="BA13" s="68"/>
      <c r="BB13" s="68"/>
      <c r="BC13" s="68"/>
      <c r="BD13" s="68"/>
      <c r="BE13" s="68"/>
      <c r="BF13" s="68"/>
      <c r="BG13" s="68"/>
      <c r="BH13" s="68"/>
      <c r="BI13" s="69"/>
      <c r="BJ13" s="68"/>
      <c r="BK13" s="68"/>
      <c r="BL13" s="68"/>
      <c r="BM13" s="68"/>
      <c r="BN13" s="68"/>
      <c r="BO13" s="68"/>
      <c r="BP13" s="68"/>
      <c r="BQ13" s="68"/>
      <c r="BR13" s="68"/>
      <c r="BS13" s="68"/>
      <c r="BT13" s="68"/>
      <c r="BU13" s="69"/>
      <c r="BV13" s="68"/>
      <c r="BW13" s="68"/>
      <c r="BX13" s="68"/>
      <c r="BY13" s="68"/>
      <c r="BZ13" s="68"/>
      <c r="CA13" s="68"/>
      <c r="CB13" s="68"/>
      <c r="CC13" s="68"/>
      <c r="CD13" s="68"/>
      <c r="CE13" s="68"/>
      <c r="CF13" s="68"/>
      <c r="CG13" s="69"/>
      <c r="CH13" s="68"/>
      <c r="CI13" s="68"/>
      <c r="CJ13" s="68"/>
      <c r="CK13" s="68"/>
      <c r="CL13" s="68"/>
      <c r="CM13" s="68"/>
      <c r="CN13" s="68"/>
      <c r="CO13" s="68"/>
      <c r="CP13" s="68"/>
      <c r="CQ13" s="68"/>
      <c r="CR13" s="68"/>
      <c r="CS13" s="69"/>
      <c r="CT13" s="68"/>
      <c r="CU13" s="70"/>
      <c r="CV13" s="70"/>
      <c r="CW13" s="70"/>
      <c r="CX13" s="70"/>
      <c r="CY13" s="70"/>
      <c r="CZ13" s="70"/>
      <c r="DA13" s="70"/>
      <c r="DB13" s="70"/>
      <c r="DC13" s="70"/>
      <c r="DD13" s="70"/>
      <c r="DE13" s="70"/>
      <c r="DF13" s="70"/>
      <c r="DG13" s="70"/>
      <c r="DH13" s="70"/>
      <c r="DI13" s="70"/>
      <c r="DJ13" s="70"/>
      <c r="DK13" s="70"/>
      <c r="DL13" s="70"/>
      <c r="DM13" s="70"/>
      <c r="DN13" s="70"/>
      <c r="DO13" s="70"/>
      <c r="DP13" s="70"/>
      <c r="DQ13" s="70"/>
      <c r="DR13" s="70"/>
      <c r="DS13" s="70"/>
      <c r="DT13" s="70"/>
      <c r="DU13" s="70"/>
      <c r="DV13" s="70"/>
      <c r="DW13" s="70"/>
      <c r="DX13" s="70"/>
      <c r="DY13" s="70"/>
      <c r="DZ13" s="70"/>
      <c r="EA13" s="70"/>
      <c r="EB13" s="70"/>
      <c r="EC13" s="70"/>
      <c r="ED13" s="70"/>
      <c r="EE13" s="70"/>
      <c r="EF13" s="70"/>
      <c r="EG13" s="70"/>
      <c r="EH13" s="70"/>
      <c r="EI13" s="70"/>
      <c r="EJ13" s="70"/>
      <c r="EK13" s="70"/>
      <c r="EL13" s="71"/>
      <c r="EM13" s="71"/>
      <c r="EN13" s="71"/>
      <c r="EO13" s="71"/>
      <c r="EP13" s="71"/>
      <c r="EQ13" s="71"/>
      <c r="ER13" s="71"/>
      <c r="ES13" s="71"/>
      <c r="ET13" s="71"/>
      <c r="EU13" s="71"/>
      <c r="EV13" s="71"/>
      <c r="EW13" s="71"/>
      <c r="EX13" s="71"/>
      <c r="EY13" s="71"/>
      <c r="EZ13" s="71"/>
      <c r="FA13" s="71"/>
      <c r="FB13" s="71"/>
      <c r="FC13" s="71"/>
      <c r="FD13" s="70"/>
      <c r="FE13" s="71"/>
      <c r="FF13" s="71"/>
      <c r="FG13" s="71"/>
      <c r="FH13" s="71"/>
      <c r="FI13" s="71"/>
      <c r="FJ13" s="70"/>
      <c r="FK13" s="71"/>
      <c r="FL13" s="71"/>
      <c r="FM13" s="71"/>
      <c r="FN13" s="71"/>
      <c r="FO13" s="71"/>
      <c r="FP13" s="71"/>
      <c r="FQ13" s="70"/>
      <c r="FR13" s="70"/>
      <c r="FS13" s="70"/>
      <c r="FT13" s="72"/>
      <c r="FU13" s="73"/>
      <c r="FV13" s="73"/>
      <c r="FW13" s="74"/>
      <c r="FX13" s="74"/>
      <c r="FY13" s="72"/>
      <c r="FZ13" s="72"/>
      <c r="GA13" s="73"/>
      <c r="GB13" s="73"/>
      <c r="GC13" s="73"/>
      <c r="GD13" s="75"/>
      <c r="GE13" s="75"/>
      <c r="GF13" s="75"/>
      <c r="GH13" s="76"/>
      <c r="GI13" s="76"/>
      <c r="GL13" s="77"/>
      <c r="GS13" s="77"/>
      <c r="GT13" s="76"/>
      <c r="GV13" s="78"/>
      <c r="GW13" s="77"/>
      <c r="HO13" s="76"/>
      <c r="IA13" s="76"/>
      <c r="IX13" s="76"/>
    </row>
    <row r="14" spans="1:271" s="31" customFormat="1" ht="15.6" x14ac:dyDescent="0.3">
      <c r="A14" s="64"/>
      <c r="B14" s="67"/>
      <c r="C14" s="67"/>
      <c r="D14" s="67"/>
      <c r="E14" s="67"/>
      <c r="F14" s="67"/>
      <c r="G14" s="68"/>
      <c r="H14" s="68"/>
      <c r="I14" s="68"/>
      <c r="J14" s="68"/>
      <c r="K14" s="68"/>
      <c r="L14" s="68"/>
      <c r="M14" s="69"/>
      <c r="N14" s="68"/>
      <c r="O14" s="68"/>
      <c r="P14" s="68"/>
      <c r="Q14" s="68"/>
      <c r="R14" s="68"/>
      <c r="S14" s="68"/>
      <c r="T14" s="68"/>
      <c r="U14" s="68"/>
      <c r="V14" s="68"/>
      <c r="W14" s="68"/>
      <c r="X14" s="68"/>
      <c r="Y14" s="69"/>
      <c r="Z14" s="68"/>
      <c r="AA14" s="68"/>
      <c r="AB14" s="68"/>
      <c r="AC14" s="68"/>
      <c r="AD14" s="68"/>
      <c r="AE14" s="68"/>
      <c r="AF14" s="68"/>
      <c r="AG14" s="68"/>
      <c r="AH14" s="68"/>
      <c r="AI14" s="68"/>
      <c r="AJ14" s="68"/>
      <c r="AK14" s="69"/>
      <c r="AL14" s="68"/>
      <c r="AM14" s="68"/>
      <c r="AN14" s="68"/>
      <c r="AO14" s="68"/>
      <c r="AP14" s="68"/>
      <c r="AQ14" s="68"/>
      <c r="AR14" s="68"/>
      <c r="AS14" s="68"/>
      <c r="AT14" s="68"/>
      <c r="AU14" s="68"/>
      <c r="AV14" s="68"/>
      <c r="AW14" s="69"/>
      <c r="AX14" s="68"/>
      <c r="AY14" s="68"/>
      <c r="AZ14" s="68"/>
      <c r="BA14" s="68"/>
      <c r="BB14" s="68"/>
      <c r="BC14" s="68"/>
      <c r="BD14" s="68"/>
      <c r="BE14" s="68"/>
      <c r="BF14" s="68"/>
      <c r="BG14" s="68"/>
      <c r="BH14" s="68"/>
      <c r="BI14" s="69"/>
      <c r="BJ14" s="68"/>
      <c r="BK14" s="68"/>
      <c r="BL14" s="68"/>
      <c r="BM14" s="68"/>
      <c r="BN14" s="68"/>
      <c r="BO14" s="68"/>
      <c r="BP14" s="68"/>
      <c r="BQ14" s="68"/>
      <c r="BR14" s="68"/>
      <c r="BS14" s="68"/>
      <c r="BT14" s="68"/>
      <c r="BU14" s="69"/>
      <c r="BV14" s="68"/>
      <c r="BW14" s="68"/>
      <c r="BX14" s="68"/>
      <c r="BY14" s="68"/>
      <c r="BZ14" s="68"/>
      <c r="CA14" s="68"/>
      <c r="CB14" s="68"/>
      <c r="CC14" s="68"/>
      <c r="CD14" s="68"/>
      <c r="CE14" s="68"/>
      <c r="CF14" s="68"/>
      <c r="CG14" s="69"/>
      <c r="CH14" s="68"/>
      <c r="CI14" s="68"/>
      <c r="CJ14" s="68"/>
      <c r="CK14" s="68"/>
      <c r="CL14" s="68"/>
      <c r="CM14" s="68"/>
      <c r="CN14" s="68"/>
      <c r="CO14" s="68"/>
      <c r="CP14" s="68"/>
      <c r="CQ14" s="68"/>
      <c r="CR14" s="68"/>
      <c r="CS14" s="69"/>
      <c r="CT14" s="68"/>
      <c r="CU14" s="70"/>
      <c r="CV14" s="70"/>
      <c r="CW14" s="70"/>
      <c r="CX14" s="70"/>
      <c r="CY14" s="70"/>
      <c r="CZ14" s="70"/>
      <c r="DA14" s="70"/>
      <c r="DB14" s="70"/>
      <c r="DC14" s="70"/>
      <c r="DD14" s="70"/>
      <c r="DE14" s="70"/>
      <c r="DF14" s="70"/>
      <c r="DG14" s="70"/>
      <c r="DH14" s="70"/>
      <c r="DI14" s="70"/>
      <c r="DJ14" s="70"/>
      <c r="DK14" s="70"/>
      <c r="DL14" s="70"/>
      <c r="DM14" s="70"/>
      <c r="DN14" s="70"/>
      <c r="DO14" s="70"/>
      <c r="DP14" s="70"/>
      <c r="DQ14" s="70"/>
      <c r="DR14" s="70"/>
      <c r="DS14" s="70"/>
      <c r="DT14" s="70"/>
      <c r="DU14" s="70"/>
      <c r="DV14" s="70"/>
      <c r="DW14" s="70"/>
      <c r="DX14" s="70"/>
      <c r="DY14" s="70"/>
      <c r="DZ14" s="70"/>
      <c r="EA14" s="70"/>
      <c r="EB14" s="70"/>
      <c r="EC14" s="70"/>
      <c r="ED14" s="70"/>
      <c r="EE14" s="70"/>
      <c r="EF14" s="70"/>
      <c r="EG14" s="70"/>
      <c r="EH14" s="70"/>
      <c r="EI14" s="70"/>
      <c r="EJ14" s="70"/>
      <c r="EK14" s="70"/>
      <c r="EL14" s="71"/>
      <c r="EM14" s="71"/>
      <c r="EN14" s="71"/>
      <c r="EO14" s="71"/>
      <c r="EP14" s="71"/>
      <c r="EQ14" s="71"/>
      <c r="ER14" s="71"/>
      <c r="ES14" s="71"/>
      <c r="ET14" s="71"/>
      <c r="EU14" s="71"/>
      <c r="EV14" s="71"/>
      <c r="EW14" s="71"/>
      <c r="EX14" s="71"/>
      <c r="EY14" s="71"/>
      <c r="EZ14" s="71"/>
      <c r="FA14" s="71"/>
      <c r="FB14" s="71"/>
      <c r="FC14" s="71"/>
      <c r="FD14" s="70"/>
      <c r="FE14" s="71"/>
      <c r="FF14" s="71"/>
      <c r="FG14" s="71"/>
      <c r="FH14" s="71"/>
      <c r="FI14" s="71"/>
      <c r="FJ14" s="70"/>
      <c r="FK14" s="71"/>
      <c r="FL14" s="71"/>
      <c r="FM14" s="71"/>
      <c r="FN14" s="71"/>
      <c r="FO14" s="71"/>
      <c r="FP14" s="71"/>
      <c r="FQ14" s="70"/>
      <c r="FR14" s="70"/>
      <c r="FS14" s="70"/>
      <c r="FT14" s="72"/>
      <c r="FU14" s="73"/>
      <c r="FV14" s="73"/>
      <c r="FW14" s="74"/>
      <c r="FX14" s="74"/>
      <c r="FY14" s="72"/>
      <c r="FZ14" s="72"/>
      <c r="GA14" s="73"/>
      <c r="GB14" s="73"/>
      <c r="GC14" s="73"/>
      <c r="GD14" s="75"/>
      <c r="GE14" s="75"/>
      <c r="GF14" s="75"/>
      <c r="GH14" s="76"/>
      <c r="GI14" s="76"/>
      <c r="GL14" s="77"/>
      <c r="GS14" s="77"/>
      <c r="GT14" s="76"/>
      <c r="GV14" s="78"/>
      <c r="GW14" s="77"/>
      <c r="HO14" s="76"/>
      <c r="IA14" s="76"/>
      <c r="IX14" s="76"/>
    </row>
    <row r="15" spans="1:271" s="31" customFormat="1" ht="15.6" x14ac:dyDescent="0.3">
      <c r="A15" s="64"/>
      <c r="B15" s="67"/>
      <c r="C15" s="67"/>
      <c r="D15" s="67"/>
      <c r="E15" s="67"/>
      <c r="F15" s="67"/>
      <c r="G15" s="68"/>
      <c r="H15" s="68"/>
      <c r="I15" s="68"/>
      <c r="J15" s="68"/>
      <c r="K15" s="68"/>
      <c r="L15" s="68"/>
      <c r="M15" s="69"/>
      <c r="N15" s="68"/>
      <c r="O15" s="68"/>
      <c r="P15" s="68"/>
      <c r="Q15" s="68"/>
      <c r="R15" s="68"/>
      <c r="S15" s="68"/>
      <c r="T15" s="68"/>
      <c r="U15" s="68"/>
      <c r="V15" s="68"/>
      <c r="W15" s="68"/>
      <c r="X15" s="68"/>
      <c r="Y15" s="69"/>
      <c r="Z15" s="68"/>
      <c r="AA15" s="68"/>
      <c r="AB15" s="68"/>
      <c r="AC15" s="68"/>
      <c r="AD15" s="68"/>
      <c r="AE15" s="68"/>
      <c r="AF15" s="68"/>
      <c r="AG15" s="68"/>
      <c r="AH15" s="68"/>
      <c r="AI15" s="68"/>
      <c r="AJ15" s="68"/>
      <c r="AK15" s="69"/>
      <c r="AL15" s="68"/>
      <c r="AM15" s="68"/>
      <c r="AN15" s="68"/>
      <c r="AO15" s="68"/>
      <c r="AP15" s="68"/>
      <c r="AQ15" s="68"/>
      <c r="AR15" s="68"/>
      <c r="AS15" s="68"/>
      <c r="AT15" s="68"/>
      <c r="AU15" s="68"/>
      <c r="AV15" s="68"/>
      <c r="AW15" s="69"/>
      <c r="AX15" s="68"/>
      <c r="AY15" s="68"/>
      <c r="AZ15" s="68"/>
      <c r="BA15" s="68"/>
      <c r="BB15" s="68"/>
      <c r="BC15" s="68"/>
      <c r="BD15" s="68"/>
      <c r="BE15" s="68"/>
      <c r="BF15" s="68"/>
      <c r="BG15" s="68"/>
      <c r="BH15" s="68"/>
      <c r="BI15" s="69"/>
      <c r="BJ15" s="68"/>
      <c r="BK15" s="68"/>
      <c r="BL15" s="68"/>
      <c r="BM15" s="68"/>
      <c r="BN15" s="68"/>
      <c r="BO15" s="68"/>
      <c r="BP15" s="68"/>
      <c r="BQ15" s="68"/>
      <c r="BR15" s="68"/>
      <c r="BS15" s="68"/>
      <c r="BT15" s="68"/>
      <c r="BU15" s="69"/>
      <c r="BV15" s="68"/>
      <c r="BW15" s="68"/>
      <c r="BX15" s="68"/>
      <c r="BY15" s="68"/>
      <c r="BZ15" s="68"/>
      <c r="CA15" s="68"/>
      <c r="CB15" s="68"/>
      <c r="CC15" s="68"/>
      <c r="CD15" s="68"/>
      <c r="CE15" s="68"/>
      <c r="CF15" s="68"/>
      <c r="CG15" s="69"/>
      <c r="CH15" s="68"/>
      <c r="CI15" s="68"/>
      <c r="CJ15" s="68"/>
      <c r="CK15" s="68"/>
      <c r="CL15" s="68"/>
      <c r="CM15" s="68"/>
      <c r="CN15" s="68"/>
      <c r="CO15" s="68"/>
      <c r="CP15" s="68"/>
      <c r="CQ15" s="68"/>
      <c r="CR15" s="68"/>
      <c r="CS15" s="69"/>
      <c r="CT15" s="68"/>
      <c r="CU15" s="70"/>
      <c r="CV15" s="70"/>
      <c r="CW15" s="70"/>
      <c r="CX15" s="70"/>
      <c r="CY15" s="70"/>
      <c r="CZ15" s="70"/>
      <c r="DA15" s="70"/>
      <c r="DB15" s="70"/>
      <c r="DC15" s="70"/>
      <c r="DD15" s="70"/>
      <c r="DE15" s="70"/>
      <c r="DF15" s="70"/>
      <c r="DG15" s="70"/>
      <c r="DH15" s="70"/>
      <c r="DI15" s="70"/>
      <c r="DJ15" s="70"/>
      <c r="DK15" s="70"/>
      <c r="DL15" s="70"/>
      <c r="DM15" s="70"/>
      <c r="DN15" s="70"/>
      <c r="DO15" s="70"/>
      <c r="DP15" s="70"/>
      <c r="DQ15" s="70"/>
      <c r="DR15" s="70"/>
      <c r="DS15" s="70"/>
      <c r="DT15" s="70"/>
      <c r="DU15" s="70"/>
      <c r="DV15" s="70"/>
      <c r="DW15" s="70"/>
      <c r="DX15" s="70"/>
      <c r="DY15" s="70"/>
      <c r="DZ15" s="70"/>
      <c r="EA15" s="70"/>
      <c r="EB15" s="70"/>
      <c r="EC15" s="70"/>
      <c r="ED15" s="70"/>
      <c r="EE15" s="70"/>
      <c r="EF15" s="70"/>
      <c r="EG15" s="70"/>
      <c r="EH15" s="70"/>
      <c r="EI15" s="70"/>
      <c r="EJ15" s="70"/>
      <c r="EK15" s="70"/>
      <c r="EL15" s="71"/>
      <c r="EM15" s="71"/>
      <c r="EN15" s="71"/>
      <c r="EO15" s="71"/>
      <c r="EP15" s="71"/>
      <c r="EQ15" s="71"/>
      <c r="ER15" s="71"/>
      <c r="ES15" s="71"/>
      <c r="ET15" s="71"/>
      <c r="EU15" s="71"/>
      <c r="EV15" s="71"/>
      <c r="EW15" s="71"/>
      <c r="EX15" s="71"/>
      <c r="EY15" s="71"/>
      <c r="EZ15" s="71"/>
      <c r="FA15" s="71"/>
      <c r="FB15" s="71"/>
      <c r="FC15" s="71"/>
      <c r="FD15" s="70"/>
      <c r="FE15" s="71"/>
      <c r="FF15" s="71"/>
      <c r="FG15" s="71"/>
      <c r="FH15" s="71"/>
      <c r="FI15" s="71"/>
      <c r="FJ15" s="70"/>
      <c r="FK15" s="71"/>
      <c r="FL15" s="71"/>
      <c r="FM15" s="71"/>
      <c r="FN15" s="71"/>
      <c r="FO15" s="71"/>
      <c r="FP15" s="71"/>
      <c r="FQ15" s="70"/>
      <c r="FR15" s="70"/>
      <c r="FS15" s="70"/>
      <c r="FT15" s="72"/>
      <c r="FU15" s="73"/>
      <c r="FV15" s="73"/>
      <c r="FW15" s="74"/>
      <c r="FX15" s="74"/>
      <c r="FY15" s="72"/>
      <c r="FZ15" s="72"/>
      <c r="GA15" s="73"/>
      <c r="GB15" s="73"/>
      <c r="GC15" s="73"/>
      <c r="GD15" s="75"/>
      <c r="GE15" s="75"/>
      <c r="GF15" s="75"/>
      <c r="GH15" s="76"/>
      <c r="GI15" s="76"/>
      <c r="GL15" s="77"/>
      <c r="GS15" s="77"/>
      <c r="GT15" s="76"/>
      <c r="GV15" s="78"/>
      <c r="GW15" s="77"/>
      <c r="HO15" s="76"/>
      <c r="IA15" s="76"/>
      <c r="IX15" s="76"/>
    </row>
    <row r="16" spans="1:271" s="31" customFormat="1" ht="15.6" x14ac:dyDescent="0.3">
      <c r="A16" s="64"/>
      <c r="B16" s="67"/>
      <c r="C16" s="67"/>
      <c r="D16" s="67"/>
      <c r="E16" s="67"/>
      <c r="F16" s="67"/>
      <c r="G16" s="68"/>
      <c r="H16" s="68"/>
      <c r="I16" s="68"/>
      <c r="J16" s="68"/>
      <c r="K16" s="68"/>
      <c r="L16" s="68"/>
      <c r="M16" s="69"/>
      <c r="N16" s="68"/>
      <c r="O16" s="68"/>
      <c r="P16" s="68"/>
      <c r="Q16" s="68"/>
      <c r="R16" s="68"/>
      <c r="S16" s="68"/>
      <c r="T16" s="68"/>
      <c r="U16" s="68"/>
      <c r="V16" s="68"/>
      <c r="W16" s="68"/>
      <c r="X16" s="68"/>
      <c r="Y16" s="69"/>
      <c r="Z16" s="68"/>
      <c r="AA16" s="68"/>
      <c r="AB16" s="68"/>
      <c r="AC16" s="68"/>
      <c r="AD16" s="68"/>
      <c r="AE16" s="68"/>
      <c r="AF16" s="68"/>
      <c r="AG16" s="68"/>
      <c r="AH16" s="68"/>
      <c r="AI16" s="68"/>
      <c r="AJ16" s="68"/>
      <c r="AK16" s="69"/>
      <c r="AL16" s="68"/>
      <c r="AM16" s="68"/>
      <c r="AN16" s="68"/>
      <c r="AO16" s="68"/>
      <c r="AP16" s="68"/>
      <c r="AQ16" s="68"/>
      <c r="AR16" s="68"/>
      <c r="AS16" s="68"/>
      <c r="AT16" s="68"/>
      <c r="AU16" s="68"/>
      <c r="AV16" s="68"/>
      <c r="AW16" s="69"/>
      <c r="AX16" s="68"/>
      <c r="AY16" s="68"/>
      <c r="AZ16" s="68"/>
      <c r="BA16" s="68"/>
      <c r="BB16" s="68"/>
      <c r="BC16" s="68"/>
      <c r="BD16" s="68"/>
      <c r="BE16" s="68"/>
      <c r="BF16" s="68"/>
      <c r="BG16" s="68"/>
      <c r="BH16" s="68"/>
      <c r="BI16" s="69"/>
      <c r="BJ16" s="68"/>
      <c r="BK16" s="68"/>
      <c r="BL16" s="68"/>
      <c r="BM16" s="68"/>
      <c r="BN16" s="68"/>
      <c r="BO16" s="68"/>
      <c r="BP16" s="68"/>
      <c r="BQ16" s="68"/>
      <c r="BR16" s="68"/>
      <c r="BS16" s="68"/>
      <c r="BT16" s="68"/>
      <c r="BU16" s="69"/>
      <c r="BV16" s="68"/>
      <c r="BW16" s="68"/>
      <c r="BX16" s="68"/>
      <c r="BY16" s="68"/>
      <c r="BZ16" s="68"/>
      <c r="CA16" s="68"/>
      <c r="CB16" s="68"/>
      <c r="CC16" s="68"/>
      <c r="CD16" s="68"/>
      <c r="CE16" s="68"/>
      <c r="CF16" s="68"/>
      <c r="CG16" s="69"/>
      <c r="CH16" s="68"/>
      <c r="CI16" s="68"/>
      <c r="CJ16" s="68"/>
      <c r="CK16" s="68"/>
      <c r="CL16" s="68"/>
      <c r="CM16" s="68"/>
      <c r="CN16" s="68"/>
      <c r="CO16" s="68"/>
      <c r="CP16" s="68"/>
      <c r="CQ16" s="68"/>
      <c r="CR16" s="68"/>
      <c r="CS16" s="69"/>
      <c r="CT16" s="68"/>
      <c r="CU16" s="70"/>
      <c r="CV16" s="70"/>
      <c r="CW16" s="70"/>
      <c r="CX16" s="70"/>
      <c r="CY16" s="70"/>
      <c r="CZ16" s="70"/>
      <c r="DA16" s="70"/>
      <c r="DB16" s="70"/>
      <c r="DC16" s="70"/>
      <c r="DD16" s="70"/>
      <c r="DE16" s="70"/>
      <c r="DF16" s="70"/>
      <c r="DG16" s="70"/>
      <c r="DH16" s="70"/>
      <c r="DI16" s="70"/>
      <c r="DJ16" s="70"/>
      <c r="DK16" s="70"/>
      <c r="DL16" s="70"/>
      <c r="DM16" s="70"/>
      <c r="DN16" s="70"/>
      <c r="DO16" s="70"/>
      <c r="DP16" s="70"/>
      <c r="DQ16" s="70"/>
      <c r="DR16" s="70"/>
      <c r="DS16" s="70"/>
      <c r="DT16" s="70"/>
      <c r="DU16" s="70"/>
      <c r="DV16" s="70"/>
      <c r="DW16" s="70"/>
      <c r="DX16" s="70"/>
      <c r="DY16" s="70"/>
      <c r="DZ16" s="70"/>
      <c r="EA16" s="70"/>
      <c r="EB16" s="70"/>
      <c r="EC16" s="70"/>
      <c r="ED16" s="70"/>
      <c r="EE16" s="70"/>
      <c r="EF16" s="70"/>
      <c r="EG16" s="70"/>
      <c r="EH16" s="70"/>
      <c r="EI16" s="70"/>
      <c r="EJ16" s="70"/>
      <c r="EK16" s="70"/>
      <c r="EL16" s="71"/>
      <c r="EM16" s="71"/>
      <c r="EN16" s="71"/>
      <c r="EO16" s="71"/>
      <c r="EP16" s="71"/>
      <c r="EQ16" s="71"/>
      <c r="ER16" s="71"/>
      <c r="ES16" s="71"/>
      <c r="ET16" s="71"/>
      <c r="EU16" s="71"/>
      <c r="EV16" s="71"/>
      <c r="EW16" s="71"/>
      <c r="EX16" s="71"/>
      <c r="EY16" s="71"/>
      <c r="EZ16" s="71"/>
      <c r="FA16" s="71"/>
      <c r="FB16" s="71"/>
      <c r="FC16" s="71"/>
      <c r="FD16" s="70"/>
      <c r="FE16" s="71"/>
      <c r="FF16" s="71"/>
      <c r="FG16" s="71"/>
      <c r="FH16" s="71"/>
      <c r="FI16" s="71"/>
      <c r="FJ16" s="70"/>
      <c r="FK16" s="71"/>
      <c r="FL16" s="71"/>
      <c r="FM16" s="71"/>
      <c r="FN16" s="71"/>
      <c r="FO16" s="71"/>
      <c r="FP16" s="71"/>
      <c r="FQ16" s="70"/>
      <c r="FR16" s="70"/>
      <c r="FS16" s="70"/>
      <c r="FT16" s="72"/>
      <c r="FU16" s="73"/>
      <c r="FV16" s="73"/>
      <c r="FW16" s="74"/>
      <c r="FX16" s="74"/>
      <c r="FY16" s="72"/>
      <c r="FZ16" s="72"/>
      <c r="GA16" s="73"/>
      <c r="GB16" s="73"/>
      <c r="GC16" s="73"/>
      <c r="GD16" s="75"/>
      <c r="GE16" s="75"/>
      <c r="GF16" s="75"/>
      <c r="GH16" s="76"/>
      <c r="GI16" s="76"/>
      <c r="GL16" s="77"/>
      <c r="GS16" s="77"/>
      <c r="GT16" s="76"/>
      <c r="GV16" s="78"/>
      <c r="GW16" s="77"/>
      <c r="HO16" s="76"/>
      <c r="IA16" s="76"/>
      <c r="IX16" s="76"/>
    </row>
    <row r="17" spans="1:271" s="31" customFormat="1" ht="15.6" x14ac:dyDescent="0.3">
      <c r="A17" s="64"/>
      <c r="B17" s="67"/>
      <c r="C17" s="67"/>
      <c r="D17" s="67"/>
      <c r="E17" s="67"/>
      <c r="F17" s="67"/>
      <c r="G17" s="68"/>
      <c r="H17" s="68"/>
      <c r="I17" s="68"/>
      <c r="J17" s="68"/>
      <c r="K17" s="68"/>
      <c r="L17" s="68"/>
      <c r="M17" s="69"/>
      <c r="N17" s="68"/>
      <c r="O17" s="68"/>
      <c r="P17" s="68"/>
      <c r="Q17" s="68"/>
      <c r="R17" s="68"/>
      <c r="S17" s="68"/>
      <c r="T17" s="68"/>
      <c r="U17" s="68"/>
      <c r="V17" s="68"/>
      <c r="W17" s="68"/>
      <c r="X17" s="68"/>
      <c r="Y17" s="69"/>
      <c r="Z17" s="68"/>
      <c r="AA17" s="68"/>
      <c r="AB17" s="68"/>
      <c r="AC17" s="68"/>
      <c r="AD17" s="68"/>
      <c r="AE17" s="68"/>
      <c r="AF17" s="68"/>
      <c r="AG17" s="68"/>
      <c r="AH17" s="68"/>
      <c r="AI17" s="68"/>
      <c r="AJ17" s="68"/>
      <c r="AK17" s="69"/>
      <c r="AL17" s="68"/>
      <c r="AM17" s="68"/>
      <c r="AN17" s="68"/>
      <c r="AO17" s="68"/>
      <c r="AP17" s="68"/>
      <c r="AQ17" s="68"/>
      <c r="AR17" s="68"/>
      <c r="AS17" s="68"/>
      <c r="AT17" s="68"/>
      <c r="AU17" s="68"/>
      <c r="AV17" s="68"/>
      <c r="AW17" s="69"/>
      <c r="AX17" s="68"/>
      <c r="AY17" s="68"/>
      <c r="AZ17" s="68"/>
      <c r="BA17" s="68"/>
      <c r="BB17" s="68"/>
      <c r="BC17" s="68"/>
      <c r="BD17" s="68"/>
      <c r="BE17" s="68"/>
      <c r="BF17" s="68"/>
      <c r="BG17" s="68"/>
      <c r="BH17" s="68"/>
      <c r="BI17" s="69"/>
      <c r="BJ17" s="68"/>
      <c r="BK17" s="68"/>
      <c r="BL17" s="68"/>
      <c r="BM17" s="68"/>
      <c r="BN17" s="68"/>
      <c r="BO17" s="68"/>
      <c r="BP17" s="68"/>
      <c r="BQ17" s="68"/>
      <c r="BR17" s="68"/>
      <c r="BS17" s="68"/>
      <c r="BT17" s="68"/>
      <c r="BU17" s="69"/>
      <c r="BV17" s="68"/>
      <c r="BW17" s="68"/>
      <c r="BX17" s="68"/>
      <c r="BY17" s="68"/>
      <c r="BZ17" s="68"/>
      <c r="CA17" s="68"/>
      <c r="CB17" s="68"/>
      <c r="CC17" s="68"/>
      <c r="CD17" s="68"/>
      <c r="CE17" s="68"/>
      <c r="CF17" s="68"/>
      <c r="CG17" s="69"/>
      <c r="CH17" s="68"/>
      <c r="CI17" s="68"/>
      <c r="CJ17" s="68"/>
      <c r="CK17" s="68"/>
      <c r="CL17" s="68"/>
      <c r="CM17" s="68"/>
      <c r="CN17" s="68"/>
      <c r="CO17" s="68"/>
      <c r="CP17" s="68"/>
      <c r="CQ17" s="68"/>
      <c r="CR17" s="68"/>
      <c r="CS17" s="69"/>
      <c r="CT17" s="68"/>
      <c r="CU17" s="70"/>
      <c r="CV17" s="70"/>
      <c r="CW17" s="70"/>
      <c r="CX17" s="70"/>
      <c r="CY17" s="70"/>
      <c r="CZ17" s="70"/>
      <c r="DA17" s="70"/>
      <c r="DB17" s="70"/>
      <c r="DC17" s="70"/>
      <c r="DD17" s="70"/>
      <c r="DE17" s="70"/>
      <c r="DF17" s="70"/>
      <c r="DG17" s="70"/>
      <c r="DH17" s="70"/>
      <c r="DI17" s="70"/>
      <c r="DJ17" s="70"/>
      <c r="DK17" s="70"/>
      <c r="DL17" s="70"/>
      <c r="DM17" s="70"/>
      <c r="DN17" s="70"/>
      <c r="DO17" s="70"/>
      <c r="DP17" s="70"/>
      <c r="DQ17" s="70"/>
      <c r="DR17" s="70"/>
      <c r="DS17" s="70"/>
      <c r="DT17" s="70"/>
      <c r="DU17" s="70"/>
      <c r="DV17" s="70"/>
      <c r="DW17" s="70"/>
      <c r="DX17" s="70"/>
      <c r="DY17" s="70"/>
      <c r="DZ17" s="70"/>
      <c r="EA17" s="70"/>
      <c r="EB17" s="70"/>
      <c r="EC17" s="70"/>
      <c r="ED17" s="70"/>
      <c r="EE17" s="70"/>
      <c r="EF17" s="70"/>
      <c r="EG17" s="70"/>
      <c r="EH17" s="70"/>
      <c r="EI17" s="70"/>
      <c r="EJ17" s="70"/>
      <c r="EK17" s="70"/>
      <c r="EL17" s="71"/>
      <c r="EM17" s="71"/>
      <c r="EN17" s="71"/>
      <c r="EO17" s="71"/>
      <c r="EP17" s="71"/>
      <c r="EQ17" s="71"/>
      <c r="ER17" s="71"/>
      <c r="ES17" s="71"/>
      <c r="ET17" s="71"/>
      <c r="EU17" s="71"/>
      <c r="EV17" s="71"/>
      <c r="EW17" s="71"/>
      <c r="EX17" s="71"/>
      <c r="EY17" s="71"/>
      <c r="EZ17" s="71"/>
      <c r="FA17" s="71"/>
      <c r="FB17" s="71"/>
      <c r="FC17" s="71"/>
      <c r="FD17" s="70"/>
      <c r="FE17" s="71"/>
      <c r="FF17" s="71"/>
      <c r="FG17" s="71"/>
      <c r="FH17" s="71"/>
      <c r="FI17" s="71"/>
      <c r="FJ17" s="70"/>
      <c r="FK17" s="71"/>
      <c r="FL17" s="71"/>
      <c r="FM17" s="71"/>
      <c r="FN17" s="71"/>
      <c r="FO17" s="71"/>
      <c r="FP17" s="71"/>
      <c r="FQ17" s="70"/>
      <c r="FR17" s="70"/>
      <c r="FS17" s="70"/>
      <c r="FT17" s="72"/>
      <c r="FU17" s="73"/>
      <c r="FV17" s="73"/>
      <c r="FW17" s="74"/>
      <c r="FX17" s="74"/>
      <c r="FY17" s="72"/>
      <c r="FZ17" s="72"/>
      <c r="GA17" s="73"/>
      <c r="GB17" s="73"/>
      <c r="GC17" s="73"/>
      <c r="GD17" s="75"/>
      <c r="GE17" s="75"/>
      <c r="GF17" s="75"/>
      <c r="GH17" s="76"/>
      <c r="GI17" s="76"/>
      <c r="GL17" s="77"/>
      <c r="GS17" s="77"/>
      <c r="GT17" s="76"/>
      <c r="GV17" s="78"/>
      <c r="GW17" s="77"/>
      <c r="HO17" s="76"/>
      <c r="IA17" s="76"/>
      <c r="IX17" s="76"/>
    </row>
    <row r="18" spans="1:271" s="31" customFormat="1" x14ac:dyDescent="0.3">
      <c r="A18" s="63"/>
    </row>
    <row r="19" spans="1:271" x14ac:dyDescent="0.3">
      <c r="A19" s="64" t="s">
        <v>119</v>
      </c>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c r="CT19" s="66"/>
      <c r="CU19" s="66"/>
      <c r="CV19" s="66"/>
      <c r="CW19" s="66"/>
      <c r="CX19" s="66"/>
      <c r="CY19" s="66"/>
      <c r="CZ19" s="66"/>
      <c r="DA19" s="66"/>
      <c r="DB19" s="66"/>
      <c r="DC19" s="66"/>
      <c r="DD19" s="66"/>
      <c r="DE19" s="66"/>
      <c r="DF19" s="66"/>
      <c r="DG19" s="66"/>
      <c r="DH19" s="66"/>
      <c r="DI19" s="66"/>
      <c r="DJ19" s="66"/>
      <c r="DK19" s="66"/>
      <c r="DL19" s="66"/>
      <c r="DM19" s="66"/>
      <c r="DN19" s="66"/>
      <c r="DO19" s="66"/>
      <c r="DP19" s="66"/>
      <c r="DQ19" s="66"/>
      <c r="DR19" s="66"/>
      <c r="DS19" s="66"/>
      <c r="DT19" s="66"/>
      <c r="DU19" s="66"/>
      <c r="DV19" s="66"/>
      <c r="DW19" s="66"/>
      <c r="DX19" s="66"/>
      <c r="DY19" s="66"/>
      <c r="DZ19" s="66"/>
      <c r="EA19" s="66"/>
      <c r="EB19" s="66"/>
      <c r="EC19" s="66"/>
      <c r="ED19" s="66">
        <v>14.54</v>
      </c>
      <c r="EE19" s="66">
        <v>28.52</v>
      </c>
      <c r="EF19" s="66">
        <v>45.08</v>
      </c>
      <c r="EG19" s="66">
        <v>61.34</v>
      </c>
      <c r="EH19" s="66">
        <v>81.19</v>
      </c>
      <c r="EI19" s="66">
        <v>100.4</v>
      </c>
      <c r="EJ19" s="66">
        <v>122.24000000000001</v>
      </c>
      <c r="EK19" s="66">
        <v>144.96</v>
      </c>
      <c r="EL19" s="66">
        <v>164.34</v>
      </c>
      <c r="EM19" s="66">
        <v>186.31</v>
      </c>
      <c r="EN19" s="66">
        <v>204.98599999999999</v>
      </c>
      <c r="EO19" s="66">
        <v>232.07599999999999</v>
      </c>
      <c r="EP19" s="66">
        <v>234.83600000000004</v>
      </c>
      <c r="EQ19" s="66">
        <v>239.40600000000003</v>
      </c>
      <c r="ER19" s="66">
        <v>242.25600000000003</v>
      </c>
      <c r="ES19" s="66">
        <v>246.37600000000003</v>
      </c>
      <c r="ET19" s="66">
        <v>251.24600000000001</v>
      </c>
      <c r="EU19" s="66">
        <v>256.17599999999999</v>
      </c>
      <c r="EV19" s="66">
        <v>256.47199999999998</v>
      </c>
      <c r="EW19" s="66">
        <v>258.54199999999997</v>
      </c>
      <c r="EX19" s="66">
        <v>262.09199999999998</v>
      </c>
      <c r="EY19" s="66">
        <v>263.322</v>
      </c>
      <c r="EZ19" s="66">
        <v>266.90599999999995</v>
      </c>
      <c r="FA19" s="66">
        <v>269.82600000000002</v>
      </c>
      <c r="FB19" s="66">
        <v>273.75200000000001</v>
      </c>
      <c r="FC19" s="66">
        <v>273.83699999999999</v>
      </c>
      <c r="FD19" s="66">
        <v>276.84699999999998</v>
      </c>
      <c r="FE19" s="66">
        <v>277.98699999999997</v>
      </c>
      <c r="FF19" s="66">
        <v>281.767</v>
      </c>
      <c r="FG19" s="66">
        <v>284.16699999999997</v>
      </c>
      <c r="FH19" s="66">
        <v>287.49099999999999</v>
      </c>
      <c r="FI19" s="66">
        <v>291.11699999999996</v>
      </c>
      <c r="FJ19" s="66">
        <v>294.17700000000002</v>
      </c>
      <c r="FK19" s="66">
        <v>299.17699999999996</v>
      </c>
      <c r="FL19" s="66">
        <v>303.59700000000004</v>
      </c>
      <c r="FM19" s="66">
        <v>307.14699999999999</v>
      </c>
      <c r="FN19" s="66">
        <v>311.02100000000007</v>
      </c>
      <c r="FO19" s="66">
        <v>316.56600000000003</v>
      </c>
      <c r="FP19" s="66">
        <v>322.19600000000003</v>
      </c>
      <c r="FQ19" s="66">
        <v>326.87599999999998</v>
      </c>
      <c r="FR19" s="66">
        <v>333.63599999999997</v>
      </c>
      <c r="FS19" s="66">
        <v>337.89599999999996</v>
      </c>
      <c r="FT19" s="66">
        <v>342.536</v>
      </c>
      <c r="FU19" s="66">
        <v>345.72</v>
      </c>
      <c r="FV19" s="66">
        <v>347.43</v>
      </c>
      <c r="FW19" s="66">
        <v>347.43</v>
      </c>
      <c r="FX19" s="66">
        <v>351.34999999999997</v>
      </c>
      <c r="FY19" s="66">
        <v>350.39</v>
      </c>
      <c r="FZ19" s="66">
        <v>350.18999999999994</v>
      </c>
      <c r="GA19" s="66">
        <v>350.21</v>
      </c>
      <c r="GB19" s="66">
        <v>349.55999999999989</v>
      </c>
      <c r="GC19" s="66">
        <v>350.8599999999999</v>
      </c>
      <c r="GD19" s="66">
        <v>350.4</v>
      </c>
      <c r="GE19" s="66">
        <v>346.6</v>
      </c>
      <c r="GF19" s="66">
        <v>348.7</v>
      </c>
      <c r="GG19" s="66">
        <v>349.9</v>
      </c>
      <c r="GH19" s="66">
        <v>348.7</v>
      </c>
      <c r="GI19" s="66">
        <v>349.9</v>
      </c>
      <c r="GJ19" s="66">
        <v>348.4</v>
      </c>
      <c r="GK19" s="66">
        <v>348.2</v>
      </c>
      <c r="GL19" s="66">
        <v>350.40000000000003</v>
      </c>
      <c r="GM19" s="66">
        <v>351.00000000000006</v>
      </c>
      <c r="GN19" s="66">
        <v>349.70000000000005</v>
      </c>
      <c r="GO19" s="66">
        <v>345.70000000000005</v>
      </c>
      <c r="GP19" s="66">
        <v>345.90000000000003</v>
      </c>
      <c r="GQ19" s="66">
        <v>350.8</v>
      </c>
      <c r="GR19" s="66">
        <v>356.1</v>
      </c>
      <c r="GS19" s="66">
        <v>359.7</v>
      </c>
      <c r="GT19" s="66">
        <v>369.2</v>
      </c>
      <c r="GU19" s="66">
        <v>378.49999999999994</v>
      </c>
      <c r="GV19" s="66">
        <v>386.5</v>
      </c>
      <c r="GW19" s="66">
        <v>397.90000000000003</v>
      </c>
      <c r="GX19" s="66">
        <v>403.20000000000005</v>
      </c>
      <c r="GY19" s="66">
        <v>411.2000000000001</v>
      </c>
      <c r="GZ19" s="66">
        <v>428.60000000000008</v>
      </c>
      <c r="HA19" s="66">
        <v>447.59999999999997</v>
      </c>
      <c r="HB19" s="66">
        <v>455.29999999999995</v>
      </c>
      <c r="HC19" s="66">
        <v>461.09999999999997</v>
      </c>
      <c r="HD19" s="66">
        <v>465.49999999999994</v>
      </c>
      <c r="HE19" s="66">
        <v>472.32999999999993</v>
      </c>
      <c r="HF19" s="66">
        <v>480.43</v>
      </c>
      <c r="HG19" s="66">
        <v>485.63</v>
      </c>
      <c r="HH19" s="66">
        <v>490.03999999999996</v>
      </c>
      <c r="HI19" s="66">
        <v>498.18999999999994</v>
      </c>
      <c r="HJ19" s="66">
        <v>494.84999999999997</v>
      </c>
      <c r="HK19" s="66">
        <v>489.72999999999996</v>
      </c>
      <c r="HL19" s="66">
        <v>478.62</v>
      </c>
      <c r="HM19" s="66">
        <v>474.86</v>
      </c>
      <c r="HN19" s="66">
        <v>471.85</v>
      </c>
      <c r="HO19" s="66">
        <v>472.34</v>
      </c>
      <c r="HP19" s="66">
        <v>472.5</v>
      </c>
      <c r="HQ19" s="66">
        <v>476.85</v>
      </c>
      <c r="HR19" s="66">
        <v>476.40999999999997</v>
      </c>
      <c r="HS19" s="66">
        <v>473.6</v>
      </c>
      <c r="HT19" s="66">
        <v>474.58000000000004</v>
      </c>
      <c r="HU19" s="66">
        <v>475.18</v>
      </c>
      <c r="HV19" s="66">
        <v>484.09999999999997</v>
      </c>
      <c r="HW19" s="66">
        <v>494.12</v>
      </c>
      <c r="HX19" s="66">
        <v>506.22</v>
      </c>
      <c r="HY19" s="66">
        <v>507.31</v>
      </c>
      <c r="HZ19" s="66">
        <v>517.99</v>
      </c>
      <c r="IA19" s="66">
        <v>528.93000000000006</v>
      </c>
      <c r="IB19" s="66">
        <v>537.04</v>
      </c>
      <c r="IC19" s="66">
        <v>537.67999999999995</v>
      </c>
      <c r="ID19" s="66">
        <v>537.12</v>
      </c>
      <c r="IE19" s="66">
        <v>539.03</v>
      </c>
      <c r="IF19" s="66">
        <v>539.74000000000012</v>
      </c>
      <c r="IG19" s="66">
        <v>538.09</v>
      </c>
      <c r="IH19" s="66">
        <v>536.46728677238082</v>
      </c>
      <c r="II19" s="66">
        <v>533.62338555507347</v>
      </c>
      <c r="IJ19" s="66">
        <v>529.4082544672325</v>
      </c>
      <c r="IK19" s="66">
        <v>529.65436211240149</v>
      </c>
      <c r="IL19" s="66">
        <v>523.6557325173834</v>
      </c>
      <c r="IM19" s="66">
        <v>521.13351429633212</v>
      </c>
      <c r="IN19" s="66">
        <v>520.59375919849776</v>
      </c>
      <c r="IO19" s="66">
        <v>521.44852786266006</v>
      </c>
      <c r="IP19" s="66">
        <v>520.58334444268769</v>
      </c>
      <c r="IQ19" s="66">
        <v>524.22649048160906</v>
      </c>
      <c r="IR19" s="66">
        <v>524.91647660087551</v>
      </c>
      <c r="IS19" s="66">
        <v>524.76838580508763</v>
      </c>
      <c r="IT19" s="66">
        <v>527.80401136338196</v>
      </c>
      <c r="IU19" s="66">
        <v>530.61650814302061</v>
      </c>
      <c r="IV19" s="66">
        <v>533.68454885632866</v>
      </c>
      <c r="IW19" s="66">
        <v>536.65647710325322</v>
      </c>
      <c r="IX19" s="66">
        <v>541.7461573677756</v>
      </c>
      <c r="IY19" s="66">
        <v>540.65693426802125</v>
      </c>
      <c r="IZ19" s="66">
        <v>543.79448204992161</v>
      </c>
      <c r="JA19" s="66">
        <v>546.9235983961504</v>
      </c>
      <c r="JB19" s="66"/>
      <c r="JC19" s="66"/>
      <c r="JD19" s="66"/>
      <c r="JE19" s="66"/>
      <c r="JF19" s="66"/>
      <c r="JG19" s="66"/>
      <c r="JH19" s="66"/>
      <c r="JI19" s="66"/>
      <c r="JJ19" s="66"/>
      <c r="JK19" s="66"/>
    </row>
    <row r="21" spans="1:271" ht="16.2" thickBot="1" x14ac:dyDescent="0.35">
      <c r="EN21" s="55">
        <v>42309</v>
      </c>
      <c r="EO21" s="55">
        <v>42339</v>
      </c>
      <c r="EP21" s="55">
        <v>42370</v>
      </c>
      <c r="EQ21" s="55">
        <v>42401</v>
      </c>
      <c r="ER21" s="55">
        <v>42430</v>
      </c>
      <c r="ES21" s="55">
        <v>42461</v>
      </c>
      <c r="ET21" s="55">
        <v>42491</v>
      </c>
      <c r="EU21" s="56">
        <v>42522</v>
      </c>
      <c r="EV21" s="57">
        <v>42552</v>
      </c>
      <c r="EW21" s="55">
        <v>42583</v>
      </c>
      <c r="EX21" s="55">
        <v>42614</v>
      </c>
      <c r="EY21" s="55">
        <v>42644</v>
      </c>
      <c r="EZ21" s="55">
        <v>42675</v>
      </c>
      <c r="FA21" s="55">
        <v>42705</v>
      </c>
      <c r="FB21" s="55">
        <v>42736</v>
      </c>
      <c r="FC21" s="55">
        <v>42767</v>
      </c>
      <c r="FD21" s="55">
        <v>42795</v>
      </c>
      <c r="FE21" s="55">
        <v>42826</v>
      </c>
      <c r="FF21" s="55">
        <v>42856</v>
      </c>
      <c r="FG21" s="56">
        <v>42887</v>
      </c>
      <c r="FH21" s="57">
        <v>42917</v>
      </c>
      <c r="FI21" s="55">
        <v>42948</v>
      </c>
      <c r="FJ21" s="55">
        <v>42979</v>
      </c>
      <c r="FK21" s="55">
        <v>43009</v>
      </c>
      <c r="FL21" s="55">
        <v>43040</v>
      </c>
      <c r="FM21" s="55">
        <v>43070</v>
      </c>
      <c r="FN21" s="55">
        <v>43101</v>
      </c>
      <c r="FO21" s="55">
        <v>43132</v>
      </c>
      <c r="FP21" s="55">
        <v>43160</v>
      </c>
      <c r="FQ21" s="55">
        <v>43191</v>
      </c>
      <c r="FR21" s="55">
        <v>43221</v>
      </c>
      <c r="FS21" s="56">
        <v>43252</v>
      </c>
      <c r="FT21" s="57">
        <v>43282</v>
      </c>
      <c r="FU21" s="55">
        <v>43313</v>
      </c>
      <c r="FV21" s="55">
        <v>43344</v>
      </c>
      <c r="FW21" s="55">
        <v>43374</v>
      </c>
      <c r="FX21" s="55">
        <v>43405</v>
      </c>
      <c r="FY21" s="55">
        <v>43435</v>
      </c>
      <c r="FZ21" s="55">
        <v>43466</v>
      </c>
      <c r="GA21" s="55">
        <v>43497</v>
      </c>
      <c r="GB21" s="55">
        <v>43525</v>
      </c>
      <c r="GC21" s="55">
        <v>43556</v>
      </c>
      <c r="GD21" s="55">
        <v>43586</v>
      </c>
      <c r="GE21" s="55">
        <v>43617</v>
      </c>
      <c r="GF21" s="55">
        <v>43647</v>
      </c>
      <c r="GG21" s="55">
        <v>43678</v>
      </c>
      <c r="GH21" s="55">
        <v>43709</v>
      </c>
      <c r="GI21" s="55">
        <v>43739</v>
      </c>
      <c r="GJ21" s="55">
        <v>43770</v>
      </c>
      <c r="GK21" s="55">
        <v>43800</v>
      </c>
      <c r="GL21" s="55">
        <v>43831</v>
      </c>
      <c r="GM21" s="55">
        <v>43862</v>
      </c>
      <c r="GN21" s="55">
        <v>43891</v>
      </c>
      <c r="GO21" s="55">
        <v>43922</v>
      </c>
      <c r="GP21" s="55">
        <v>43952</v>
      </c>
      <c r="GQ21" s="55">
        <v>43983</v>
      </c>
      <c r="GR21" s="55">
        <v>44013</v>
      </c>
      <c r="GS21" s="55">
        <v>44044</v>
      </c>
      <c r="GT21" s="55">
        <v>44075</v>
      </c>
      <c r="GU21" s="55">
        <v>44105</v>
      </c>
      <c r="GV21" s="55">
        <v>44136</v>
      </c>
      <c r="GW21" s="55">
        <v>44166</v>
      </c>
      <c r="GX21" s="55">
        <v>44197</v>
      </c>
      <c r="GY21" s="55">
        <v>44228</v>
      </c>
      <c r="GZ21" s="55">
        <v>44256</v>
      </c>
      <c r="HA21" s="55">
        <v>44287</v>
      </c>
      <c r="HB21" s="55">
        <v>44317</v>
      </c>
      <c r="HC21" s="55">
        <v>44348</v>
      </c>
      <c r="HD21" s="55">
        <v>44378</v>
      </c>
      <c r="HE21" s="55">
        <v>44409</v>
      </c>
      <c r="HF21" s="55">
        <v>44440</v>
      </c>
      <c r="HG21" s="55">
        <v>44470</v>
      </c>
      <c r="HH21" s="55">
        <v>44501</v>
      </c>
      <c r="HI21" s="55">
        <v>44531</v>
      </c>
      <c r="HJ21" s="55">
        <v>44562</v>
      </c>
      <c r="HK21" s="55">
        <v>44593</v>
      </c>
      <c r="HL21" s="55">
        <v>44621</v>
      </c>
      <c r="HM21" s="55">
        <v>44652</v>
      </c>
      <c r="HN21" s="55">
        <v>44682</v>
      </c>
      <c r="HO21" s="55">
        <v>44713</v>
      </c>
      <c r="HP21" s="55">
        <v>44743</v>
      </c>
      <c r="HQ21" s="55">
        <v>44774</v>
      </c>
      <c r="HR21" s="55">
        <v>44805</v>
      </c>
      <c r="HS21" s="55">
        <v>44835</v>
      </c>
      <c r="HT21" s="55">
        <v>44866</v>
      </c>
      <c r="HU21" s="55">
        <v>44896</v>
      </c>
      <c r="HV21" s="55">
        <v>44927</v>
      </c>
      <c r="HW21" s="55">
        <v>44958</v>
      </c>
      <c r="HX21" s="55">
        <v>44986</v>
      </c>
      <c r="HY21" s="55">
        <v>45017</v>
      </c>
      <c r="HZ21" s="55">
        <v>45047</v>
      </c>
      <c r="IA21" s="55">
        <v>45078</v>
      </c>
      <c r="IB21" s="55">
        <v>45108</v>
      </c>
      <c r="IC21" s="55">
        <v>45139</v>
      </c>
      <c r="ID21" s="55">
        <v>45170</v>
      </c>
      <c r="IE21" s="55">
        <v>45200</v>
      </c>
      <c r="IF21" s="55">
        <v>45231</v>
      </c>
      <c r="IG21" s="55">
        <v>45261</v>
      </c>
      <c r="IH21" s="55">
        <v>45292</v>
      </c>
      <c r="II21" s="55">
        <v>45323</v>
      </c>
      <c r="IJ21" s="55">
        <v>45352</v>
      </c>
      <c r="IK21" s="55">
        <v>45383</v>
      </c>
      <c r="IL21" s="55">
        <v>45413</v>
      </c>
      <c r="IM21" s="55">
        <v>45444</v>
      </c>
      <c r="IN21" s="55">
        <v>45474</v>
      </c>
      <c r="IO21" s="55">
        <v>45505</v>
      </c>
      <c r="IP21" s="55">
        <v>45536</v>
      </c>
      <c r="IQ21" s="55">
        <v>45566</v>
      </c>
      <c r="IR21" s="55">
        <v>45597</v>
      </c>
      <c r="IS21" s="55">
        <v>45627</v>
      </c>
      <c r="IT21" s="55">
        <v>45658</v>
      </c>
      <c r="IU21" s="55">
        <v>45689</v>
      </c>
      <c r="IV21" s="55">
        <v>45717</v>
      </c>
      <c r="IW21" s="55">
        <v>45748</v>
      </c>
      <c r="IX21" s="55">
        <v>45778</v>
      </c>
      <c r="IY21" s="55">
        <v>45809</v>
      </c>
      <c r="IZ21" s="55">
        <v>45839</v>
      </c>
      <c r="JA21" s="55">
        <v>45870</v>
      </c>
      <c r="JB21" s="55">
        <v>45901</v>
      </c>
      <c r="JC21" s="55">
        <v>45931</v>
      </c>
      <c r="JD21" s="55">
        <v>45962</v>
      </c>
    </row>
    <row r="22" spans="1:271" ht="15.6" x14ac:dyDescent="0.3">
      <c r="EM22" t="s">
        <v>86</v>
      </c>
      <c r="EN22" s="51">
        <v>319</v>
      </c>
      <c r="EO22" s="51">
        <v>327.8</v>
      </c>
      <c r="EP22" s="51">
        <v>326.3</v>
      </c>
      <c r="EQ22" s="51">
        <v>328.5</v>
      </c>
      <c r="ER22" s="51">
        <v>317.3</v>
      </c>
      <c r="ES22" s="51">
        <v>322.89999999999998</v>
      </c>
      <c r="ET22" s="51">
        <v>330.7</v>
      </c>
      <c r="EU22" s="51">
        <v>354.9</v>
      </c>
      <c r="EV22" s="51">
        <v>367.4</v>
      </c>
      <c r="EW22" s="51">
        <v>366.3</v>
      </c>
      <c r="EX22" s="51">
        <v>363.7</v>
      </c>
      <c r="EY22" s="51">
        <v>367</v>
      </c>
      <c r="EZ22" s="51">
        <v>360.9</v>
      </c>
      <c r="FA22" s="51">
        <v>378.8</v>
      </c>
      <c r="FB22" s="51">
        <v>380.8</v>
      </c>
      <c r="FC22" s="51">
        <v>377.7</v>
      </c>
      <c r="FD22" s="51">
        <v>366</v>
      </c>
      <c r="FE22" s="51">
        <v>371.7</v>
      </c>
      <c r="FF22" s="51">
        <v>392.3</v>
      </c>
      <c r="FG22" s="51">
        <v>407.9</v>
      </c>
      <c r="FH22" s="52">
        <v>408.9</v>
      </c>
      <c r="FI22" s="51">
        <v>405</v>
      </c>
      <c r="FJ22" s="51">
        <v>403</v>
      </c>
      <c r="FK22" s="51">
        <v>413.6</v>
      </c>
      <c r="FL22" s="51">
        <v>424.8</v>
      </c>
      <c r="FM22" s="52">
        <v>422.6</v>
      </c>
      <c r="FN22" s="51">
        <v>424.1</v>
      </c>
      <c r="FO22" s="51">
        <v>448</v>
      </c>
      <c r="FP22" s="51">
        <v>447.7</v>
      </c>
      <c r="FQ22" s="51">
        <v>445.9</v>
      </c>
      <c r="FR22" s="51">
        <v>441.9</v>
      </c>
      <c r="FS22" s="51">
        <v>468.7</v>
      </c>
      <c r="FT22" s="53">
        <v>476.5</v>
      </c>
      <c r="FU22" s="54">
        <v>475</v>
      </c>
      <c r="FV22" s="54">
        <v>452.2</v>
      </c>
      <c r="FW22">
        <v>457.3</v>
      </c>
      <c r="FX22">
        <v>468.7</v>
      </c>
      <c r="FY22">
        <v>478.5</v>
      </c>
      <c r="FZ22">
        <v>478.9</v>
      </c>
      <c r="GA22">
        <v>473.5</v>
      </c>
      <c r="GB22" s="12">
        <v>465</v>
      </c>
      <c r="GC22" s="12">
        <v>464.2</v>
      </c>
      <c r="GD22">
        <v>468.3</v>
      </c>
      <c r="GE22">
        <v>484.3</v>
      </c>
      <c r="GF22">
        <v>492.9</v>
      </c>
      <c r="GG22">
        <v>491.8</v>
      </c>
      <c r="GH22">
        <v>490.8</v>
      </c>
      <c r="GI22">
        <v>489.3</v>
      </c>
      <c r="GJ22">
        <v>489.5</v>
      </c>
      <c r="GK22">
        <v>487.4</v>
      </c>
      <c r="GL22">
        <v>482.9</v>
      </c>
      <c r="GM22">
        <v>479.8</v>
      </c>
      <c r="GN22">
        <v>457.5</v>
      </c>
      <c r="GO22">
        <v>475.1</v>
      </c>
      <c r="GP22">
        <v>489.6</v>
      </c>
      <c r="GQ22">
        <v>543.79999999999995</v>
      </c>
      <c r="GR22">
        <v>555.9</v>
      </c>
      <c r="GS22">
        <v>556.1</v>
      </c>
      <c r="GT22">
        <v>576.5</v>
      </c>
      <c r="GU22">
        <v>581.6</v>
      </c>
      <c r="GV22">
        <v>590.20000000000005</v>
      </c>
      <c r="GW22">
        <v>675.6</v>
      </c>
      <c r="GX22">
        <v>705.3</v>
      </c>
      <c r="GY22">
        <v>692.4</v>
      </c>
      <c r="GZ22">
        <v>685.7</v>
      </c>
      <c r="HA22">
        <v>679.7</v>
      </c>
      <c r="HB22">
        <v>689.5</v>
      </c>
      <c r="HC22">
        <v>715.2</v>
      </c>
      <c r="HD22">
        <v>704.8</v>
      </c>
      <c r="HE22">
        <v>751.7</v>
      </c>
      <c r="HF22">
        <v>757</v>
      </c>
      <c r="HG22">
        <v>757</v>
      </c>
      <c r="HH22">
        <v>783.9</v>
      </c>
      <c r="HI22">
        <v>817.5</v>
      </c>
      <c r="HJ22">
        <v>856.1</v>
      </c>
      <c r="HK22">
        <v>867.3</v>
      </c>
      <c r="HL22">
        <v>861.4</v>
      </c>
      <c r="HM22" s="12">
        <v>884</v>
      </c>
      <c r="HN22">
        <v>880.4</v>
      </c>
      <c r="HO22">
        <v>871.2</v>
      </c>
      <c r="HP22">
        <v>884.8</v>
      </c>
      <c r="HQ22" s="12">
        <v>871</v>
      </c>
      <c r="HR22">
        <v>895.3</v>
      </c>
      <c r="HS22" s="12">
        <v>877</v>
      </c>
      <c r="HT22">
        <v>866.2</v>
      </c>
      <c r="HU22" s="12">
        <v>868.9</v>
      </c>
      <c r="HV22">
        <v>911.1</v>
      </c>
      <c r="HW22" s="12">
        <v>911.2</v>
      </c>
      <c r="HX22">
        <v>883.7</v>
      </c>
      <c r="HY22" s="12">
        <v>860.5</v>
      </c>
      <c r="HZ22">
        <v>864.8</v>
      </c>
      <c r="IA22" s="12">
        <v>921.4</v>
      </c>
      <c r="IB22">
        <v>945.2</v>
      </c>
      <c r="IC22" s="12">
        <v>920</v>
      </c>
      <c r="ID22">
        <v>886.1</v>
      </c>
      <c r="IE22" s="12">
        <v>891.2</v>
      </c>
      <c r="IF22">
        <v>892</v>
      </c>
      <c r="IG22" s="12">
        <v>901.7</v>
      </c>
      <c r="IH22">
        <v>894.7</v>
      </c>
      <c r="II22" s="12">
        <v>891.4</v>
      </c>
      <c r="IJ22">
        <v>868.7</v>
      </c>
      <c r="IK22" s="12">
        <v>904.8</v>
      </c>
      <c r="IL22">
        <v>893</v>
      </c>
      <c r="IM22" s="12">
        <v>924.3</v>
      </c>
      <c r="IN22">
        <v>909.1</v>
      </c>
      <c r="IO22" s="12">
        <v>905.5</v>
      </c>
      <c r="IP22">
        <v>887.4</v>
      </c>
      <c r="IQ22">
        <v>898.2</v>
      </c>
      <c r="IR22">
        <v>892.2</v>
      </c>
      <c r="IS22">
        <v>889.1</v>
      </c>
      <c r="IT22" s="12">
        <v>878</v>
      </c>
      <c r="IU22">
        <v>865.4</v>
      </c>
      <c r="IV22">
        <v>842.6</v>
      </c>
      <c r="IW22">
        <v>867.6</v>
      </c>
      <c r="IX22">
        <v>871.5</v>
      </c>
      <c r="IY22">
        <v>925.1</v>
      </c>
      <c r="IZ22">
        <v>921</v>
      </c>
      <c r="JA22">
        <v>921.1</v>
      </c>
      <c r="JB22">
        <v>897.2</v>
      </c>
      <c r="JC22">
        <v>939.5</v>
      </c>
      <c r="JD22">
        <v>940.3</v>
      </c>
    </row>
    <row r="23" spans="1:271" ht="15.6" x14ac:dyDescent="0.3">
      <c r="EM23" t="s">
        <v>122</v>
      </c>
      <c r="EN23" s="52">
        <v>8.9</v>
      </c>
      <c r="EO23" s="52">
        <v>8.9</v>
      </c>
      <c r="EP23" s="52">
        <v>8.8000000000000007</v>
      </c>
      <c r="EQ23" s="52">
        <v>7.1</v>
      </c>
      <c r="ER23" s="52">
        <v>6.7</v>
      </c>
      <c r="ES23" s="52">
        <v>6.7</v>
      </c>
      <c r="ET23" s="52">
        <v>6.8</v>
      </c>
      <c r="EU23" s="52">
        <v>7.2</v>
      </c>
      <c r="EV23" s="52">
        <v>7.4</v>
      </c>
      <c r="EW23" s="52">
        <v>7.2</v>
      </c>
      <c r="EX23" s="52">
        <v>6.9</v>
      </c>
      <c r="EY23" s="52">
        <v>7</v>
      </c>
      <c r="EZ23" s="52">
        <v>6.7</v>
      </c>
      <c r="FA23" s="52">
        <v>7.1</v>
      </c>
      <c r="FB23" s="52">
        <v>7.1</v>
      </c>
      <c r="FC23" s="52">
        <v>6.9</v>
      </c>
      <c r="FD23" s="51">
        <v>6.7</v>
      </c>
      <c r="FE23" s="52">
        <v>6.7</v>
      </c>
      <c r="FF23" s="52">
        <v>7.1</v>
      </c>
      <c r="FG23" s="52">
        <v>7.5</v>
      </c>
      <c r="FH23" s="52">
        <v>7.5</v>
      </c>
      <c r="FI23" s="52">
        <v>7.4</v>
      </c>
      <c r="FJ23" s="51">
        <v>7.3</v>
      </c>
      <c r="FK23" s="52">
        <v>7.5</v>
      </c>
      <c r="FL23" s="52">
        <v>7.7</v>
      </c>
      <c r="FM23" s="52">
        <v>7.6</v>
      </c>
      <c r="FN23" s="52">
        <v>7.4</v>
      </c>
      <c r="FO23" s="52">
        <v>7.9</v>
      </c>
      <c r="FP23" s="52">
        <v>7.8</v>
      </c>
      <c r="FQ23" s="51">
        <v>8</v>
      </c>
      <c r="FR23" s="51">
        <v>7.5</v>
      </c>
      <c r="FS23" s="51">
        <v>8</v>
      </c>
      <c r="FT23" s="53">
        <v>8.1999999999999993</v>
      </c>
      <c r="FU23" s="58">
        <v>8.1</v>
      </c>
      <c r="FV23" s="58">
        <v>7.8</v>
      </c>
      <c r="FW23" s="59">
        <v>7.7</v>
      </c>
      <c r="FX23" s="59">
        <v>8.1999999999999993</v>
      </c>
      <c r="FY23" s="53">
        <v>8.4</v>
      </c>
      <c r="FZ23" s="53">
        <v>8.1</v>
      </c>
      <c r="GA23" s="58">
        <v>7.9</v>
      </c>
      <c r="GB23" s="58">
        <v>7.8</v>
      </c>
      <c r="GC23" s="58">
        <v>7.5</v>
      </c>
      <c r="GD23" s="60">
        <v>7.5</v>
      </c>
      <c r="GE23" s="60">
        <v>7.9</v>
      </c>
      <c r="GF23" s="60">
        <v>8</v>
      </c>
      <c r="GG23">
        <v>8.1</v>
      </c>
      <c r="GH23" s="12">
        <v>8</v>
      </c>
      <c r="GI23" s="12">
        <v>7.5</v>
      </c>
      <c r="GJ23">
        <v>7.4</v>
      </c>
      <c r="GK23">
        <v>7.4</v>
      </c>
      <c r="GL23" s="61">
        <v>7.4</v>
      </c>
      <c r="GM23">
        <v>7.4</v>
      </c>
      <c r="GN23">
        <v>7.1</v>
      </c>
      <c r="GO23">
        <v>7.7</v>
      </c>
      <c r="GP23">
        <v>8.1999999999999993</v>
      </c>
      <c r="GQ23">
        <v>9.1999999999999993</v>
      </c>
      <c r="GR23">
        <v>9.5</v>
      </c>
      <c r="GS23" s="61">
        <v>9.6</v>
      </c>
      <c r="GT23" s="12">
        <v>10</v>
      </c>
      <c r="GU23">
        <v>9.6999999999999993</v>
      </c>
      <c r="GV23" s="62">
        <v>10.9</v>
      </c>
      <c r="GW23" s="61">
        <v>12.5</v>
      </c>
      <c r="GX23">
        <v>12</v>
      </c>
      <c r="GY23">
        <v>11.7</v>
      </c>
      <c r="GZ23">
        <v>12.2</v>
      </c>
      <c r="HA23">
        <v>11.9</v>
      </c>
      <c r="HB23">
        <v>14.7</v>
      </c>
      <c r="HC23">
        <v>11.8</v>
      </c>
      <c r="HD23">
        <v>11.5</v>
      </c>
      <c r="HE23">
        <v>12.1</v>
      </c>
      <c r="HF23">
        <v>12.4</v>
      </c>
      <c r="HG23">
        <v>12.8</v>
      </c>
      <c r="HH23">
        <v>13</v>
      </c>
      <c r="HI23">
        <v>13.4</v>
      </c>
      <c r="HJ23">
        <v>13.9</v>
      </c>
      <c r="HK23">
        <v>14.4</v>
      </c>
      <c r="HL23">
        <v>14.5</v>
      </c>
      <c r="HM23">
        <v>14.9</v>
      </c>
      <c r="HN23">
        <v>14.7</v>
      </c>
      <c r="HO23" s="12">
        <v>14.4</v>
      </c>
      <c r="HP23">
        <v>14.4</v>
      </c>
      <c r="HQ23">
        <v>14</v>
      </c>
      <c r="HR23">
        <v>13.7</v>
      </c>
      <c r="HS23">
        <v>13.9</v>
      </c>
      <c r="HT23">
        <v>12.6</v>
      </c>
      <c r="HU23">
        <v>13.4</v>
      </c>
      <c r="HV23">
        <v>12.8</v>
      </c>
      <c r="HW23">
        <v>12.6</v>
      </c>
      <c r="HX23">
        <v>12</v>
      </c>
      <c r="HY23">
        <v>11.4</v>
      </c>
      <c r="HZ23">
        <v>11.5</v>
      </c>
      <c r="IA23" s="12">
        <v>12</v>
      </c>
      <c r="IB23">
        <v>12.3</v>
      </c>
      <c r="IC23">
        <v>11.9</v>
      </c>
      <c r="ID23">
        <v>11.4</v>
      </c>
      <c r="IE23">
        <v>11.4</v>
      </c>
      <c r="IF23">
        <v>11.4</v>
      </c>
      <c r="IG23">
        <v>11.6</v>
      </c>
      <c r="IH23">
        <v>11.5</v>
      </c>
      <c r="II23">
        <v>11.5</v>
      </c>
      <c r="IJ23">
        <v>11.1</v>
      </c>
      <c r="IK23">
        <v>11.6</v>
      </c>
      <c r="IL23">
        <v>11.5</v>
      </c>
      <c r="IM23">
        <v>11.9</v>
      </c>
      <c r="IN23">
        <v>11.5</v>
      </c>
      <c r="IO23">
        <v>10.4</v>
      </c>
      <c r="IP23">
        <v>10.199999999999999</v>
      </c>
      <c r="IQ23">
        <v>10.3</v>
      </c>
      <c r="IR23">
        <v>10.3</v>
      </c>
      <c r="IS23">
        <v>10.199999999999999</v>
      </c>
      <c r="IT23">
        <v>10.1</v>
      </c>
      <c r="IU23">
        <v>9.9</v>
      </c>
      <c r="IV23">
        <v>9.6999999999999993</v>
      </c>
      <c r="IW23">
        <v>10</v>
      </c>
      <c r="IX23" s="12">
        <v>10</v>
      </c>
      <c r="IY23">
        <v>10.6</v>
      </c>
      <c r="IZ23">
        <v>10.7</v>
      </c>
      <c r="JA23">
        <v>10.7</v>
      </c>
      <c r="JB23">
        <v>10.4</v>
      </c>
      <c r="JC23">
        <v>10.9</v>
      </c>
    </row>
    <row r="24" spans="1:271" ht="15.6" x14ac:dyDescent="0.3">
      <c r="EN24" s="52">
        <v>12.4</v>
      </c>
      <c r="EO24" s="52">
        <v>12.5</v>
      </c>
      <c r="EP24" s="52">
        <v>12.6</v>
      </c>
      <c r="EQ24" s="52">
        <v>9.6999999999999993</v>
      </c>
      <c r="ER24" s="52">
        <v>9.3000000000000007</v>
      </c>
      <c r="ES24" s="52">
        <v>9.4</v>
      </c>
      <c r="ET24" s="52">
        <v>9.5</v>
      </c>
      <c r="EU24" s="52">
        <v>10.1</v>
      </c>
      <c r="EV24" s="52">
        <v>10.4</v>
      </c>
      <c r="EW24" s="52">
        <v>10.199999999999999</v>
      </c>
      <c r="EX24" s="52">
        <v>10</v>
      </c>
      <c r="EY24" s="52">
        <v>10</v>
      </c>
      <c r="EZ24" s="52">
        <v>9.6999999999999993</v>
      </c>
      <c r="FA24" s="52">
        <v>10.1</v>
      </c>
      <c r="FB24" s="52">
        <v>10.1</v>
      </c>
      <c r="FC24" s="52">
        <v>9.8000000000000007</v>
      </c>
      <c r="FD24" s="52">
        <v>9.4</v>
      </c>
      <c r="FE24" s="52">
        <v>9.4</v>
      </c>
      <c r="FF24" s="52">
        <v>9.8000000000000007</v>
      </c>
      <c r="FG24" s="52">
        <v>10.1</v>
      </c>
      <c r="FH24" s="52">
        <v>10</v>
      </c>
      <c r="FI24" s="52">
        <v>9.9</v>
      </c>
      <c r="FJ24" s="52">
        <v>9.6999999999999993</v>
      </c>
      <c r="FK24" s="51">
        <v>9.9</v>
      </c>
      <c r="FL24" s="52">
        <v>10.1</v>
      </c>
      <c r="FM24" s="51">
        <v>9.9</v>
      </c>
      <c r="FN24" s="52">
        <v>9.9</v>
      </c>
      <c r="FO24" s="52">
        <v>10.3</v>
      </c>
      <c r="FP24" s="51">
        <v>10.199999999999999</v>
      </c>
      <c r="FQ24" s="51">
        <v>10.1</v>
      </c>
      <c r="FR24" s="52">
        <v>9.9</v>
      </c>
      <c r="FS24" s="52">
        <v>10.4</v>
      </c>
      <c r="FT24" s="58">
        <v>10.5</v>
      </c>
      <c r="FU24" s="53">
        <v>10.3</v>
      </c>
      <c r="FV24" s="58">
        <v>9.6999999999999993</v>
      </c>
      <c r="FW24" s="59">
        <v>9.6999999999999993</v>
      </c>
      <c r="FX24" s="59">
        <v>9.9</v>
      </c>
      <c r="FY24" s="59">
        <v>10</v>
      </c>
      <c r="FZ24" s="81">
        <v>9.9</v>
      </c>
      <c r="GA24" s="81">
        <v>9.6</v>
      </c>
      <c r="GB24" s="59">
        <v>9.4</v>
      </c>
      <c r="GC24" s="59">
        <v>9.3000000000000007</v>
      </c>
      <c r="GD24" s="82">
        <v>9.3000000000000007</v>
      </c>
      <c r="GE24" s="82">
        <v>9.6</v>
      </c>
      <c r="GF24" s="82">
        <v>9.6999999999999993</v>
      </c>
      <c r="GG24">
        <v>9.6</v>
      </c>
      <c r="GH24">
        <v>9.6</v>
      </c>
      <c r="GI24">
        <v>9.5</v>
      </c>
      <c r="GJ24">
        <v>9.6</v>
      </c>
      <c r="GK24">
        <v>9.5</v>
      </c>
      <c r="GL24">
        <v>9.4</v>
      </c>
      <c r="GM24">
        <v>9.4</v>
      </c>
      <c r="GN24" s="12">
        <v>9</v>
      </c>
      <c r="GO24">
        <v>9.4</v>
      </c>
      <c r="GP24">
        <v>9.6999999999999993</v>
      </c>
      <c r="GQ24">
        <v>10.8</v>
      </c>
      <c r="GR24">
        <v>9.6</v>
      </c>
      <c r="GS24">
        <v>9.6999999999999993</v>
      </c>
      <c r="GT24">
        <v>10.1</v>
      </c>
      <c r="GU24">
        <v>9.8000000000000007</v>
      </c>
      <c r="GV24" s="62">
        <v>9</v>
      </c>
      <c r="GW24">
        <v>14.1</v>
      </c>
      <c r="GX24">
        <v>14.8</v>
      </c>
      <c r="GY24">
        <v>14.6</v>
      </c>
      <c r="GZ24">
        <v>14.6</v>
      </c>
      <c r="HA24">
        <v>14.5</v>
      </c>
      <c r="HB24">
        <v>11.6</v>
      </c>
      <c r="HC24">
        <v>15.3</v>
      </c>
      <c r="HD24">
        <v>15</v>
      </c>
      <c r="HE24">
        <v>15.9</v>
      </c>
      <c r="HF24">
        <v>15.9</v>
      </c>
      <c r="HG24" s="62">
        <v>9.3000000000000007</v>
      </c>
      <c r="HH24">
        <v>16.100000000000001</v>
      </c>
      <c r="HI24">
        <v>16.5</v>
      </c>
      <c r="HJ24">
        <v>17</v>
      </c>
      <c r="HK24">
        <v>17.100000000000001</v>
      </c>
      <c r="HL24">
        <v>16.8</v>
      </c>
      <c r="HM24">
        <v>17.100000000000001</v>
      </c>
      <c r="HN24">
        <v>16.8</v>
      </c>
      <c r="HO24">
        <v>16.399999999999999</v>
      </c>
      <c r="HP24">
        <v>16.399999999999999</v>
      </c>
      <c r="HQ24">
        <v>16</v>
      </c>
      <c r="HR24">
        <v>16.2</v>
      </c>
      <c r="HS24">
        <v>15.6</v>
      </c>
      <c r="HT24">
        <v>15.2</v>
      </c>
      <c r="HU24">
        <v>15</v>
      </c>
      <c r="HV24">
        <v>15.4</v>
      </c>
      <c r="HW24">
        <v>15</v>
      </c>
      <c r="HX24">
        <v>14.2</v>
      </c>
      <c r="HY24">
        <v>13.5</v>
      </c>
      <c r="HZ24">
        <v>13.2</v>
      </c>
      <c r="IA24">
        <v>13.8</v>
      </c>
      <c r="IB24">
        <v>13.8</v>
      </c>
      <c r="IC24">
        <v>13.2</v>
      </c>
      <c r="ID24">
        <v>12.4</v>
      </c>
      <c r="IE24">
        <v>12.3</v>
      </c>
      <c r="IF24">
        <v>12.1</v>
      </c>
      <c r="IG24">
        <v>12</v>
      </c>
      <c r="IH24">
        <v>11.8</v>
      </c>
      <c r="II24">
        <v>11.6</v>
      </c>
      <c r="IJ24">
        <v>11.2</v>
      </c>
      <c r="IK24">
        <v>11.6</v>
      </c>
      <c r="IL24">
        <v>11.4</v>
      </c>
      <c r="IM24">
        <v>11.7</v>
      </c>
      <c r="IN24">
        <v>11.5</v>
      </c>
      <c r="IO24">
        <v>11.4</v>
      </c>
      <c r="IP24">
        <v>11.1</v>
      </c>
      <c r="IQ24">
        <v>11.2</v>
      </c>
      <c r="IR24">
        <v>11.1</v>
      </c>
      <c r="IS24">
        <v>11</v>
      </c>
      <c r="IT24">
        <v>10.8</v>
      </c>
      <c r="IU24">
        <v>10.6</v>
      </c>
      <c r="IV24">
        <v>10.199999999999999</v>
      </c>
      <c r="IW24">
        <v>10.5</v>
      </c>
      <c r="IX24">
        <v>10.5</v>
      </c>
      <c r="IY24">
        <v>11</v>
      </c>
      <c r="IZ24">
        <v>10.9</v>
      </c>
      <c r="JA24">
        <v>10.8</v>
      </c>
      <c r="JB24">
        <v>10.4</v>
      </c>
      <c r="JC24">
        <v>10.9</v>
      </c>
      <c r="JD24">
        <v>10.9</v>
      </c>
    </row>
  </sheetData>
  <dataValidations count="1">
    <dataValidation type="textLength" errorStyle="information" allowBlank="1" showInputMessage="1" error="XLBVal:6=0_x000d__x000a_" sqref="DD2:DE17" xr:uid="{1FD1E92C-CEF5-4549-B998-2E40DBDB143C}">
      <formula1>0</formula1>
      <formula2>10000</formula2>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Sheet1</vt:lpstr>
      <vt:lpstr>GDP</vt:lpstr>
      <vt:lpstr>Monthly indicators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Moeaki</dc:creator>
  <cp:lastModifiedBy>Antonio Moeaki</cp:lastModifiedBy>
  <dcterms:created xsi:type="dcterms:W3CDTF">2026-01-06T21:20:46Z</dcterms:created>
  <dcterms:modified xsi:type="dcterms:W3CDTF">2026-01-21T21:12:25Z</dcterms:modified>
</cp:coreProperties>
</file>