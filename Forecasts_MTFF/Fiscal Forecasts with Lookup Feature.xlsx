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8.xml" ContentType="application/vnd.openxmlformats-officedocument.drawingml.chartsha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ownloads\"/>
    </mc:Choice>
  </mc:AlternateContent>
  <xr:revisionPtr revIDLastSave="0" documentId="8_{9388D8F3-DBE0-427D-99F7-D58A5488DA88}" xr6:coauthVersionLast="47" xr6:coauthVersionMax="47" xr10:uidLastSave="{00000000-0000-0000-0000-000000000000}"/>
  <bookViews>
    <workbookView xWindow="-108" yWindow="-108" windowWidth="23256" windowHeight="13896" xr2:uid="{1D72623D-2C3A-4BF7-B5A5-CB8C98201E10}"/>
  </bookViews>
  <sheets>
    <sheet name="Charts" sheetId="29" r:id="rId1"/>
    <sheet name="Lookup" sheetId="16" r:id="rId2"/>
    <sheet name="FY2018" sheetId="4" r:id="rId3"/>
    <sheet name="FY2019" sheetId="5" r:id="rId4"/>
    <sheet name="FY2020" sheetId="6" r:id="rId5"/>
    <sheet name="FY2021" sheetId="8" r:id="rId6"/>
    <sheet name="FY2022" sheetId="11" r:id="rId7"/>
    <sheet name="FY2023" sheetId="12" r:id="rId8"/>
    <sheet name="FY2024" sheetId="13" r:id="rId9"/>
    <sheet name="FY2025" sheetId="15" r:id="rId10"/>
    <sheet name="FY2026" sheetId="17" r:id="rId11"/>
    <sheet name="Non-Grant Revenue" sheetId="28" r:id="rId12"/>
    <sheet name="GDP" sheetId="24" r:id="rId13"/>
  </sheets>
  <definedNames>
    <definedName name="_xlchart.v1.0" hidden="1">Charts!$A$1</definedName>
    <definedName name="_xlchart.v1.1" hidden="1">Lookup!$A$145</definedName>
    <definedName name="_xlchart.v1.2" hidden="1">Lookup!$A$146</definedName>
    <definedName name="_xlchart.v1.3" hidden="1">Lookup!$A$147</definedName>
    <definedName name="_xlchart.v1.4" hidden="1">Lookup!$F$145:$L$145</definedName>
    <definedName name="_xlchart.v1.5" hidden="1">Lookup!$F$146:$P$146</definedName>
    <definedName name="_xlchart.v1.6" hidden="1">Lookup!$F$147:$P$147</definedName>
    <definedName name="ExternalData_1" localSheetId="6" hidden="1">'FY2022'!$A$1:$F$31</definedName>
    <definedName name="ExternalData_1" localSheetId="7" hidden="1">'FY2023'!$A$65:$F$73</definedName>
    <definedName name="ExternalData_1" localSheetId="8" hidden="1">'FY2024'!$A$45:$F$56</definedName>
    <definedName name="ExternalData_1" localSheetId="10" hidden="1">'FY2026'!$A$1:$F$48</definedName>
    <definedName name="ExternalData_2" localSheetId="2" hidden="1">'FY2018'!$A$1:$G$53</definedName>
    <definedName name="ExternalData_2" localSheetId="6" hidden="1">'FY2022'!$A$36:$F$45</definedName>
    <definedName name="ExternalData_2" localSheetId="7" hidden="1">'FY2023'!$A$1:$F$26</definedName>
    <definedName name="ExternalData_3" localSheetId="3" hidden="1">'FY2019'!$A$1:$F$58</definedName>
    <definedName name="ExternalData_3" localSheetId="6" hidden="1">'FY2022'!$A$50:$F$60</definedName>
    <definedName name="ExternalData_3" localSheetId="8" hidden="1">'FY2024'!$A$1:$F$24</definedName>
    <definedName name="ExternalData_4" localSheetId="4" hidden="1">'FY2020'!$A$1:$F$46</definedName>
    <definedName name="ExternalData_4" localSheetId="8" hidden="1">'FY2024'!$A$30:$F$41</definedName>
    <definedName name="ExternalData_5" localSheetId="5" hidden="1">'FY2021'!$A$1:$F$55</definedName>
    <definedName name="ExternalData_5" localSheetId="7" hidden="1">'FY2023'!$A$34:$F$42</definedName>
    <definedName name="ExternalData_5" localSheetId="8" hidden="1">'FY2024'!$A$60:$F$68</definedName>
    <definedName name="ExternalData_6" localSheetId="7" hidden="1">'FY2023'!$A$44:$F$53</definedName>
    <definedName name="ExternalData_7" localSheetId="7" hidden="1">'FY2023'!$A$55:$F$61</definedName>
    <definedName name="ExternalData_9" localSheetId="7" hidden="1">'FY2023'!$A$76:$F$83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16" l="1"/>
  <c r="A2" i="16" l="1"/>
  <c r="P16" i="16" l="1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P57" i="28"/>
  <c r="M54" i="28"/>
  <c r="L54" i="28"/>
  <c r="K54" i="28"/>
  <c r="L53" i="28"/>
  <c r="I50" i="28"/>
  <c r="H50" i="28"/>
  <c r="G50" i="28"/>
  <c r="H49" i="28"/>
  <c r="A48" i="28"/>
  <c r="N41" i="28"/>
  <c r="N56" i="28" s="1"/>
  <c r="M41" i="28"/>
  <c r="M56" i="28" s="1"/>
  <c r="L41" i="28"/>
  <c r="K41" i="28"/>
  <c r="M39" i="28"/>
  <c r="L39" i="28"/>
  <c r="K39" i="28"/>
  <c r="J39" i="28"/>
  <c r="J37" i="28"/>
  <c r="J52" i="28" s="1"/>
  <c r="I37" i="28"/>
  <c r="I52" i="28" s="1"/>
  <c r="H37" i="28"/>
  <c r="G37" i="28"/>
  <c r="I35" i="28"/>
  <c r="H35" i="28"/>
  <c r="G35" i="28"/>
  <c r="F35" i="28"/>
  <c r="L30" i="28"/>
  <c r="I30" i="28"/>
  <c r="H30" i="28"/>
  <c r="G30" i="28"/>
  <c r="L27" i="28" a="1"/>
  <c r="L27" i="28"/>
  <c r="K26" i="28" a="1"/>
  <c r="K26" i="28"/>
  <c r="K30" i="28" s="1"/>
  <c r="J25" i="28" a="1"/>
  <c r="J25" i="28"/>
  <c r="J30" i="28" s="1"/>
  <c r="I24" i="28" a="1"/>
  <c r="I24" i="28" s="1"/>
  <c r="H23" i="28" a="1"/>
  <c r="H23" i="28"/>
  <c r="G22" i="28" a="1"/>
  <c r="G22" i="28"/>
  <c r="F21" i="28" a="1"/>
  <c r="F21" i="28"/>
  <c r="F30" i="28" s="1"/>
  <c r="E20" i="28" a="1"/>
  <c r="E20" i="28" s="1"/>
  <c r="E30" i="28" s="1"/>
  <c r="D19" i="28" a="1"/>
  <c r="D19" i="28"/>
  <c r="L15" i="28"/>
  <c r="L45" i="28" s="1"/>
  <c r="H15" i="28"/>
  <c r="H45" i="28" s="1"/>
  <c r="G15" i="28"/>
  <c r="G45" i="28" s="1"/>
  <c r="A30" i="28"/>
  <c r="A45" i="28" s="1"/>
  <c r="L12" i="28" a="1"/>
  <c r="P42" i="28" s="1"/>
  <c r="L12" i="28"/>
  <c r="L42" i="28" s="1"/>
  <c r="K11" i="28" a="1"/>
  <c r="O41" i="28" s="1"/>
  <c r="O56" i="28" s="1"/>
  <c r="K11" i="28"/>
  <c r="K15" i="28" s="1"/>
  <c r="K45" i="28" s="1"/>
  <c r="J10" i="28" a="1"/>
  <c r="I9" i="28" a="1"/>
  <c r="I9" i="28" s="1"/>
  <c r="I39" i="28" s="1"/>
  <c r="H8" i="28" a="1"/>
  <c r="L38" i="28" s="1"/>
  <c r="H8" i="28"/>
  <c r="H38" i="28" s="1"/>
  <c r="G7" i="28" a="1"/>
  <c r="K37" i="28" s="1"/>
  <c r="K52" i="28" s="1"/>
  <c r="G7" i="28"/>
  <c r="F6" i="28" a="1"/>
  <c r="F6" i="28"/>
  <c r="E5" i="28" a="1"/>
  <c r="E5" i="28" s="1"/>
  <c r="E15" i="28" s="1"/>
  <c r="E45" i="28" s="1"/>
  <c r="D4" i="28" a="1"/>
  <c r="H34" i="28" s="1"/>
  <c r="D4" i="28"/>
  <c r="D34" i="28" s="1"/>
  <c r="I8" i="16" a="1"/>
  <c r="I8" i="16" s="1"/>
  <c r="I14" i="16" s="1"/>
  <c r="I84" i="16" s="1"/>
  <c r="L11" i="16" a="1"/>
  <c r="L11" i="16" s="1"/>
  <c r="L14" i="16" s="1"/>
  <c r="K10" i="16" a="1"/>
  <c r="K10" i="16" s="1"/>
  <c r="K14" i="16" s="1"/>
  <c r="K84" i="16" s="1"/>
  <c r="J8" i="24"/>
  <c r="I7" i="24"/>
  <c r="H7" i="24"/>
  <c r="G7" i="24"/>
  <c r="F7" i="24"/>
  <c r="E7" i="24"/>
  <c r="F4" i="24"/>
  <c r="E4" i="24"/>
  <c r="D4" i="24"/>
  <c r="C4" i="24"/>
  <c r="B4" i="24"/>
  <c r="D2" i="24"/>
  <c r="C2" i="24"/>
  <c r="B2" i="24"/>
  <c r="B72" i="16"/>
  <c r="B3" i="28" s="1"/>
  <c r="C72" i="16"/>
  <c r="C3" i="28" s="1"/>
  <c r="D72" i="16"/>
  <c r="D3" i="28" s="1"/>
  <c r="E72" i="16"/>
  <c r="E3" i="28" s="1"/>
  <c r="F72" i="16"/>
  <c r="F3" i="28" s="1"/>
  <c r="G72" i="16"/>
  <c r="G3" i="28" s="1"/>
  <c r="H72" i="16"/>
  <c r="H3" i="28" s="1"/>
  <c r="I72" i="16"/>
  <c r="I3" i="28" s="1"/>
  <c r="J72" i="16"/>
  <c r="J3" i="28" s="1"/>
  <c r="K72" i="16"/>
  <c r="K3" i="28" s="1"/>
  <c r="L72" i="16"/>
  <c r="L3" i="28" s="1"/>
  <c r="M72" i="16"/>
  <c r="M3" i="28" s="1"/>
  <c r="N72" i="16"/>
  <c r="N3" i="28" s="1"/>
  <c r="O72" i="16"/>
  <c r="O3" i="28" s="1"/>
  <c r="P72" i="16"/>
  <c r="P3" i="28" s="1"/>
  <c r="A73" i="16"/>
  <c r="A4" i="28" s="1"/>
  <c r="A19" i="28" s="1"/>
  <c r="A34" i="28" s="1"/>
  <c r="A74" i="16"/>
  <c r="A5" i="28" s="1"/>
  <c r="A20" i="28" s="1"/>
  <c r="A35" i="28" s="1"/>
  <c r="A75" i="16"/>
  <c r="A6" i="28" s="1"/>
  <c r="A21" i="28" s="1"/>
  <c r="A36" i="28" s="1"/>
  <c r="A76" i="16"/>
  <c r="A7" i="28" s="1"/>
  <c r="A22" i="28" s="1"/>
  <c r="A37" i="28" s="1"/>
  <c r="A77" i="16"/>
  <c r="A8" i="28" s="1"/>
  <c r="A23" i="28" s="1"/>
  <c r="A38" i="28" s="1"/>
  <c r="A78" i="16"/>
  <c r="A9" i="28" s="1"/>
  <c r="A24" i="28" s="1"/>
  <c r="A39" i="28" s="1"/>
  <c r="A79" i="16"/>
  <c r="A10" i="28" s="1"/>
  <c r="A25" i="28" s="1"/>
  <c r="A40" i="28" s="1"/>
  <c r="A80" i="16"/>
  <c r="A11" i="28" s="1"/>
  <c r="A26" i="28" s="1"/>
  <c r="A41" i="28" s="1"/>
  <c r="A81" i="16"/>
  <c r="A12" i="28" s="1"/>
  <c r="A27" i="28" s="1"/>
  <c r="A42" i="28" s="1"/>
  <c r="A72" i="16"/>
  <c r="B26" i="16"/>
  <c r="B40" i="16" s="1"/>
  <c r="C26" i="16"/>
  <c r="C40" i="16" s="1"/>
  <c r="D26" i="16"/>
  <c r="D40" i="16" s="1"/>
  <c r="E26" i="16"/>
  <c r="E40" i="16" s="1"/>
  <c r="F26" i="16"/>
  <c r="F40" i="16" s="1"/>
  <c r="G26" i="16"/>
  <c r="G40" i="16" s="1"/>
  <c r="H26" i="16"/>
  <c r="H40" i="16" s="1"/>
  <c r="I26" i="16"/>
  <c r="I40" i="16" s="1"/>
  <c r="J26" i="16"/>
  <c r="J40" i="16" s="1"/>
  <c r="K26" i="16"/>
  <c r="K40" i="16" s="1"/>
  <c r="L26" i="16"/>
  <c r="L40" i="16" s="1"/>
  <c r="M26" i="16"/>
  <c r="M40" i="16" s="1"/>
  <c r="N26" i="16"/>
  <c r="N40" i="16" s="1"/>
  <c r="O26" i="16"/>
  <c r="O40" i="16" s="1"/>
  <c r="P26" i="16"/>
  <c r="P40" i="16" s="1"/>
  <c r="A27" i="16"/>
  <c r="A28" i="16"/>
  <c r="A29" i="16"/>
  <c r="A30" i="16"/>
  <c r="A31" i="16"/>
  <c r="A32" i="16"/>
  <c r="A33" i="16"/>
  <c r="A34" i="16"/>
  <c r="A35" i="16"/>
  <c r="A38" i="16"/>
  <c r="A26" i="16"/>
  <c r="A63" i="16"/>
  <c r="A60" i="16"/>
  <c r="A59" i="16"/>
  <c r="A58" i="16"/>
  <c r="A57" i="16"/>
  <c r="A56" i="16"/>
  <c r="A55" i="16"/>
  <c r="A54" i="16"/>
  <c r="A53" i="16"/>
  <c r="A52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H7" i="16" a="1"/>
  <c r="H7" i="16" s="1"/>
  <c r="H14" i="16" s="1"/>
  <c r="H84" i="16" s="1"/>
  <c r="J9" i="16" a="1"/>
  <c r="J9" i="16" s="1"/>
  <c r="J14" i="16" s="1"/>
  <c r="J84" i="16" s="1"/>
  <c r="F41" i="13" a="1"/>
  <c r="F41" i="13" s="1"/>
  <c r="G6" i="16" a="1"/>
  <c r="G6" i="16" s="1"/>
  <c r="G14" i="16" s="1"/>
  <c r="G84" i="16" s="1"/>
  <c r="F5" i="16" a="1"/>
  <c r="F5" i="16" s="1"/>
  <c r="F14" i="16" s="1"/>
  <c r="F84" i="16" s="1"/>
  <c r="E4" i="16" a="1"/>
  <c r="E4" i="16" s="1"/>
  <c r="E14" i="16" s="1"/>
  <c r="D3" i="16" a="1"/>
  <c r="D3" i="16" s="1"/>
  <c r="H13" i="17"/>
  <c r="I13" i="17"/>
  <c r="J13" i="17"/>
  <c r="K13" i="17"/>
  <c r="H14" i="17"/>
  <c r="I14" i="17"/>
  <c r="J14" i="17"/>
  <c r="K14" i="17"/>
  <c r="H15" i="17"/>
  <c r="I15" i="17"/>
  <c r="J15" i="17"/>
  <c r="K15" i="17"/>
  <c r="H16" i="17"/>
  <c r="I16" i="17"/>
  <c r="J16" i="17"/>
  <c r="K16" i="17"/>
  <c r="H17" i="17"/>
  <c r="I17" i="17"/>
  <c r="J17" i="17"/>
  <c r="K17" i="17"/>
  <c r="H18" i="17"/>
  <c r="I18" i="17"/>
  <c r="J18" i="17"/>
  <c r="K18" i="17"/>
  <c r="H19" i="17"/>
  <c r="I19" i="17"/>
  <c r="J19" i="17"/>
  <c r="K19" i="17"/>
  <c r="H20" i="17"/>
  <c r="I20" i="17"/>
  <c r="J20" i="17"/>
  <c r="K20" i="17"/>
  <c r="H21" i="17"/>
  <c r="I21" i="17"/>
  <c r="J21" i="17"/>
  <c r="K21" i="17"/>
  <c r="H22" i="17"/>
  <c r="I22" i="17"/>
  <c r="J22" i="17"/>
  <c r="K22" i="17"/>
  <c r="H23" i="17"/>
  <c r="I23" i="17"/>
  <c r="J23" i="17"/>
  <c r="K23" i="17"/>
  <c r="H24" i="17"/>
  <c r="I24" i="17"/>
  <c r="J24" i="17"/>
  <c r="K24" i="17"/>
  <c r="H25" i="17"/>
  <c r="I25" i="17"/>
  <c r="J25" i="17"/>
  <c r="K25" i="17"/>
  <c r="H26" i="17"/>
  <c r="I26" i="17"/>
  <c r="J26" i="17"/>
  <c r="K26" i="17"/>
  <c r="H3" i="17"/>
  <c r="I3" i="17"/>
  <c r="J3" i="17"/>
  <c r="K3" i="17"/>
  <c r="H4" i="17"/>
  <c r="I4" i="17"/>
  <c r="J4" i="17"/>
  <c r="K4" i="17"/>
  <c r="H5" i="17"/>
  <c r="I5" i="17"/>
  <c r="J5" i="17"/>
  <c r="K5" i="17"/>
  <c r="H6" i="17"/>
  <c r="I6" i="17"/>
  <c r="J6" i="17"/>
  <c r="K6" i="17"/>
  <c r="H7" i="17"/>
  <c r="I7" i="17"/>
  <c r="J7" i="17"/>
  <c r="K7" i="17"/>
  <c r="I8" i="17"/>
  <c r="J8" i="17"/>
  <c r="K8" i="17"/>
  <c r="H9" i="17"/>
  <c r="I9" i="17"/>
  <c r="J9" i="17"/>
  <c r="K9" i="17"/>
  <c r="H10" i="17"/>
  <c r="I10" i="17"/>
  <c r="J10" i="17"/>
  <c r="K10" i="17"/>
  <c r="H11" i="17"/>
  <c r="I11" i="17"/>
  <c r="J11" i="17"/>
  <c r="K11" i="17"/>
  <c r="H12" i="17"/>
  <c r="I12" i="17"/>
  <c r="J12" i="17"/>
  <c r="K12" i="17"/>
  <c r="J2" i="17"/>
  <c r="K2" i="17"/>
  <c r="I2" i="17"/>
  <c r="H2" i="17"/>
  <c r="L84" i="16" l="1"/>
  <c r="L104" i="16"/>
  <c r="L118" i="16" s="1"/>
  <c r="L125" i="16" s="1"/>
  <c r="F63" i="16"/>
  <c r="K63" i="16"/>
  <c r="L63" i="16"/>
  <c r="J63" i="16"/>
  <c r="I63" i="16"/>
  <c r="H63" i="16"/>
  <c r="G63" i="16"/>
  <c r="K102" i="16"/>
  <c r="K116" i="16" s="1"/>
  <c r="K123" i="16" s="1"/>
  <c r="L102" i="16"/>
  <c r="L116" i="16" s="1"/>
  <c r="L123" i="16" s="1"/>
  <c r="J103" i="16"/>
  <c r="J117" i="16" s="1"/>
  <c r="J124" i="16" s="1"/>
  <c r="E102" i="16"/>
  <c r="E116" i="16" s="1"/>
  <c r="E123" i="16" s="1"/>
  <c r="G104" i="16"/>
  <c r="G118" i="16" s="1"/>
  <c r="G125" i="16" s="1"/>
  <c r="H104" i="16"/>
  <c r="H118" i="16" s="1"/>
  <c r="H125" i="16" s="1"/>
  <c r="I104" i="16"/>
  <c r="J104" i="16"/>
  <c r="J118" i="16" s="1"/>
  <c r="J125" i="16" s="1"/>
  <c r="H102" i="16"/>
  <c r="H116" i="16" s="1"/>
  <c r="H123" i="16" s="1"/>
  <c r="I102" i="16"/>
  <c r="J102" i="16"/>
  <c r="J116" i="16" s="1"/>
  <c r="J123" i="16" s="1"/>
  <c r="K104" i="16"/>
  <c r="K118" i="16" s="1"/>
  <c r="K125" i="16" s="1"/>
  <c r="F103" i="16"/>
  <c r="F117" i="16" s="1"/>
  <c r="G103" i="16"/>
  <c r="G117" i="16" s="1"/>
  <c r="G124" i="16" s="1"/>
  <c r="H105" i="16"/>
  <c r="H119" i="16" s="1"/>
  <c r="H126" i="16" s="1"/>
  <c r="H103" i="16"/>
  <c r="H117" i="16" s="1"/>
  <c r="H124" i="16" s="1"/>
  <c r="I105" i="16"/>
  <c r="I103" i="16"/>
  <c r="F102" i="16"/>
  <c r="F116" i="16" s="1"/>
  <c r="F123" i="16" s="1"/>
  <c r="K103" i="16"/>
  <c r="K117" i="16" s="1"/>
  <c r="K124" i="16" s="1"/>
  <c r="L105" i="16"/>
  <c r="L119" i="16" s="1"/>
  <c r="L126" i="16" s="1"/>
  <c r="J105" i="16"/>
  <c r="J119" i="16" s="1"/>
  <c r="J126" i="16" s="1"/>
  <c r="K105" i="16"/>
  <c r="K119" i="16" s="1"/>
  <c r="K126" i="16" s="1"/>
  <c r="G102" i="16"/>
  <c r="G116" i="16" s="1"/>
  <c r="G123" i="16" s="1"/>
  <c r="L103" i="16"/>
  <c r="L117" i="16" s="1"/>
  <c r="L124" i="16" s="1"/>
  <c r="K17" i="16"/>
  <c r="J17" i="16"/>
  <c r="L17" i="16"/>
  <c r="M17" i="16"/>
  <c r="N17" i="16"/>
  <c r="F18" i="16"/>
  <c r="G18" i="16"/>
  <c r="H18" i="16"/>
  <c r="F17" i="16"/>
  <c r="I18" i="16"/>
  <c r="G17" i="16"/>
  <c r="J18" i="16"/>
  <c r="H17" i="16"/>
  <c r="K18" i="16"/>
  <c r="I17" i="16"/>
  <c r="L18" i="16"/>
  <c r="K69" i="28"/>
  <c r="K60" i="28"/>
  <c r="K71" i="28"/>
  <c r="N40" i="28"/>
  <c r="N55" i="28" s="1"/>
  <c r="M40" i="28"/>
  <c r="M55" i="28" s="1"/>
  <c r="L40" i="28"/>
  <c r="K40" i="28"/>
  <c r="K68" i="28" s="1"/>
  <c r="J36" i="28"/>
  <c r="J51" i="28" s="1"/>
  <c r="I36" i="28"/>
  <c r="I51" i="28" s="1"/>
  <c r="H36" i="28"/>
  <c r="H51" i="28" s="1"/>
  <c r="G36" i="28"/>
  <c r="G68" i="28" s="1"/>
  <c r="G69" i="28"/>
  <c r="G70" i="28"/>
  <c r="H71" i="28"/>
  <c r="H68" i="28"/>
  <c r="H70" i="28"/>
  <c r="H60" i="28"/>
  <c r="I15" i="28"/>
  <c r="I45" i="28" s="1"/>
  <c r="G60" i="28"/>
  <c r="F15" i="28"/>
  <c r="F45" i="28" s="1"/>
  <c r="F36" i="28"/>
  <c r="J10" i="28"/>
  <c r="L60" i="28"/>
  <c r="L70" i="28"/>
  <c r="L71" i="28"/>
  <c r="L68" i="28"/>
  <c r="E35" i="28"/>
  <c r="E34" i="28"/>
  <c r="E68" i="28" s="1"/>
  <c r="I38" i="28"/>
  <c r="M42" i="28"/>
  <c r="F34" i="28"/>
  <c r="F49" i="28" s="1"/>
  <c r="J38" i="28"/>
  <c r="J53" i="28" s="1"/>
  <c r="N42" i="28"/>
  <c r="N57" i="28" s="1"/>
  <c r="G34" i="28"/>
  <c r="G49" i="28" s="1"/>
  <c r="K38" i="28"/>
  <c r="K53" i="28" s="1"/>
  <c r="O42" i="28"/>
  <c r="O57" i="28" s="1"/>
  <c r="F73" i="16"/>
  <c r="F145" i="16" s="1"/>
  <c r="G28" i="16"/>
  <c r="G41" i="16" s="1"/>
  <c r="M80" i="16"/>
  <c r="N80" i="16"/>
  <c r="O80" i="16"/>
  <c r="H28" i="16"/>
  <c r="F38" i="16"/>
  <c r="I30" i="16"/>
  <c r="I41" i="16" s="1"/>
  <c r="I76" i="16"/>
  <c r="I145" i="16" s="1"/>
  <c r="N35" i="16"/>
  <c r="N41" i="16" s="1"/>
  <c r="J76" i="16"/>
  <c r="J146" i="16" s="1"/>
  <c r="K76" i="16"/>
  <c r="K147" i="16" s="1"/>
  <c r="P35" i="16"/>
  <c r="L38" i="16"/>
  <c r="N81" i="16"/>
  <c r="O35" i="16"/>
  <c r="F27" i="16"/>
  <c r="F41" i="16" s="1"/>
  <c r="O81" i="16"/>
  <c r="H27" i="16"/>
  <c r="P81" i="16"/>
  <c r="G27" i="16"/>
  <c r="K32" i="16"/>
  <c r="K41" i="16" s="1"/>
  <c r="I28" i="16"/>
  <c r="M32" i="16"/>
  <c r="G73" i="16"/>
  <c r="G146" i="16" s="1"/>
  <c r="H29" i="16"/>
  <c r="H41" i="16" s="1"/>
  <c r="L33" i="16"/>
  <c r="L41" i="16" s="1"/>
  <c r="K38" i="16"/>
  <c r="I29" i="16"/>
  <c r="M33" i="16"/>
  <c r="J38" i="16"/>
  <c r="H74" i="16"/>
  <c r="H146" i="16" s="1"/>
  <c r="L78" i="16"/>
  <c r="L31" i="16"/>
  <c r="J77" i="16"/>
  <c r="J145" i="16" s="1"/>
  <c r="L32" i="16"/>
  <c r="J29" i="16"/>
  <c r="N33" i="16"/>
  <c r="I38" i="16"/>
  <c r="I74" i="16"/>
  <c r="I147" i="16" s="1"/>
  <c r="M78" i="16"/>
  <c r="K31" i="16"/>
  <c r="H73" i="16"/>
  <c r="H147" i="16" s="1"/>
  <c r="L77" i="16"/>
  <c r="G74" i="16"/>
  <c r="G145" i="16" s="1"/>
  <c r="H75" i="16"/>
  <c r="H145" i="16" s="1"/>
  <c r="M79" i="16"/>
  <c r="K77" i="16"/>
  <c r="K146" i="16" s="1"/>
  <c r="K78" i="16"/>
  <c r="K145" i="16" s="1"/>
  <c r="M34" i="16"/>
  <c r="M41" i="16" s="1"/>
  <c r="H38" i="16"/>
  <c r="L79" i="16"/>
  <c r="J30" i="16"/>
  <c r="N34" i="16"/>
  <c r="G38" i="16"/>
  <c r="I75" i="16"/>
  <c r="I146" i="16" s="1"/>
  <c r="K30" i="16"/>
  <c r="O34" i="16"/>
  <c r="J75" i="16"/>
  <c r="J147" i="16" s="1"/>
  <c r="N79" i="16"/>
  <c r="J31" i="16"/>
  <c r="J41" i="16" s="1"/>
  <c r="N58" i="16"/>
  <c r="J54" i="16"/>
  <c r="I55" i="16"/>
  <c r="J55" i="16"/>
  <c r="K55" i="16"/>
  <c r="L58" i="16"/>
  <c r="N59" i="16"/>
  <c r="N60" i="16"/>
  <c r="O60" i="16"/>
  <c r="F52" i="16"/>
  <c r="H52" i="16"/>
  <c r="L56" i="16"/>
  <c r="G53" i="16"/>
  <c r="H53" i="16"/>
  <c r="L57" i="16"/>
  <c r="G52" i="16"/>
  <c r="K56" i="16"/>
  <c r="P60" i="16"/>
  <c r="K57" i="16"/>
  <c r="I53" i="16"/>
  <c r="M57" i="16"/>
  <c r="J56" i="16"/>
  <c r="H54" i="16"/>
  <c r="I54" i="16"/>
  <c r="M58" i="16"/>
  <c r="M59" i="16"/>
  <c r="O59" i="16"/>
  <c r="L146" i="16" l="1"/>
  <c r="L153" i="16" s="1"/>
  <c r="L147" i="16"/>
  <c r="L145" i="16"/>
  <c r="W7" i="29" s="1"/>
  <c r="F124" i="16"/>
  <c r="I116" i="16"/>
  <c r="R116" i="16" s="1"/>
  <c r="U102" i="16"/>
  <c r="U145" i="16"/>
  <c r="U7" i="29" s="1"/>
  <c r="U147" i="16"/>
  <c r="I117" i="16"/>
  <c r="X5" i="29" s="1"/>
  <c r="U103" i="16"/>
  <c r="I118" i="16"/>
  <c r="U104" i="16"/>
  <c r="I119" i="16"/>
  <c r="S119" i="16" s="1"/>
  <c r="U105" i="16"/>
  <c r="L110" i="16"/>
  <c r="K20" i="16"/>
  <c r="L111" i="16"/>
  <c r="L109" i="16"/>
  <c r="J110" i="16"/>
  <c r="K154" i="16"/>
  <c r="K152" i="16"/>
  <c r="K153" i="16"/>
  <c r="I152" i="16"/>
  <c r="I154" i="16"/>
  <c r="I153" i="16"/>
  <c r="L154" i="16"/>
  <c r="I109" i="16"/>
  <c r="H109" i="16"/>
  <c r="J109" i="16"/>
  <c r="J152" i="16"/>
  <c r="J154" i="16"/>
  <c r="J153" i="16"/>
  <c r="G152" i="16"/>
  <c r="H152" i="16"/>
  <c r="H153" i="16"/>
  <c r="K111" i="16"/>
  <c r="R104" i="16"/>
  <c r="L20" i="16"/>
  <c r="F42" i="16"/>
  <c r="F44" i="16" s="1"/>
  <c r="F131" i="16"/>
  <c r="H42" i="16"/>
  <c r="H44" i="16" s="1"/>
  <c r="H132" i="16"/>
  <c r="H139" i="16" s="1"/>
  <c r="H131" i="16"/>
  <c r="H138" i="16" s="1"/>
  <c r="H133" i="16"/>
  <c r="K42" i="16"/>
  <c r="K44" i="16" s="1"/>
  <c r="K132" i="16"/>
  <c r="K139" i="16" s="1"/>
  <c r="K131" i="16"/>
  <c r="K138" i="16" s="1"/>
  <c r="K133" i="16"/>
  <c r="K140" i="16" s="1"/>
  <c r="K110" i="16"/>
  <c r="J42" i="16"/>
  <c r="J44" i="16" s="1"/>
  <c r="J131" i="16"/>
  <c r="J138" i="16" s="1"/>
  <c r="J133" i="16"/>
  <c r="J140" i="16" s="1"/>
  <c r="J132" i="16"/>
  <c r="J139" i="16" s="1"/>
  <c r="I42" i="16"/>
  <c r="I44" i="16" s="1"/>
  <c r="I132" i="16"/>
  <c r="I131" i="16"/>
  <c r="I133" i="16"/>
  <c r="G42" i="16"/>
  <c r="G44" i="16" s="1"/>
  <c r="G132" i="16"/>
  <c r="G131" i="16"/>
  <c r="G138" i="16" s="1"/>
  <c r="L42" i="16"/>
  <c r="L44" i="16" s="1"/>
  <c r="L131" i="16"/>
  <c r="L138" i="16" s="1"/>
  <c r="L133" i="16"/>
  <c r="L140" i="16" s="1"/>
  <c r="L132" i="16"/>
  <c r="L139" i="16" s="1"/>
  <c r="S102" i="16"/>
  <c r="I20" i="16"/>
  <c r="J20" i="16"/>
  <c r="H20" i="16"/>
  <c r="I111" i="16"/>
  <c r="F20" i="16"/>
  <c r="G20" i="16"/>
  <c r="G109" i="16"/>
  <c r="J112" i="16"/>
  <c r="E109" i="16"/>
  <c r="R102" i="16"/>
  <c r="H110" i="16"/>
  <c r="I112" i="16"/>
  <c r="H111" i="16"/>
  <c r="H112" i="16"/>
  <c r="S105" i="16"/>
  <c r="R105" i="16"/>
  <c r="J111" i="16"/>
  <c r="K109" i="16"/>
  <c r="F109" i="16"/>
  <c r="S104" i="16"/>
  <c r="S103" i="16"/>
  <c r="R103" i="16"/>
  <c r="F110" i="16"/>
  <c r="G110" i="16"/>
  <c r="I110" i="16"/>
  <c r="L112" i="16"/>
  <c r="G111" i="16"/>
  <c r="K112" i="16"/>
  <c r="G75" i="28"/>
  <c r="G89" i="28" s="1"/>
  <c r="G82" i="28"/>
  <c r="E75" i="28"/>
  <c r="E82" i="28"/>
  <c r="F68" i="28"/>
  <c r="F69" i="28"/>
  <c r="F60" i="28"/>
  <c r="K82" i="28"/>
  <c r="K75" i="28"/>
  <c r="K89" i="28" s="1"/>
  <c r="L55" i="28"/>
  <c r="L69" i="28"/>
  <c r="L82" i="28"/>
  <c r="L75" i="28"/>
  <c r="L89" i="28" s="1"/>
  <c r="H82" i="28"/>
  <c r="H75" i="28"/>
  <c r="H89" i="28" s="1"/>
  <c r="L85" i="28"/>
  <c r="L78" i="28"/>
  <c r="L92" i="28" s="1"/>
  <c r="H85" i="28"/>
  <c r="H78" i="28"/>
  <c r="K85" i="28"/>
  <c r="K78" i="28"/>
  <c r="K92" i="28" s="1"/>
  <c r="L77" i="28"/>
  <c r="L91" i="28" s="1"/>
  <c r="L84" i="28"/>
  <c r="G84" i="28"/>
  <c r="G77" i="28"/>
  <c r="G76" i="28"/>
  <c r="G90" i="28" s="1"/>
  <c r="G83" i="28"/>
  <c r="K70" i="28"/>
  <c r="J40" i="28"/>
  <c r="J15" i="28"/>
  <c r="J45" i="28" s="1"/>
  <c r="K76" i="28"/>
  <c r="K90" i="28" s="1"/>
  <c r="K83" i="28"/>
  <c r="I60" i="28"/>
  <c r="I69" i="28"/>
  <c r="I70" i="28"/>
  <c r="I68" i="28"/>
  <c r="I71" i="28"/>
  <c r="H77" i="28"/>
  <c r="H91" i="28" s="1"/>
  <c r="H84" i="28"/>
  <c r="H69" i="28"/>
  <c r="U146" i="16" l="1"/>
  <c r="L152" i="16"/>
  <c r="U152" i="16" s="1"/>
  <c r="R119" i="16"/>
  <c r="W5" i="29"/>
  <c r="X9" i="29"/>
  <c r="W9" i="29"/>
  <c r="U153" i="16"/>
  <c r="I126" i="16"/>
  <c r="U126" i="16" s="1"/>
  <c r="U119" i="16"/>
  <c r="U154" i="16"/>
  <c r="U110" i="16"/>
  <c r="I140" i="16"/>
  <c r="U140" i="16" s="1"/>
  <c r="U133" i="16"/>
  <c r="U112" i="16"/>
  <c r="I125" i="16"/>
  <c r="U125" i="16" s="1"/>
  <c r="U118" i="16"/>
  <c r="U109" i="16"/>
  <c r="U111" i="16"/>
  <c r="I138" i="16"/>
  <c r="U138" i="16" s="1"/>
  <c r="U131" i="16"/>
  <c r="U9" i="29" s="1"/>
  <c r="I139" i="16"/>
  <c r="U139" i="16" s="1"/>
  <c r="U132" i="16"/>
  <c r="I124" i="16"/>
  <c r="U124" i="16" s="1"/>
  <c r="U117" i="16"/>
  <c r="U5" i="29" s="1"/>
  <c r="I123" i="16"/>
  <c r="U123" i="16" s="1"/>
  <c r="U116" i="16"/>
  <c r="S146" i="16"/>
  <c r="R146" i="16"/>
  <c r="G153" i="16"/>
  <c r="H154" i="16"/>
  <c r="S147" i="16"/>
  <c r="R147" i="16"/>
  <c r="F152" i="16"/>
  <c r="S145" i="16"/>
  <c r="R145" i="16"/>
  <c r="T7" i="29" s="1"/>
  <c r="R132" i="16"/>
  <c r="S132" i="16"/>
  <c r="R131" i="16"/>
  <c r="T9" i="29" s="1"/>
  <c r="S131" i="16"/>
  <c r="R133" i="16"/>
  <c r="S133" i="16"/>
  <c r="S109" i="16"/>
  <c r="R109" i="16"/>
  <c r="S116" i="16"/>
  <c r="S117" i="16"/>
  <c r="R117" i="16"/>
  <c r="T5" i="29" s="1"/>
  <c r="S112" i="16"/>
  <c r="R112" i="16"/>
  <c r="S111" i="16"/>
  <c r="R111" i="16"/>
  <c r="S118" i="16"/>
  <c r="R118" i="16"/>
  <c r="R110" i="16"/>
  <c r="S110" i="16"/>
  <c r="F76" i="28"/>
  <c r="F83" i="28"/>
  <c r="J69" i="28"/>
  <c r="J70" i="28"/>
  <c r="J60" i="28"/>
  <c r="J68" i="28"/>
  <c r="J71" i="28"/>
  <c r="R71" i="28" s="1"/>
  <c r="H76" i="28"/>
  <c r="H90" i="28" s="1"/>
  <c r="H83" i="28"/>
  <c r="K84" i="28"/>
  <c r="K77" i="28"/>
  <c r="K91" i="28" s="1"/>
  <c r="H92" i="28"/>
  <c r="I76" i="28"/>
  <c r="I90" i="28" s="1"/>
  <c r="I83" i="28"/>
  <c r="F75" i="28"/>
  <c r="F89" i="28" s="1"/>
  <c r="F82" i="28"/>
  <c r="E89" i="28"/>
  <c r="G91" i="28"/>
  <c r="I75" i="28"/>
  <c r="I89" i="28" s="1"/>
  <c r="I82" i="28"/>
  <c r="I78" i="28"/>
  <c r="I92" i="28" s="1"/>
  <c r="I85" i="28"/>
  <c r="I77" i="28"/>
  <c r="I91" i="28" s="1"/>
  <c r="I84" i="28"/>
  <c r="L76" i="28"/>
  <c r="L90" i="28" s="1"/>
  <c r="L83" i="28"/>
  <c r="X7" i="29" l="1"/>
  <c r="S138" i="16"/>
  <c r="R138" i="16"/>
  <c r="S139" i="16"/>
  <c r="S123" i="16"/>
  <c r="R123" i="16"/>
  <c r="R140" i="16"/>
  <c r="R139" i="16"/>
  <c r="S140" i="16"/>
  <c r="S153" i="16"/>
  <c r="R153" i="16"/>
  <c r="S152" i="16"/>
  <c r="R152" i="16"/>
  <c r="S154" i="16"/>
  <c r="R154" i="16"/>
  <c r="R126" i="16"/>
  <c r="S126" i="16"/>
  <c r="S125" i="16"/>
  <c r="R125" i="16"/>
  <c r="S124" i="16"/>
  <c r="R124" i="16"/>
  <c r="J78" i="28"/>
  <c r="J85" i="28"/>
  <c r="S85" i="28" s="1"/>
  <c r="J75" i="28"/>
  <c r="J89" i="28" s="1"/>
  <c r="S89" i="28" s="1"/>
  <c r="J82" i="28"/>
  <c r="S82" i="28" s="1"/>
  <c r="J77" i="28"/>
  <c r="J84" i="28"/>
  <c r="S84" i="28" s="1"/>
  <c r="S70" i="28"/>
  <c r="R70" i="28"/>
  <c r="R68" i="28"/>
  <c r="F90" i="28"/>
  <c r="J76" i="28"/>
  <c r="J90" i="28" s="1"/>
  <c r="J83" i="28"/>
  <c r="R83" i="28" s="1"/>
  <c r="S69" i="28"/>
  <c r="S71" i="28"/>
  <c r="R69" i="28"/>
  <c r="S68" i="28"/>
  <c r="S76" i="28" l="1"/>
  <c r="R76" i="28"/>
  <c r="S83" i="28"/>
  <c r="R75" i="28"/>
  <c r="R82" i="28"/>
  <c r="J91" i="28"/>
  <c r="R77" i="28"/>
  <c r="R89" i="28"/>
  <c r="J92" i="28"/>
  <c r="R78" i="28"/>
  <c r="S78" i="28"/>
  <c r="R90" i="28"/>
  <c r="S90" i="28"/>
  <c r="R84" i="28"/>
  <c r="S77" i="28"/>
  <c r="R85" i="28"/>
  <c r="S75" i="28"/>
  <c r="S92" i="28" l="1"/>
  <c r="R92" i="28"/>
  <c r="S91" i="28"/>
  <c r="R91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tc={161BE1A7-5CEC-42F4-B65B-F482ADA651AE}</author>
  </authors>
  <commentList>
    <comment ref="A13" authorId="0" shapeId="0" xr:uid="{161BE1A7-5CEC-42F4-B65B-F482ADA651AE}">
      <text>
        <t>[Threaded comment]
Your version of Excel allows you to read this threaded comment; however, any edits to it will get removed if the file is opened in a newer version of Excel. Learn more: https://go.microsoft.com/fwlink/?linkid=870924
Comment:
    Capture outturn as originally published (i.e. before subsequent revisions).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383798-9A5C-48DB-B9AD-0A2C1DAF3B40}" keepAlive="1" name="Query - FY 2022-23 Cap p 83" description="Connection to the 'FY 2022-23 Cap p 83' query in the workbook." type="5" refreshedVersion="8" background="1" saveData="1">
    <dbPr connection="Provider=Microsoft.Mashup.OleDb.1;Data Source=$Workbook$;Location=&quot;FY 2022-23 Cap p 83&quot;;Extended Properties=&quot;&quot;" command="SELECT * FROM [FY 2022-23 Cap p 83]"/>
  </connection>
  <connection id="2" xr16:uid="{36E56328-ED93-4C28-8E99-8DB038F7A30F}" keepAlive="1" name="Query - FY 2022-23 Exp p 82" description="Connection to the 'FY 2022-23 Exp p 82' query in the workbook." type="5" refreshedVersion="8" background="1" saveData="1">
    <dbPr connection="Provider=Microsoft.Mashup.OleDb.1;Data Source=$Workbook$;Location=&quot;FY 2022-23 Exp p 82&quot;;Extended Properties=&quot;&quot;" command="SELECT * FROM [FY 2022-23 Exp p 82]"/>
  </connection>
  <connection id="3" xr16:uid="{4ACCE62C-D976-40D3-9BC3-083E29B52A5D}" keepAlive="1" name="Query - FY 2022-23 Rev p 82" description="Connection to the 'FY 2022-23 Rev p 82' query in the workbook." type="5" refreshedVersion="8" background="1" saveData="1">
    <dbPr connection="Provider=Microsoft.Mashup.OleDb.1;Data Source=$Workbook$;Location=&quot;FY 2022-23 Rev p 82&quot;;Extended Properties=&quot;&quot;" command="SELECT * FROM [FY 2022-23 Rev p 82]"/>
  </connection>
  <connection id="4" xr16:uid="{7FE92DE7-48C0-46DE-9757-556C58FCBFA9}" keepAlive="1" name="Query - Page075" description="Connection to the 'Page075' query in the workbook." type="5" refreshedVersion="8" background="1" saveData="1">
    <dbPr connection="Provider=Microsoft.Mashup.OleDb.1;Data Source=$Workbook$;Location=Page075;Extended Properties=&quot;&quot;" command="SELECT * FROM [Page075]"/>
  </connection>
  <connection id="5" xr16:uid="{17D18AD9-ABA0-429D-A086-932CB2F612E8}" keepAlive="1" name="Query - Page109" description="Connection to the 'Page109' query in the workbook." type="5" refreshedVersion="0" background="1">
    <dbPr connection="Provider=Microsoft.Mashup.OleDb.1;Data Source=$Workbook$;Location=Page109;Extended Properties=&quot;&quot;" command="SELECT * FROM [Page109]"/>
  </connection>
  <connection id="6" xr16:uid="{064123AA-634D-47F6-88EC-8CDB7E07097A}" keepAlive="1" name="Query - Page138" description="Connection to the 'Page138' query in the workbook." type="5" refreshedVersion="0" background="1">
    <dbPr connection="Provider=Microsoft.Mashup.OleDb.1;Data Source=$Workbook$;Location=Page138;Extended Properties=&quot;&quot;" command="SELECT * FROM [Page138]"/>
  </connection>
  <connection id="7" xr16:uid="{4FEEC1E1-0C09-4028-8B65-E12EA8D30732}" keepAlive="1" name="Query - Page155" description="Connection to the 'Page155' query in the workbook." type="5" refreshedVersion="8" background="1" saveData="1">
    <dbPr connection="Provider=Microsoft.Mashup.OleDb.1;Data Source=$Workbook$;Location=Page155;Extended Properties=&quot;&quot;" command="SELECT * FROM [Page155]"/>
  </connection>
  <connection id="8" xr16:uid="{F53AE69C-3C5C-4612-A055-B0EA4D9B4BF5}" keepAlive="1" name="Query - Table021 (Page 20)" description="Connection to the 'Table021 (Page 20)' query in the workbook." type="5" refreshedVersion="8" background="1" saveData="1">
    <dbPr connection="Provider=Microsoft.Mashup.OleDb.1;Data Source=$Workbook$;Location=&quot;Table021 (Page 20)&quot;;Extended Properties=&quot;&quot;" command="SELECT * FROM [Table021 (Page 20)]"/>
  </connection>
  <connection id="9" xr16:uid="{B635D052-2A98-4E8C-A437-B426F99346AC}" keepAlive="1" name="Query - Table052 (Page 45)" description="Connection to the 'Table052 (Page 45)' query in the workbook." type="5" refreshedVersion="8" background="1" saveData="1">
    <dbPr connection="Provider=Microsoft.Mashup.OleDb.1;Data Source=$Workbook$;Location=&quot;Table052 (Page 45)&quot;;Extended Properties=&quot;&quot;" command="SELECT * FROM [Table052 (Page 45)]"/>
  </connection>
  <connection id="10" xr16:uid="{7F86F64D-9AD1-4740-AB0D-EA4531D497A8}" keepAlive="1" name="Query - Table053 (Page 49)" description="Connection to the 'Table053 (Page 49)' query in the workbook." type="5" refreshedVersion="8" background="1" saveData="1">
    <dbPr connection="Provider=Microsoft.Mashup.OleDb.1;Data Source=$Workbook$;Location=&quot;Table053 (Page 49)&quot;;Extended Properties=&quot;&quot;" command="SELECT * FROM [Table053 (Page 49)]"/>
  </connection>
  <connection id="11" xr16:uid="{5DA88848-7517-401F-82DE-CC2426D272C8}" keepAlive="1" name="Query - Table070 (Page 67)" description="Connection to the 'Table070 (Page 67)' query in the workbook." type="5" refreshedVersion="0" background="1">
    <dbPr connection="Provider=Microsoft.Mashup.OleDb.1;Data Source=$Workbook$;Location=&quot;Table070 (Page 67)&quot;;Extended Properties=&quot;&quot;" command="SELECT * FROM [Table070 (Page 67)]"/>
  </connection>
  <connection id="12" xr16:uid="{B6349AB2-E466-4245-AD0C-8A8617BFAC38}" keepAlive="1" name="Query - Table070 (Page 67) (2)" description="Connection to the 'Table070 (Page 67) (2)' query in the workbook." type="5" refreshedVersion="8" background="1" saveData="1">
    <dbPr connection="Provider=Microsoft.Mashup.OleDb.1;Data Source=$Workbook$;Location=&quot;Table070 (Page 67) (2)&quot;;Extended Properties=&quot;&quot;" command="SELECT * FROM [Table070 (Page 67) (2)]"/>
  </connection>
  <connection id="13" xr16:uid="{0796671D-1610-4773-86A7-10B50F1C60DF}" keepAlive="1" name="Query - Table073 (Page 68)" description="Connection to the 'Table073 (Page 68)' query in the workbook." type="5" refreshedVersion="0" background="1">
    <dbPr connection="Provider=Microsoft.Mashup.OleDb.1;Data Source=$Workbook$;Location=&quot;Table073 (Page 68)&quot;;Extended Properties=&quot;&quot;" command="SELECT * FROM [Table073 (Page 68)]"/>
  </connection>
  <connection id="14" xr16:uid="{2D579312-003D-41BB-9279-A95E44966027}" keepAlive="1" name="Query - Table073 (Page 68) (2)" description="Connection to the 'Table073 (Page 68) (2)' query in the workbook." type="5" refreshedVersion="8" background="1" saveData="1">
    <dbPr connection="Provider=Microsoft.Mashup.OleDb.1;Data Source=$Workbook$;Location=&quot;Table073 (Page 68) (2)&quot;;Extended Properties=&quot;&quot;" command="SELECT * FROM [Table073 (Page 68) (2)]"/>
  </connection>
  <connection id="15" xr16:uid="{FA9B9391-4B56-4309-9CFD-FD5082A09BBD}" keepAlive="1" name="Query - Table103 (Page 73)" description="Connection to the 'Table103 (Page 73)' query in the workbook." type="5" refreshedVersion="8" background="1" saveData="1">
    <dbPr connection="Provider=Microsoft.Mashup.OleDb.1;Data Source=$Workbook$;Location=&quot;Table103 (Page 73)&quot;;Extended Properties=&quot;&quot;" command="SELECT * FROM [Table103 (Page 73)]"/>
  </connection>
  <connection id="16" xr16:uid="{A05C284D-975F-4532-8886-FF42E41F45AF}" keepAlive="1" name="Query - Table103 (Page 73) (2)" description="Connection to the 'Table103 (Page 73) (2)' query in the workbook." type="5" refreshedVersion="0" background="1">
    <dbPr connection="Provider=Microsoft.Mashup.OleDb.1;Data Source=$Workbook$;Location=&quot;Table103 (Page 73) (2)&quot;;Extended Properties=&quot;&quot;" command="SELECT * FROM [Table103 (Page 73) (2)]"/>
  </connection>
  <connection id="17" xr16:uid="{B0F5A541-5090-4043-8684-634B3791413B}" keepAlive="1" name="Query - Table104 (Page 74)" description="Connection to the 'Table104 (Page 74)' query in the workbook." type="5" refreshedVersion="0" background="1">
    <dbPr connection="Provider=Microsoft.Mashup.OleDb.1;Data Source=$Workbook$;Location=&quot;Table104 (Page 74)&quot;;Extended Properties=&quot;&quot;" command="SELECT * FROM [Table104 (Page 74)]"/>
  </connection>
  <connection id="18" xr16:uid="{55484089-2289-42E2-A2EC-599D27B1D7A8}" keepAlive="1" name="Query - Table104 (Page 74) (2)" description="Connection to the 'Table104 (Page 74) (2)' query in the workbook." type="5" refreshedVersion="8" background="1" saveData="1">
    <dbPr connection="Provider=Microsoft.Mashup.OleDb.1;Data Source=$Workbook$;Location=&quot;Table104 (Page 74) (2)&quot;;Extended Properties=&quot;&quot;" command="SELECT * FROM [Table104 (Page 74) (2)]"/>
  </connection>
  <connection id="19" xr16:uid="{9654EF85-5A30-451F-97F0-B951A05ABAE5}" keepAlive="1" name="Query - Table105 (Page 74)" description="Connection to the 'Table105 (Page 74)' query in the workbook." type="5" refreshedVersion="0" background="1">
    <dbPr connection="Provider=Microsoft.Mashup.OleDb.1;Data Source=$Workbook$;Location=&quot;Table105 (Page 74)&quot;;Extended Properties=&quot;&quot;" command="SELECT * FROM [Table105 (Page 74)]"/>
  </connection>
  <connection id="20" xr16:uid="{A4D18ADA-ACB2-44EC-A550-FD8204AF8EAF}" keepAlive="1" name="Query - Table105 (Page 74) (2)" description="Connection to the 'Table105 (Page 74) (2)' query in the workbook." type="5" refreshedVersion="8" background="1" saveData="1">
    <dbPr connection="Provider=Microsoft.Mashup.OleDb.1;Data Source=$Workbook$;Location=&quot;Table105 (Page 74) (2)&quot;;Extended Properties=&quot;&quot;" command="SELECT * FROM [Table105 (Page 74) (2)]"/>
  </connection>
  <connection id="21" xr16:uid="{466787C3-43D9-45F8-A99F-121C9542C3BA}" keepAlive="1" name="Query - Table111 (Page 74)" description="Connection to the 'Table111 (Page 74)' query in the workbook." type="5" refreshedVersion="8" background="1" saveData="1">
    <dbPr connection="Provider=Microsoft.Mashup.OleDb.1;Data Source=$Workbook$;Location=&quot;Table111 (Page 74)&quot;;Extended Properties=&quot;&quot;" command="SELECT * FROM [Table111 (Page 74)]"/>
  </connection>
  <connection id="22" xr16:uid="{A31EB3CC-A4BE-4660-A549-87B6CC72451C}" keepAlive="1" name="Query - Table111 (Page 76)" description="Connection to the 'Table111 (Page 76)' query in the workbook." type="5" refreshedVersion="0" background="1">
    <dbPr connection="Provider=Microsoft.Mashup.OleDb.1;Data Source=$Workbook$;Location=&quot;Table111 (Page 76)&quot;;Extended Properties=&quot;&quot;" command="SELECT * FROM [Table111 (Page 76)]"/>
  </connection>
  <connection id="23" xr16:uid="{82705AC6-7F26-4D6D-A8AF-545CFFE4AA83}" keepAlive="1" name="Query - Table111 (Page 76) (2)" description="Connection to the 'Table111 (Page 76) (2)' query in the workbook." type="5" refreshedVersion="8" background="1" saveData="1">
    <dbPr connection="Provider=Microsoft.Mashup.OleDb.1;Data Source=$Workbook$;Location=&quot;Table111 (Page 76) (2)&quot;;Extended Properties=&quot;&quot;" command="SELECT * FROM [Table111 (Page 76) (2)]"/>
  </connection>
  <connection id="24" xr16:uid="{36E94AD9-207B-4C51-9511-38D27EE4653B}" keepAlive="1" name="Query - Table126 (Page 109)" description="Connection to the 'Table126 (Page 109)' query in the workbook." type="5" refreshedVersion="0" background="1">
    <dbPr connection="Provider=Microsoft.Mashup.OleDb.1;Data Source=$Workbook$;Location=&quot;Table126 (Page 109)&quot;;Extended Properties=&quot;&quot;" command="SELECT * FROM [Table126 (Page 109)]"/>
  </connection>
  <connection id="25" xr16:uid="{FEDDA8EA-93FD-4970-9861-1B06FDBF45AD}" keepAlive="1" name="Query - Table126 (Page 81)" description="Connection to the 'Table126 (Page 81)' query in the workbook." type="5" refreshedVersion="0" background="1">
    <dbPr connection="Provider=Microsoft.Mashup.OleDb.1;Data Source=$Workbook$;Location=&quot;Table126 (Page 81)&quot;;Extended Properties=&quot;&quot;" command="SELECT * FROM [Table126 (Page 81)]"/>
  </connection>
  <connection id="26" xr16:uid="{54E3F226-7D28-425E-B0D7-66D1624E9E4F}" keepAlive="1" name="Query - Table126 (Page 81) (2)" description="Connection to the 'Table126 (Page 81) (2)' query in the workbook." type="5" refreshedVersion="8" background="1" saveData="1">
    <dbPr connection="Provider=Microsoft.Mashup.OleDb.1;Data Source=$Workbook$;Location=&quot;Table126 (Page 81) (2)&quot;;Extended Properties=&quot;&quot;" command="SELECT * FROM [Table126 (Page 81) (2)]"/>
  </connection>
  <connection id="27" xr16:uid="{DC23D348-EFF1-409F-B315-755D346E2B18}" keepAlive="1" name="Query - Table128 (Page 82)" description="Connection to the 'Table128 (Page 82)' query in the workbook." type="5" refreshedVersion="0" background="1">
    <dbPr connection="Provider=Microsoft.Mashup.OleDb.1;Data Source=$Workbook$;Location=&quot;Table128 (Page 82)&quot;;Extended Properties=&quot;&quot;" command="SELECT * FROM [Table128 (Page 82)]"/>
  </connection>
  <connection id="28" xr16:uid="{2DF24DA5-B3EC-4B95-865C-3DC3D59C268F}" keepAlive="1" name="Query - Table128 (Page 82) (2)" description="Connection to the 'Table128 (Page 82) (2)' query in the workbook." type="5" refreshedVersion="8" background="1" saveData="1">
    <dbPr connection="Provider=Microsoft.Mashup.OleDb.1;Data Source=$Workbook$;Location=&quot;Table128 (Page 82) (2)&quot;;Extended Properties=&quot;&quot;" command="SELECT * FROM [Table128 (Page 82) (2)]"/>
  </connection>
  <connection id="29" xr16:uid="{CF4B543B-2E79-44D4-ACB1-AE56810B8D7F}" keepAlive="1" name="Query - Table140 (Page 96)" description="Connection to the 'Table140 (Page 96)' query in the workbook." type="5" refreshedVersion="8" background="1" saveData="1">
    <dbPr connection="Provider=Microsoft.Mashup.OleDb.1;Data Source=$Workbook$;Location=&quot;Table140 (Page 96)&quot;;Extended Properties=&quot;&quot;" command="SELECT * FROM [Table140 (Page 96)]"/>
  </connection>
  <connection id="30" xr16:uid="{1AD5F791-485A-42DA-BF5F-9218A9FF43B6}" keepAlive="1" name="Query - Table202 (Page 132)" description="Connection to the 'Table202 (Page 132)' query in the workbook." type="5" refreshedVersion="0" background="1">
    <dbPr connection="Provider=Microsoft.Mashup.OleDb.1;Data Source=$Workbook$;Location=&quot;Table202 (Page 132)&quot;;Extended Properties=&quot;&quot;" command="SELECT * FROM [Table202 (Page 13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<sst xmlns="http://schemas.openxmlformats.org/spreadsheetml/2006/main" count="969" uniqueCount="256">
  <si>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</si>
  <si>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</si>
  <si>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</si>
  <si>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</si>
  <si>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</si>
  <si>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</si>
  <si>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</si>
  <si>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</si>
  <si>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Taxes on property</t>
  </si>
  <si>
    <t>Other taxes</t>
  </si>
  <si>
    <t>Taxes on international trade and transactions</t>
  </si>
  <si>
    <t>-</t>
  </si>
  <si>
    <t>Wages and salaries</t>
  </si>
  <si>
    <t/>
  </si>
  <si>
    <t>Revenue</t>
  </si>
  <si>
    <t>Taxes</t>
  </si>
  <si>
    <t>Taxes on income, profits, and capital gains</t>
  </si>
  <si>
    <t>Taxes on goods and services</t>
  </si>
  <si>
    <t>Grants</t>
  </si>
  <si>
    <t>Current</t>
  </si>
  <si>
    <t>Capital</t>
  </si>
  <si>
    <t>Other revenue</t>
  </si>
  <si>
    <t>Property income [GFS]</t>
  </si>
  <si>
    <t>Sales of goods and services</t>
  </si>
  <si>
    <t>Fines, penalties, and forfeits</t>
  </si>
  <si>
    <t>Voluntary transfers other than grants</t>
  </si>
  <si>
    <t>Miscellaneous and unidentified revenue</t>
  </si>
  <si>
    <t>Expense</t>
  </si>
  <si>
    <t>Compensation of employees</t>
  </si>
  <si>
    <t>Social contributions</t>
  </si>
  <si>
    <t>Use of goods and services</t>
  </si>
  <si>
    <t>Interest</t>
  </si>
  <si>
    <t>To nonresidents</t>
  </si>
  <si>
    <t>To residents other than general government</t>
  </si>
  <si>
    <t>Subsidies</t>
  </si>
  <si>
    <t>Subsidies to public corporations</t>
  </si>
  <si>
    <t>Subsidies to private enterprises</t>
  </si>
  <si>
    <t>Social benefits</t>
  </si>
  <si>
    <t>Other expense</t>
  </si>
  <si>
    <t>Gross Operating Balance</t>
  </si>
  <si>
    <t>Net Acquisition Of Nonfinancial Assets</t>
  </si>
  <si>
    <t>Fixed assets</t>
  </si>
  <si>
    <t>Buildings and structures</t>
  </si>
  <si>
    <t>Machinery and equipment</t>
  </si>
  <si>
    <t>Other fixed assets</t>
  </si>
  <si>
    <t>Nonproduced assets</t>
  </si>
  <si>
    <t>Land</t>
  </si>
  <si>
    <t>Net Lending/Borrowing Requirement</t>
  </si>
  <si>
    <t>Financial Assets</t>
  </si>
  <si>
    <t>Domestic</t>
  </si>
  <si>
    <t>Currency and deposits</t>
  </si>
  <si>
    <t>Loans</t>
  </si>
  <si>
    <t>Shares and other equity</t>
  </si>
  <si>
    <t>Financial Liabilities</t>
  </si>
  <si>
    <t>Foreign</t>
  </si>
  <si>
    <t>GOVERNMENT OF TONGA BUDGET STATEMENT FOR YEAR ENDING 30TH JUNE 2018</t>
  </si>
  <si>
    <t>[image]^{/18} 2017</t>
  </si>
  <si>
    <t>Column9</t>
  </si>
  <si>
    <t>Column10</t>
  </si>
  <si>
    <t>ANNEX 6-19: GFS PRESENTATION</t>
  </si>
  <si>
    <t>Net Acquisition Of Financial Assets And Liabilities (Financing)</t>
  </si>
  <si>
    <t>Source: MOFNP</t>
  </si>
  <si>
    <t>Goverment of Tonga Budget Statement for year ending 30th June 2019</t>
  </si>
  <si>
    <t>Column15</t>
  </si>
  <si>
    <t>Column19</t>
  </si>
  <si>
    <t>Column22</t>
  </si>
  <si>
    <t>Column24</t>
  </si>
  <si>
    <t>2018/19</t>
  </si>
  <si>
    <t>Statement of Government Operations ($m)</t>
  </si>
  <si>
    <t>result</t>
  </si>
  <si>
    <t>surplus</t>
  </si>
  <si>
    <t>million,</t>
  </si>
  <si>
    <t>compared</t>
  </si>
  <si>
    <t>million.</t>
  </si>
  <si>
    <t>contributory</t>
  </si>
  <si>
    <t>factors</t>
  </si>
  <si>
    <t>towards</t>
  </si>
  <si>
    <t>revised</t>
  </si>
  <si>
    <t>estimate reflects the front-loading of World Bank budget support of around $20 million, coupled with tightened</t>
  </si>
  <si>
    <t>government spending.</t>
  </si>
  <si>
    <t>In the 2018/19 budget, the overall fiscal balance is forecasted to decrease from the revised estimate of 2017/18</t>
  </si>
  <si>
    <t>to a surplus of only $1.3 million. This is due to increased spending on TC Gita-related reconstruction that will</t>
  </si>
  <si>
    <t>2017/18
Actual</t>
  </si>
  <si>
    <t>2018/19
Revised
Estimate</t>
  </si>
  <si>
    <t>Budget
Estimate
2019/20</t>
  </si>
  <si>
    <t>2020/21
Projection</t>
  </si>
  <si>
    <t>2021/22
Projection</t>
  </si>
  <si>
    <t>Taxes on international trade and transaction</t>
  </si>
  <si>
    <t>Net Acquisition Of Financial Assets And Liab</t>
  </si>
  <si>
    <t>2018/19
Actual</t>
  </si>
  <si>
    <t>2019/20
Estimate
Outturn</t>
  </si>
  <si>
    <t>Budget
Estimate
2020 /21</t>
  </si>
  <si>
    <t>2022/23
Projection</t>
  </si>
  <si>
    <t>Taxes on income, profits, and capital</t>
  </si>
  <si>
    <t>gains</t>
  </si>
  <si>
    <t>Taxes on international trade and</t>
  </si>
  <si>
    <t>transactions</t>
  </si>
  <si>
    <t>To nonresidents To residents other than general</t>
  </si>
  <si>
    <t>government</t>
  </si>
  <si>
    <t>Net Acquisition Of Financial Assets And</t>
  </si>
  <si>
    <t>Liabilities (Financing)</t>
  </si>
  <si>
    <t>Repayments</t>
  </si>
  <si>
    <t>2019/20
Actual</t>
  </si>
  <si>
    <t>Estimated
Outturn
2020 /21</t>
  </si>
  <si>
    <t>Budget
Estimate
2021/22</t>
  </si>
  <si>
    <t>2023/24
Projection</t>
  </si>
  <si>
    <t>Tax and Non-tax Revenue</t>
  </si>
  <si>
    <t>2020/21
Actual</t>
  </si>
  <si>
    <t>Budget
Est.
2022/23</t>
  </si>
  <si>
    <t>2024/25
Projection</t>
  </si>
  <si>
    <t>Net Acquisition Of Nonfinancial</t>
  </si>
  <si>
    <t>Assets</t>
  </si>
  <si>
    <t>Source:</t>
  </si>
  <si>
    <t>2021/22
Actual</t>
  </si>
  <si>
    <t>Estimate
Outturn
2022/23</t>
  </si>
  <si>
    <t>Budget
Estimate
2023/24</t>
  </si>
  <si>
    <t>2024/25
Estimate</t>
  </si>
  <si>
    <t>2025/26
Estimate</t>
  </si>
  <si>
    <t>FY 2025</t>
  </si>
  <si>
    <t>Source: Ministry of Finance (MOF)</t>
  </si>
  <si>
    <t>Actual</t>
  </si>
  <si>
    <t>2022/23</t>
  </si>
  <si>
    <t>Budget</t>
  </si>
  <si>
    <t>Estimate</t>
  </si>
  <si>
    <t>2023/24</t>
  </si>
  <si>
    <t>Net Acquisition Of Financial Assets And
Liabilities (Financing)</t>
  </si>
  <si>
    <t>.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</si>
  <si>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</si>
  <si>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</si>
  <si>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</si>
  <si>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</si>
  <si>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</si>
  <si>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</si>
  <si>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</si>
  <si>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</si>
  <si>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</si>
  <si>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</si>
  <si>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</si>
  <si>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</si>
  <si>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</si>
  <si>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</si>
  <si>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</si>
  <si>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Budget 2018</t>
  </si>
  <si>
    <t>Budget 2019</t>
  </si>
  <si>
    <t>Budget 2020</t>
  </si>
  <si>
    <t>Budget 2021</t>
  </si>
  <si>
    <t>Budget 2022</t>
  </si>
  <si>
    <t>Budget 2023</t>
  </si>
  <si>
    <t>Budget 2024</t>
  </si>
  <si>
    <t>Budget 2025</t>
  </si>
  <si>
    <t>Budget 2026</t>
  </si>
  <si>
    <t xml:space="preserve"> </t>
  </si>
  <si>
    <t>Outturn</t>
  </si>
  <si>
    <t>Revised</t>
  </si>
  <si>
    <t>Projection</t>
  </si>
  <si>
    <t>2019/20</t>
  </si>
  <si>
    <t>2020/21</t>
  </si>
  <si>
    <t>Est.</t>
  </si>
  <si>
    <t>2024/25</t>
  </si>
  <si>
    <t>2025/26</t>
  </si>
  <si>
    <t>2020/21 Actual</t>
  </si>
  <si>
    <t>Est. outturn 2021/22</t>
  </si>
  <si>
    <t>Budget 2022/23</t>
  </si>
  <si>
    <t>Taxes on income, profits, and</t>
  </si>
  <si>
    <t>capital gains</t>
  </si>
  <si>
    <t>Taxes on international trade</t>
  </si>
  <si>
    <t>and transactions</t>
  </si>
  <si>
    <t>Total</t>
  </si>
  <si>
    <t>2021/22 Est.</t>
  </si>
  <si>
    <t>Budget 2022-23</t>
  </si>
  <si>
    <t>Est. Outurn
2021/22</t>
  </si>
  <si>
    <t>Budget Est.
2022/23</t>
  </si>
  <si>
    <t>Compensation</t>
  </si>
  <si>
    <t>“Compensation</t>
  </si>
  <si>
    <t>remains</t>
  </si>
  <si>
    <t>second</t>
  </si>
  <si>
    <t>2021/22</t>
  </si>
  <si>
    <t>Tax Revenue</t>
  </si>
  <si>
    <t>Taxes on income, profits, and capital gain</t>
  </si>
  <si>
    <t>Taxes on international trade and transact</t>
  </si>
  <si>
    <t>Estimated</t>
  </si>
  <si>
    <t>A-Table 9: Tax Revenue by main category</t>
  </si>
  <si>
    <t>Category</t>
  </si>
  <si>
    <t>Actual 2022/23</t>
  </si>
  <si>
    <t>Revised Estimate 2023/24</t>
  </si>
  <si>
    <t>2024/25 Estimate</t>
  </si>
  <si>
    <t>2025/26 Estimate</t>
  </si>
  <si>
    <t>2026/27 Estimate</t>
  </si>
  <si>
    <t>Chart data</t>
  </si>
  <si>
    <t>Budget year forecast</t>
  </si>
  <si>
    <t>Share of GDP</t>
  </si>
  <si>
    <t>FY 2018</t>
  </si>
  <si>
    <t>FY 2019</t>
  </si>
  <si>
    <t>FY 2020</t>
  </si>
  <si>
    <t>FY 2021</t>
  </si>
  <si>
    <t>FY 2022</t>
  </si>
  <si>
    <t>FY 2023</t>
  </si>
  <si>
    <t>FY 2024</t>
  </si>
  <si>
    <t>FY 2026</t>
  </si>
  <si>
    <t>FY 2027</t>
  </si>
  <si>
    <t>FY 2028</t>
  </si>
  <si>
    <t>Budget Statement FY 2018</t>
  </si>
  <si>
    <t>Budget Statement FY 2019</t>
  </si>
  <si>
    <t>Budget Statement FY 2020</t>
  </si>
  <si>
    <t>Budget Statement FY 2021</t>
  </si>
  <si>
    <t>Budget Statement FY 2022</t>
  </si>
  <si>
    <t>Budget Statement FY 2023</t>
  </si>
  <si>
    <t>Budget Statement FY 2024</t>
  </si>
  <si>
    <t>Budget Statement FY 2025</t>
  </si>
  <si>
    <t>Budget Statement FY 2026</t>
  </si>
  <si>
    <t>Non-tax Revenue Component</t>
  </si>
  <si>
    <t>Miscellaneous and unidentified</t>
  </si>
  <si>
    <t>revenue</t>
  </si>
  <si>
    <t>Budget_1</t>
  </si>
  <si>
    <t>Outurn</t>
  </si>
  <si>
    <t>A-Table 8: Revenue</t>
  </si>
  <si>
    <t>Non-grant revenue</t>
  </si>
  <si>
    <t>t-1</t>
  </si>
  <si>
    <t>t-2</t>
  </si>
  <si>
    <t>t</t>
  </si>
  <si>
    <t>t+1</t>
  </si>
  <si>
    <t>t+2</t>
  </si>
  <si>
    <t>Avg</t>
  </si>
  <si>
    <t>SD</t>
  </si>
  <si>
    <t>Growth rate</t>
  </si>
  <si>
    <t>Growth rate (% p.a.)</t>
  </si>
  <si>
    <t>Forecast error - level</t>
  </si>
  <si>
    <t>Absolute forecast error - level</t>
  </si>
  <si>
    <t>Forecast error - % of level</t>
  </si>
  <si>
    <t>Absolute forecast error - % of level</t>
  </si>
  <si>
    <t>Non-grant revenue calculations</t>
  </si>
  <si>
    <t>Level</t>
  </si>
  <si>
    <t>Level ($T million)</t>
  </si>
  <si>
    <t>Error</t>
  </si>
  <si>
    <t>Outturn (R)</t>
  </si>
  <si>
    <t>Outturn FY2024</t>
  </si>
  <si>
    <t>Forecast error - % growth</t>
  </si>
  <si>
    <t>Absolute forecast error - % growth</t>
  </si>
  <si>
    <t>Forecast error - Share of GDP</t>
  </si>
  <si>
    <t>Forecast error calculation and box and whisker chart data</t>
  </si>
  <si>
    <t>7-Year Avg</t>
  </si>
  <si>
    <t>4-year Avg</t>
  </si>
  <si>
    <t>Select between original and revised GDP outturn</t>
  </si>
  <si>
    <t>7-yr avg</t>
  </si>
  <si>
    <t>4-yr avg</t>
  </si>
  <si>
    <t>% of Outturn</t>
  </si>
  <si>
    <t>% of GDP</t>
  </si>
  <si>
    <t>Projection vintages - level</t>
  </si>
  <si>
    <t>Projection vintages - % of GDP</t>
  </si>
  <si>
    <t>Budget-year forecast - level</t>
  </si>
  <si>
    <t>Budget-year forecast - growth rate</t>
  </si>
  <si>
    <t>Forecast error analysis - budget and forward estimates as share of GDP</t>
  </si>
  <si>
    <t>Min</t>
  </si>
  <si>
    <t>Max</t>
  </si>
  <si>
    <t xml:space="preserve">Budget-Year Forecast Errors: </t>
  </si>
  <si>
    <t>Absolute forecast error - Share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</si>
</sst>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.00;[Red]\-&quot;$&quot;#,##0.00"/>
    <numFmt numFmtId="165" formatCode="_-* #,##0.0_-;\-* #,##0.0_-;_-* &quot;-&quot;??_-;_-@_-"/>
    <numFmt numFmtId="166" formatCode="0.0%"/>
    <numFmt numFmtId="167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9" fontId="0" fillId="0" borderId="0" xfId="2" applyFont="1"/>
    <xf numFmtId="165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  <xf numFmtId="166" fontId="0" fillId="0" borderId="0" xfId="2" applyNumberFormat="1" applyFont="1"/>
    <xf numFmtId="0" fontId="0" fillId="3" borderId="0" xfId="0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0" xfId="0" applyFill="1"/>
    <xf numFmtId="167" fontId="0" fillId="0" borderId="5" xfId="0" applyNumberFormat="1" applyBorder="1"/>
    <xf numFmtId="167" fontId="0" fillId="0" borderId="6" xfId="0" applyNumberFormat="1" applyBorder="1"/>
    <xf numFmtId="167" fontId="0" fillId="0" borderId="7" xfId="0" applyNumberFormat="1" applyBorder="1"/>
    <xf numFmtId="166" fontId="0" fillId="0" borderId="0" xfId="0" applyNumberFormat="1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0" fillId="0" borderId="8" xfId="0" applyBorder="1"/>
    <xf numFmtId="0" fontId="0" fillId="0" borderId="9" xfId="0" applyBorder="1"/>
    <xf numFmtId="166" fontId="0" fillId="0" borderId="0" xfId="2" applyNumberFormat="1" applyFont="1" applyBorder="1"/>
    <xf numFmtId="166" fontId="0" fillId="0" borderId="9" xfId="2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Charts!$A$1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Lookup!$A$52</c:f>
              <c:strCache>
                <c:ptCount val="1"/>
                <c:pt idx="0">
                  <c:v>Budget 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Lookup!$B$52:$P$52</c15:sqref>
                  </c15:fullRef>
                </c:ext>
              </c:extLst>
              <c:f>Lookup!$F$52:$P$52</c:f>
              <c:numCache>
                <c:formatCode>General</c:formatCode>
                <c:ptCount val="11"/>
                <c:pt idx="0">
                  <c:v>541.1</c:v>
                </c:pt>
                <c:pt idx="1">
                  <c:v>562</c:v>
                </c:pt>
                <c:pt idx="2">
                  <c:v>565.5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9-4203-BF0B-012B5001E86D}"/>
            </c:ext>
          </c:extLst>
        </c:ser>
        <c:ser>
          <c:idx val="1"/>
          <c:order val="1"/>
          <c:tx>
            <c:strRef>
              <c:f>Lookup!$A$53</c:f>
              <c:strCache>
                <c:ptCount val="1"/>
                <c:pt idx="0">
                  <c:v>Budget 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Lookup!$B$53:$P$53</c15:sqref>
                  </c15:fullRef>
                </c:ext>
              </c:extLst>
              <c:f>Lookup!$F$53:$P$53</c:f>
              <c:numCache>
                <c:formatCode>General</c:formatCode>
                <c:ptCount val="11"/>
                <c:pt idx="1">
                  <c:v>615.20000000000005</c:v>
                </c:pt>
                <c:pt idx="2">
                  <c:v>624.1</c:v>
                </c:pt>
                <c:pt idx="3">
                  <c:v>562.20000000000005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9-4203-BF0B-012B5001E86D}"/>
            </c:ext>
          </c:extLst>
        </c:ser>
        <c:ser>
          <c:idx val="2"/>
          <c:order val="2"/>
          <c:tx>
            <c:strRef>
              <c:f>Lookup!$A$54</c:f>
              <c:strCache>
                <c:ptCount val="1"/>
                <c:pt idx="0">
                  <c:v>Budget 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Lookup!$B$54:$P$54</c15:sqref>
                  </c15:fullRef>
                </c:ext>
              </c:extLst>
              <c:f>Lookup!$F$54:$P$54</c:f>
              <c:numCache>
                <c:formatCode>General</c:formatCode>
                <c:ptCount val="11"/>
                <c:pt idx="2">
                  <c:v>578.20000000000005</c:v>
                </c:pt>
                <c:pt idx="3">
                  <c:v>554.20000000000005</c:v>
                </c:pt>
                <c:pt idx="4">
                  <c:v>529.79999999999995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9-4203-BF0B-012B5001E86D}"/>
            </c:ext>
          </c:extLst>
        </c:ser>
        <c:ser>
          <c:idx val="3"/>
          <c:order val="3"/>
          <c:tx>
            <c:strRef>
              <c:f>Lookup!$A$55</c:f>
              <c:strCache>
                <c:ptCount val="1"/>
                <c:pt idx="0">
                  <c:v>Budget 2021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Lookup!$B$55:$P$55</c15:sqref>
                  </c15:fullRef>
                </c:ext>
              </c:extLst>
              <c:f>Lookup!$F$55:$P$55</c:f>
              <c:numCache>
                <c:formatCode>General</c:formatCode>
                <c:ptCount val="11"/>
                <c:pt idx="3">
                  <c:v>512.9</c:v>
                </c:pt>
                <c:pt idx="4">
                  <c:v>502.8</c:v>
                </c:pt>
                <c:pt idx="5">
                  <c:v>556.5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99-4203-BF0B-012B5001E86D}"/>
            </c:ext>
          </c:extLst>
        </c:ser>
        <c:ser>
          <c:idx val="4"/>
          <c:order val="4"/>
          <c:tx>
            <c:strRef>
              <c:f>Lookup!$A$56</c:f>
              <c:strCache>
                <c:ptCount val="1"/>
                <c:pt idx="0">
                  <c:v>Budget 2022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Lookup!$B$56:$P$56</c15:sqref>
                  </c15:fullRef>
                </c:ext>
              </c:extLst>
              <c:f>Lookup!$F$56:$P$56</c:f>
              <c:numCache>
                <c:formatCode>General</c:formatCode>
                <c:ptCount val="11"/>
                <c:pt idx="4">
                  <c:v>572.20000000000005</c:v>
                </c:pt>
                <c:pt idx="5">
                  <c:v>496.7</c:v>
                </c:pt>
                <c:pt idx="6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99-4203-BF0B-012B5001E86D}"/>
            </c:ext>
          </c:extLst>
        </c:ser>
        <c:ser>
          <c:idx val="5"/>
          <c:order val="5"/>
          <c:tx>
            <c:strRef>
              <c:f>Lookup!$A$57</c:f>
              <c:strCache>
                <c:ptCount val="1"/>
                <c:pt idx="0">
                  <c:v>Budget 2023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Lookup!$B$57:$P$57</c15:sqref>
                  </c15:fullRef>
                </c:ext>
              </c:extLst>
              <c:f>Lookup!$F$57:$P$57</c:f>
              <c:numCache>
                <c:formatCode>General</c:formatCode>
                <c:ptCount val="11"/>
                <c:pt idx="5">
                  <c:v>695.2</c:v>
                </c:pt>
                <c:pt idx="6">
                  <c:v>604.1</c:v>
                </c:pt>
                <c:pt idx="7">
                  <c:v>612.20000000000005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99-4203-BF0B-012B5001E86D}"/>
            </c:ext>
          </c:extLst>
        </c:ser>
        <c:ser>
          <c:idx val="6"/>
          <c:order val="6"/>
          <c:tx>
            <c:v>Prior vintages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Lookup!$B$58:$P$58</c15:sqref>
                  </c15:fullRef>
                </c:ext>
              </c:extLst>
              <c:f>Lookup!$F$58:$P$58</c:f>
              <c:numCache>
                <c:formatCode>General</c:formatCode>
                <c:ptCount val="11"/>
                <c:pt idx="6">
                  <c:v>741.9</c:v>
                </c:pt>
                <c:pt idx="7">
                  <c:v>699.6</c:v>
                </c:pt>
                <c:pt idx="8">
                  <c:v>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99-4203-BF0B-012B5001E86D}"/>
            </c:ext>
          </c:extLst>
        </c:ser>
        <c:ser>
          <c:idx val="7"/>
          <c:order val="7"/>
          <c:tx>
            <c:strRef>
              <c:f>Lookup!$A$59</c:f>
              <c:strCache>
                <c:ptCount val="1"/>
                <c:pt idx="0">
                  <c:v>Budget 2025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Lookup!$B$59:$P$59</c15:sqref>
                  </c15:fullRef>
                </c:ext>
              </c:extLst>
              <c:f>Lookup!$F$59:$P$59</c:f>
              <c:numCache>
                <c:formatCode>General</c:formatCode>
                <c:ptCount val="11"/>
                <c:pt idx="7">
                  <c:v>870.7</c:v>
                </c:pt>
                <c:pt idx="8">
                  <c:v>820.1</c:v>
                </c:pt>
                <c:pt idx="9">
                  <c:v>787.5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99-4203-BF0B-012B5001E86D}"/>
            </c:ext>
          </c:extLst>
        </c:ser>
        <c:ser>
          <c:idx val="8"/>
          <c:order val="8"/>
          <c:tx>
            <c:strRef>
              <c:f>Lookup!$A$60</c:f>
              <c:strCache>
                <c:ptCount val="1"/>
                <c:pt idx="0">
                  <c:v>Budget 2026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Lookup!$B$60:$P$60</c15:sqref>
                  </c15:fullRef>
                </c:ext>
              </c:extLst>
              <c:f>Lookup!$F$60:$P$60</c:f>
              <c:numCache>
                <c:formatCode>General</c:formatCode>
                <c:ptCount val="11"/>
                <c:pt idx="8">
                  <c:v>929.7</c:v>
                </c:pt>
                <c:pt idx="9">
                  <c:v>911.5</c:v>
                </c:pt>
                <c:pt idx="10">
                  <c:v>900.4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99-4203-BF0B-012B5001E86D}"/>
            </c:ext>
          </c:extLst>
        </c:ser>
        <c:ser>
          <c:idx val="9"/>
          <c:order val="9"/>
          <c:tx>
            <c:strRef>
              <c:f>Lookup!$A$63</c:f>
              <c:strCache>
                <c:ptCount val="1"/>
                <c:pt idx="0">
                  <c:v>Outturn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Lookup!$B$51:$P$51</c15:sqref>
                  </c15:fullRef>
                </c:ext>
              </c:extLst>
              <c:f>Lookup!$F$51:$P$51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Lookup!$B$63:$P$63</c15:sqref>
                  </c15:fullRef>
                </c:ext>
              </c:extLst>
              <c:f>Lookup!$F$63:$P$63</c:f>
              <c:numCache>
                <c:formatCode>General</c:formatCode>
                <c:ptCount val="11"/>
                <c:pt idx="0">
                  <c:v>457.2</c:v>
                </c:pt>
                <c:pt idx="1">
                  <c:v>485.2</c:v>
                </c:pt>
                <c:pt idx="2">
                  <c:v>494.4</c:v>
                </c:pt>
                <c:pt idx="3">
                  <c:v>516.6</c:v>
                </c:pt>
                <c:pt idx="4">
                  <c:v>562</c:v>
                </c:pt>
                <c:pt idx="5">
                  <c:v>652.5</c:v>
                </c:pt>
                <c:pt idx="6">
                  <c:v>735.1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99-4203-BF0B-012B5001E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07119"/>
        <c:axId val="300407599"/>
      </c:lineChart>
      <c:catAx>
        <c:axId val="30040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07599"/>
        <c:crosses val="autoZero"/>
        <c:auto val="1"/>
        <c:lblAlgn val="ctr"/>
        <c:lblOffset val="100"/>
        <c:noMultiLvlLbl val="0"/>
      </c:catAx>
      <c:valAx>
        <c:axId val="3004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0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Charts!$A$1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Lookup!$A$17</c:f>
              <c:strCache>
                <c:ptCount val="1"/>
                <c:pt idx="0">
                  <c:v>Budget year forecast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Lookup!$B$16:$P$16</c15:sqref>
                  </c15:fullRef>
                </c:ext>
              </c:extLst>
              <c:f>Lookup!$F$16:$N$16</c:f>
              <c:strCache>
                <c:ptCount val="9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Lookup!$B$17:$P$17</c15:sqref>
                  </c15:fullRef>
                </c:ext>
              </c:extLst>
              <c:f>Lookup!$F$17:$N$17</c:f>
              <c:numCache>
                <c:formatCode>General</c:formatCode>
                <c:ptCount val="9"/>
                <c:pt idx="0">
                  <c:v>541.1</c:v>
                </c:pt>
                <c:pt idx="1">
                  <c:v>615.20000000000005</c:v>
                </c:pt>
                <c:pt idx="2">
                  <c:v>578.20000000000005</c:v>
                </c:pt>
                <c:pt idx="3">
                  <c:v>512.9</c:v>
                </c:pt>
                <c:pt idx="4">
                  <c:v>572.20000000000005</c:v>
                </c:pt>
                <c:pt idx="5">
                  <c:v>695.2</c:v>
                </c:pt>
                <c:pt idx="6">
                  <c:v>741.9</c:v>
                </c:pt>
                <c:pt idx="7">
                  <c:v>870.7</c:v>
                </c:pt>
                <c:pt idx="8">
                  <c:v>929.7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3-4EBE-908B-C316CF87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2957807"/>
        <c:axId val="1102959247"/>
      </c:barChart>
      <c:lineChart>
        <c:grouping val="standard"/>
        <c:varyColors val="0"/>
        <c:ser>
          <c:idx val="1"/>
          <c:order val="1"/>
          <c:tx>
            <c:strRef>
              <c:f>Lookup!$A$18</c:f>
              <c:strCache>
                <c:ptCount val="1"/>
                <c:pt idx="0">
                  <c:v>Outturn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Lookup!$B$16:$P$16</c15:sqref>
                  </c15:fullRef>
                </c:ext>
              </c:extLst>
              <c:f>Lookup!$F$16:$N$16</c:f>
              <c:strCache>
                <c:ptCount val="9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Lookup!$B$18:$P$18</c15:sqref>
                  </c15:fullRef>
                </c:ext>
              </c:extLst>
              <c:f>Lookup!$F$18:$N$18</c:f>
              <c:numCache>
                <c:formatCode>General</c:formatCode>
                <c:ptCount val="9"/>
                <c:pt idx="0">
                  <c:v>457.2</c:v>
                </c:pt>
                <c:pt idx="1">
                  <c:v>485.2</c:v>
                </c:pt>
                <c:pt idx="2">
                  <c:v>494.4</c:v>
                </c:pt>
                <c:pt idx="3">
                  <c:v>516.6</c:v>
                </c:pt>
                <c:pt idx="4">
                  <c:v>562</c:v>
                </c:pt>
                <c:pt idx="5">
                  <c:v>652.5</c:v>
                </c:pt>
                <c:pt idx="6">
                  <c:v>735.1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D3-4EBE-908B-C316CF87D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957807"/>
        <c:axId val="1102959247"/>
      </c:lineChart>
      <c:catAx>
        <c:axId val="110295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59247"/>
        <c:crosses val="autoZero"/>
        <c:auto val="1"/>
        <c:lblAlgn val="ctr"/>
        <c:lblOffset val="100"/>
        <c:noMultiLvlLbl val="0"/>
      </c:catAx>
      <c:valAx>
        <c:axId val="11029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5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Charts!$A$1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Lookup!$A$73</c:f>
              <c:strCache>
                <c:ptCount val="1"/>
                <c:pt idx="0">
                  <c:v>Budget 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Lookup!$B$73:$P$73</c15:sqref>
                  </c15:fullRef>
                </c:ext>
              </c:extLst>
              <c:f>Lookup!$F$73:$P$73</c:f>
              <c:numCache>
                <c:formatCode>0.0%</c:formatCode>
                <c:ptCount val="11"/>
                <c:pt idx="0">
                  <c:v>0.52494776119402975</c:v>
                </c:pt>
                <c:pt idx="1">
                  <c:v>0.62444444444444447</c:v>
                </c:pt>
                <c:pt idx="2">
                  <c:v>0.52253593429158107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F-4627-AF36-C8E1494C93BB}"/>
            </c:ext>
          </c:extLst>
        </c:ser>
        <c:ser>
          <c:idx val="1"/>
          <c:order val="1"/>
          <c:tx>
            <c:strRef>
              <c:f>Lookup!$A$74</c:f>
              <c:strCache>
                <c:ptCount val="1"/>
                <c:pt idx="0">
                  <c:v>Budget 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Lookup!$B$74:$P$74</c15:sqref>
                  </c15:fullRef>
                </c:ext>
              </c:extLst>
              <c:f>Lookup!$F$74:$P$74</c:f>
              <c:numCache>
                <c:formatCode>0.0%</c:formatCode>
                <c:ptCount val="11"/>
                <c:pt idx="1">
                  <c:v>0.59227881005102534</c:v>
                </c:pt>
                <c:pt idx="2">
                  <c:v>0.57225380524481939</c:v>
                </c:pt>
                <c:pt idx="3">
                  <c:v>0.49238045191802421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F-4627-AF36-C8E1494C93BB}"/>
            </c:ext>
          </c:extLst>
        </c:ser>
        <c:ser>
          <c:idx val="2"/>
          <c:order val="2"/>
          <c:tx>
            <c:strRef>
              <c:f>Lookup!$A$75</c:f>
              <c:strCache>
                <c:ptCount val="1"/>
                <c:pt idx="0">
                  <c:v>Budget 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Lookup!$B$75:$P$75</c15:sqref>
                  </c15:fullRef>
                </c:ext>
              </c:extLst>
              <c:f>Lookup!$F$75:$P$75</c:f>
              <c:numCache>
                <c:formatCode>0.0%</c:formatCode>
                <c:ptCount val="11"/>
                <c:pt idx="2">
                  <c:v>0.4994921465968587</c:v>
                </c:pt>
                <c:pt idx="3">
                  <c:v>0.45382466281310224</c:v>
                </c:pt>
                <c:pt idx="4">
                  <c:v>0.40920870113493057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F-4627-AF36-C8E1494C93BB}"/>
            </c:ext>
          </c:extLst>
        </c:ser>
        <c:ser>
          <c:idx val="3"/>
          <c:order val="3"/>
          <c:tx>
            <c:strRef>
              <c:f>Lookup!$A$76</c:f>
              <c:strCache>
                <c:ptCount val="1"/>
                <c:pt idx="0">
                  <c:v>Budget 2021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Lookup!$B$76:$P$76</c15:sqref>
                  </c15:fullRef>
                </c:ext>
              </c:extLst>
              <c:f>Lookup!$F$76:$P$76</c:f>
              <c:numCache>
                <c:formatCode>0.0%</c:formatCode>
                <c:ptCount val="11"/>
                <c:pt idx="3">
                  <c:v>0.49747817652764303</c:v>
                </c:pt>
                <c:pt idx="4">
                  <c:v>0.46196251378169789</c:v>
                </c:pt>
                <c:pt idx="5">
                  <c:v>0.48003105322177175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6F-4627-AF36-C8E1494C93BB}"/>
            </c:ext>
          </c:extLst>
        </c:ser>
        <c:ser>
          <c:idx val="4"/>
          <c:order val="4"/>
          <c:tx>
            <c:strRef>
              <c:f>Lookup!$A$77</c:f>
              <c:strCache>
                <c:ptCount val="1"/>
                <c:pt idx="0">
                  <c:v>Budget 2022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Lookup!$B$77:$P$77</c15:sqref>
                  </c15:fullRef>
                </c:ext>
              </c:extLst>
              <c:f>Lookup!$F$77:$P$77</c:f>
              <c:numCache>
                <c:formatCode>0.0%</c:formatCode>
                <c:ptCount val="11"/>
                <c:pt idx="4">
                  <c:v>0.43427443837279911</c:v>
                </c:pt>
                <c:pt idx="5">
                  <c:v>0.34756140228115601</c:v>
                </c:pt>
                <c:pt idx="6">
                  <c:v>0.30849673202614381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6F-4627-AF36-C8E1494C93BB}"/>
            </c:ext>
          </c:extLst>
        </c:ser>
        <c:ser>
          <c:idx val="5"/>
          <c:order val="5"/>
          <c:tx>
            <c:strRef>
              <c:f>Lookup!$A$78</c:f>
              <c:strCache>
                <c:ptCount val="1"/>
                <c:pt idx="0">
                  <c:v>Budget 2023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Lookup!$B$78:$P$78</c15:sqref>
                  </c15:fullRef>
                </c:ext>
              </c:extLst>
              <c:f>Lookup!$F$78:$P$78</c:f>
              <c:numCache>
                <c:formatCode>0.0%</c:formatCode>
                <c:ptCount val="11"/>
                <c:pt idx="5">
                  <c:v>0.54644541484716158</c:v>
                </c:pt>
                <c:pt idx="6">
                  <c:v>0.42904829545454548</c:v>
                </c:pt>
                <c:pt idx="7">
                  <c:v>0.40813333333333335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6F-4627-AF36-C8E1494C93BB}"/>
            </c:ext>
          </c:extLst>
        </c:ser>
        <c:ser>
          <c:idx val="6"/>
          <c:order val="6"/>
          <c:tx>
            <c:v>Past vintages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Lookup!$B$79:$P$79</c15:sqref>
                  </c15:fullRef>
                </c:ext>
              </c:extLst>
              <c:f>Lookup!$F$79:$P$79</c:f>
              <c:numCache>
                <c:formatCode>0.0%</c:formatCode>
                <c:ptCount val="11"/>
                <c:pt idx="6">
                  <c:v>0.49852170407203328</c:v>
                </c:pt>
                <c:pt idx="7">
                  <c:v>0.41912293314162474</c:v>
                </c:pt>
                <c:pt idx="8">
                  <c:v>0.41152737752161384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6F-4627-AF36-C8E1494C93BB}"/>
            </c:ext>
          </c:extLst>
        </c:ser>
        <c:ser>
          <c:idx val="7"/>
          <c:order val="7"/>
          <c:tx>
            <c:strRef>
              <c:f>Lookup!$A$80</c:f>
              <c:strCache>
                <c:ptCount val="1"/>
                <c:pt idx="0">
                  <c:v>Budget 2025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Lookup!$B$80:$P$80</c15:sqref>
                  </c15:fullRef>
                </c:ext>
              </c:extLst>
              <c:f>Lookup!$F$80:$P$80</c:f>
              <c:numCache>
                <c:formatCode>0.0%</c:formatCode>
                <c:ptCount val="11"/>
                <c:pt idx="7">
                  <c:v>0.69103174603174611</c:v>
                </c:pt>
                <c:pt idx="8">
                  <c:v>0.6163848177376926</c:v>
                </c:pt>
                <c:pt idx="9">
                  <c:v>0.56719965427830588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6F-4627-AF36-C8E1494C93BB}"/>
            </c:ext>
          </c:extLst>
        </c:ser>
        <c:ser>
          <c:idx val="8"/>
          <c:order val="8"/>
          <c:tx>
            <c:strRef>
              <c:f>Lookup!$A$81</c:f>
              <c:strCache>
                <c:ptCount val="1"/>
                <c:pt idx="0">
                  <c:v>Budget 2026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Lookup!$B$81:$P$81</c15:sqref>
                  </c15:fullRef>
                </c:ext>
              </c:extLst>
              <c:f>Lookup!$F$81:$P$81</c:f>
              <c:numCache>
                <c:formatCode>0.0%</c:formatCode>
                <c:ptCount val="11"/>
                <c:pt idx="8">
                  <c:v>0.72030681025799959</c:v>
                </c:pt>
                <c:pt idx="9">
                  <c:v>0.66889263961253387</c:v>
                </c:pt>
                <c:pt idx="10">
                  <c:v>0.63345996904460389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6F-4627-AF36-C8E1494C93BB}"/>
            </c:ext>
          </c:extLst>
        </c:ser>
        <c:ser>
          <c:idx val="9"/>
          <c:order val="9"/>
          <c:tx>
            <c:strRef>
              <c:f>Charts!$I$1</c:f>
              <c:strCache>
                <c:ptCount val="1"/>
                <c:pt idx="0">
                  <c:v>Outturn (R)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Lookup!$B$72:$P$72</c15:sqref>
                  </c15:fullRef>
                </c:ext>
              </c:extLst>
              <c:f>Lookup!$F$72:$P$72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Lookup!$B$84:$P$84</c15:sqref>
                  </c15:fullRef>
                </c:ext>
              </c:extLst>
              <c:f>Lookup!$F$84:$P$84</c:f>
              <c:numCache>
                <c:formatCode>0.0%</c:formatCode>
                <c:ptCount val="11"/>
                <c:pt idx="0">
                  <c:v>0.42227766448413967</c:v>
                </c:pt>
                <c:pt idx="1">
                  <c:v>0.42203727642578825</c:v>
                </c:pt>
                <c:pt idx="2">
                  <c:v>0.42247218531042824</c:v>
                </c:pt>
                <c:pt idx="3">
                  <c:v>0.43671011588608427</c:v>
                </c:pt>
                <c:pt idx="4">
                  <c:v>0.44452793703976784</c:v>
                </c:pt>
                <c:pt idx="5">
                  <c:v>0.46739059266193411</c:v>
                </c:pt>
                <c:pt idx="6">
                  <c:v>0.47821139306969634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6F-4627-AF36-C8E1494C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485455"/>
        <c:axId val="306487375"/>
      </c:lineChart>
      <c:catAx>
        <c:axId val="30648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87375"/>
        <c:crosses val="autoZero"/>
        <c:auto val="1"/>
        <c:lblAlgn val="ctr"/>
        <c:lblOffset val="100"/>
        <c:noMultiLvlLbl val="0"/>
      </c:catAx>
      <c:valAx>
        <c:axId val="30648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48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Charts!$A$1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Lookup!$A$41</c:f>
              <c:strCache>
                <c:ptCount val="1"/>
                <c:pt idx="0">
                  <c:v>Budget year forecast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Lookup!$B$40:$P$40</c15:sqref>
                  </c15:fullRef>
                </c:ext>
              </c:extLst>
              <c:f>Lookup!$F$40:$N$40</c:f>
              <c:strCache>
                <c:ptCount val="9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Lookup!$B$41:$P$41</c15:sqref>
                  </c15:fullRef>
                </c:ext>
              </c:extLst>
              <c:f>Lookup!$F$41:$N$41</c:f>
              <c:numCache>
                <c:formatCode>General</c:formatCode>
                <c:ptCount val="9"/>
                <c:pt idx="0" formatCode="0.0%">
                  <c:v>0.2920248328557784</c:v>
                </c:pt>
                <c:pt idx="1" formatCode="0.0%">
                  <c:v>0.37444146559428071</c:v>
                </c:pt>
                <c:pt idx="2" formatCode="0.0%">
                  <c:v>0.12315462315462344</c:v>
                </c:pt>
                <c:pt idx="3" formatCode="0.0%">
                  <c:v>0.17853860294117641</c:v>
                </c:pt>
                <c:pt idx="4" formatCode="0.0%">
                  <c:v>0.21822439855226761</c:v>
                </c:pt>
                <c:pt idx="5" formatCode="0.0%">
                  <c:v>0.30750423170961061</c:v>
                </c:pt>
                <c:pt idx="6" formatCode="0.0%">
                  <c:v>0.21106758080313415</c:v>
                </c:pt>
                <c:pt idx="7" formatCode="0.0%">
                  <c:v>0.27781039037276201</c:v>
                </c:pt>
                <c:pt idx="8" formatCode="0.0%">
                  <c:v>0.10678571428571426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C-45E0-A6C5-65ED07E5A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3669135"/>
        <c:axId val="403670095"/>
      </c:barChart>
      <c:lineChart>
        <c:grouping val="standard"/>
        <c:varyColors val="0"/>
        <c:ser>
          <c:idx val="1"/>
          <c:order val="1"/>
          <c:tx>
            <c:strRef>
              <c:f>Lookup!$A$42</c:f>
              <c:strCache>
                <c:ptCount val="1"/>
                <c:pt idx="0">
                  <c:v>Outturn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Lookup!$B$40:$P$40</c15:sqref>
                  </c15:fullRef>
                </c:ext>
              </c:extLst>
              <c:f>Lookup!$F$40:$N$40</c:f>
              <c:strCache>
                <c:ptCount val="9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Lookup!$B$42:$P$42</c15:sqref>
                  </c15:fullRef>
                </c:ext>
              </c:extLst>
              <c:f>Lookup!$F$42:$N$42</c:f>
              <c:numCache>
                <c:formatCode>General</c:formatCode>
                <c:ptCount val="9"/>
                <c:pt idx="0" formatCode="0.0%">
                  <c:v>3.9563437926330103E-2</c:v>
                </c:pt>
                <c:pt idx="1" formatCode="0.0%">
                  <c:v>6.12423447069117E-2</c:v>
                </c:pt>
                <c:pt idx="2" formatCode="0.0%">
                  <c:v>1.8961253091508645E-2</c:v>
                </c:pt>
                <c:pt idx="3" formatCode="0.0%">
                  <c:v>4.490291262135937E-2</c:v>
                </c:pt>
                <c:pt idx="4" formatCode="0.0%">
                  <c:v>8.7882307394502535E-2</c:v>
                </c:pt>
                <c:pt idx="5" formatCode="0.0%">
                  <c:v>0.16103202846975084</c:v>
                </c:pt>
                <c:pt idx="6" formatCode="0.0%">
                  <c:v>0.12659003831417626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C-45E0-A6C5-65ED07E5A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669135"/>
        <c:axId val="403670095"/>
      </c:lineChart>
      <c:catAx>
        <c:axId val="4036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670095"/>
        <c:crosses val="autoZero"/>
        <c:auto val="1"/>
        <c:lblAlgn val="ctr"/>
        <c:lblOffset val="100"/>
        <c:noMultiLvlLbl val="0"/>
      </c:catAx>
      <c:valAx>
        <c:axId val="4036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66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'Non-Grant Revenue'!$A$99</c:f>
          <c:strCache>
            <c:ptCount val="1"/>
            <c:pt idx="0">
              <c:v>Non-grant 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634259259259263"/>
          <c:w val="0.89030796150481195"/>
          <c:h val="0.54417359288422285"/>
        </c:manualLayout>
      </c:layout>
      <c:lineChart>
        <c:grouping val="standard"/>
        <c:varyColors val="0"/>
        <c:ser>
          <c:idx val="0"/>
          <c:order val="0"/>
          <c:tx>
            <c:strRef>
              <c:f>'Non-Grant Revenue'!$A$100</c:f>
              <c:strCache>
                <c:ptCount val="1"/>
                <c:pt idx="0">
                  <c:v>Budget 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Revenue'!$B$100:$P$100</c15:sqref>
                  </c15:fullRef>
                </c:ext>
              </c:extLst>
              <c:f>'Non-Grant Revenue'!$F$100:$P$100</c:f>
              <c:numCache>
                <c:formatCode>General</c:formatCode>
                <c:ptCount val="11"/>
                <c:pt idx="0">
                  <c:v>289.60000000000002</c:v>
                </c:pt>
                <c:pt idx="1">
                  <c:v>294.60000000000002</c:v>
                </c:pt>
                <c:pt idx="2">
                  <c:v>305.39999999999998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7-46E5-914B-07CDE894BD68}"/>
            </c:ext>
          </c:extLst>
        </c:ser>
        <c:ser>
          <c:idx val="1"/>
          <c:order val="1"/>
          <c:tx>
            <c:strRef>
              <c:f>'Non-Grant Revenue'!$A$101</c:f>
              <c:strCache>
                <c:ptCount val="1"/>
                <c:pt idx="0">
                  <c:v>Budget 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Revenue'!$B$101:$P$101</c15:sqref>
                  </c15:fullRef>
                </c:ext>
              </c:extLst>
              <c:f>'Non-Grant Revenue'!$F$101:$P$101</c:f>
              <c:numCache>
                <c:formatCode>General</c:formatCode>
                <c:ptCount val="11"/>
                <c:pt idx="1">
                  <c:v>292</c:v>
                </c:pt>
                <c:pt idx="2">
                  <c:v>292.5</c:v>
                </c:pt>
                <c:pt idx="3">
                  <c:v>306.7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7-46E5-914B-07CDE894BD68}"/>
            </c:ext>
          </c:extLst>
        </c:ser>
        <c:ser>
          <c:idx val="2"/>
          <c:order val="2"/>
          <c:tx>
            <c:strRef>
              <c:f>'Non-Grant Revenue'!$A$102</c:f>
              <c:strCache>
                <c:ptCount val="1"/>
                <c:pt idx="0">
                  <c:v>Budget 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Revenue'!$B$102:$P$102</c15:sqref>
                  </c15:fullRef>
                </c:ext>
              </c:extLst>
              <c:f>'Non-Grant Revenue'!$F$102:$P$102</c:f>
              <c:numCache>
                <c:formatCode>General</c:formatCode>
                <c:ptCount val="11"/>
                <c:pt idx="2">
                  <c:v>305.60000000000002</c:v>
                </c:pt>
                <c:pt idx="3">
                  <c:v>311.39999999999998</c:v>
                </c:pt>
                <c:pt idx="4">
                  <c:v>317.09999999999997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7-46E5-914B-07CDE894BD68}"/>
            </c:ext>
          </c:extLst>
        </c:ser>
        <c:ser>
          <c:idx val="3"/>
          <c:order val="3"/>
          <c:tx>
            <c:strRef>
              <c:f>'Non-Grant Revenue'!$A$103</c:f>
              <c:strCache>
                <c:ptCount val="1"/>
                <c:pt idx="0">
                  <c:v>Budget 2021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Revenue'!$B$103:$P$103</c15:sqref>
                  </c15:fullRef>
                </c:ext>
              </c:extLst>
              <c:f>'Non-Grant Revenue'!$F$103:$P$103</c:f>
              <c:numCache>
                <c:formatCode>General</c:formatCode>
                <c:ptCount val="11"/>
                <c:pt idx="3">
                  <c:v>265</c:v>
                </c:pt>
                <c:pt idx="4">
                  <c:v>293.2</c:v>
                </c:pt>
                <c:pt idx="5">
                  <c:v>312.90000000000003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77-46E5-914B-07CDE894BD68}"/>
            </c:ext>
          </c:extLst>
        </c:ser>
        <c:ser>
          <c:idx val="4"/>
          <c:order val="4"/>
          <c:tx>
            <c:strRef>
              <c:f>'Non-Grant Revenue'!$A$104</c:f>
              <c:strCache>
                <c:ptCount val="1"/>
                <c:pt idx="0">
                  <c:v>Budget 2022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Revenue'!$B$104:$P$104</c15:sqref>
                  </c15:fullRef>
                </c:ext>
              </c:extLst>
              <c:f>'Non-Grant Revenue'!$F$104:$P$104</c:f>
              <c:numCache>
                <c:formatCode>General</c:formatCode>
                <c:ptCount val="11"/>
                <c:pt idx="4">
                  <c:v>277.8</c:v>
                </c:pt>
                <c:pt idx="5">
                  <c:v>279.89999999999998</c:v>
                </c:pt>
                <c:pt idx="6">
                  <c:v>281.39999999999998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7-46E5-914B-07CDE894BD68}"/>
            </c:ext>
          </c:extLst>
        </c:ser>
        <c:ser>
          <c:idx val="5"/>
          <c:order val="5"/>
          <c:tx>
            <c:strRef>
              <c:f>'Non-Grant Revenue'!$A$105</c:f>
              <c:strCache>
                <c:ptCount val="1"/>
                <c:pt idx="0">
                  <c:v>Budget 2023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Revenue'!$B$105:$P$105</c15:sqref>
                  </c15:fullRef>
                </c:ext>
              </c:extLst>
              <c:f>'Non-Grant Revenue'!$F$105:$P$105</c:f>
              <c:numCache>
                <c:formatCode>General</c:formatCode>
                <c:ptCount val="11"/>
                <c:pt idx="5">
                  <c:v>286.3</c:v>
                </c:pt>
                <c:pt idx="6">
                  <c:v>287</c:v>
                </c:pt>
                <c:pt idx="7">
                  <c:v>294.40000000000003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77-46E5-914B-07CDE894BD68}"/>
            </c:ext>
          </c:extLst>
        </c:ser>
        <c:ser>
          <c:idx val="6"/>
          <c:order val="6"/>
          <c:tx>
            <c:v>Past vintages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Revenue'!$B$106:$P$106</c15:sqref>
                  </c15:fullRef>
                </c:ext>
              </c:extLst>
              <c:f>'Non-Grant Revenue'!$F$106:$P$106</c:f>
              <c:numCache>
                <c:formatCode>General</c:formatCode>
                <c:ptCount val="11"/>
                <c:pt idx="6">
                  <c:v>326.39999999999998</c:v>
                </c:pt>
                <c:pt idx="7">
                  <c:v>333.1</c:v>
                </c:pt>
                <c:pt idx="8">
                  <c:v>344.4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77-46E5-914B-07CDE894BD68}"/>
            </c:ext>
          </c:extLst>
        </c:ser>
        <c:ser>
          <c:idx val="7"/>
          <c:order val="7"/>
          <c:tx>
            <c:strRef>
              <c:f>'Non-Grant Revenue'!$A$107</c:f>
              <c:strCache>
                <c:ptCount val="1"/>
                <c:pt idx="0">
                  <c:v>Budget 2025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Revenue'!$B$107:$P$107</c15:sqref>
                  </c15:fullRef>
                </c:ext>
              </c:extLst>
              <c:f>'Non-Grant Revenue'!$F$107:$P$107</c:f>
              <c:numCache>
                <c:formatCode>General</c:formatCode>
                <c:ptCount val="11"/>
                <c:pt idx="7">
                  <c:v>382.2</c:v>
                </c:pt>
                <c:pt idx="8">
                  <c:v>394.3</c:v>
                </c:pt>
                <c:pt idx="9">
                  <c:v>395.6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77-46E5-914B-07CDE894BD68}"/>
            </c:ext>
          </c:extLst>
        </c:ser>
        <c:ser>
          <c:idx val="8"/>
          <c:order val="8"/>
          <c:tx>
            <c:strRef>
              <c:f>'Non-Grant Revenue'!$A$108</c:f>
              <c:strCache>
                <c:ptCount val="1"/>
                <c:pt idx="0">
                  <c:v>Budget 2026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Revenue'!$B$108:$P$108</c15:sqref>
                  </c15:fullRef>
                </c:ext>
              </c:extLst>
              <c:f>'Non-Grant Revenue'!$F$108:$P$108</c:f>
              <c:numCache>
                <c:formatCode>General</c:formatCode>
                <c:ptCount val="11"/>
                <c:pt idx="8">
                  <c:v>420.5</c:v>
                </c:pt>
                <c:pt idx="9">
                  <c:v>462</c:v>
                </c:pt>
                <c:pt idx="10">
                  <c:v>472.9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77-46E5-914B-07CDE894BD68}"/>
            </c:ext>
          </c:extLst>
        </c:ser>
        <c:ser>
          <c:idx val="9"/>
          <c:order val="9"/>
          <c:tx>
            <c:strRef>
              <c:f>'Non-Grant Revenue'!$A$111</c:f>
              <c:strCache>
                <c:ptCount val="1"/>
                <c:pt idx="0">
                  <c:v>Outturn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Lit>
              <c:ptCount val="11"/>
              <c:pt idx="0">
                <c:v>FY2018</c:v>
              </c:pt>
              <c:pt idx="1">
                <c:v>FY2019</c:v>
              </c:pt>
              <c:pt idx="2">
                <c:v>FY2020</c:v>
              </c:pt>
              <c:pt idx="3">
                <c:v>FY2021</c:v>
              </c:pt>
              <c:pt idx="4">
                <c:v>FY2022</c:v>
              </c:pt>
              <c:pt idx="5">
                <c:v>FY2023</c:v>
              </c:pt>
              <c:pt idx="6">
                <c:v>FY2024</c:v>
              </c:pt>
              <c:pt idx="7">
                <c:v>FY2025</c:v>
              </c:pt>
              <c:pt idx="8">
                <c:v>FY2026</c:v>
              </c:pt>
              <c:pt idx="9">
                <c:v>FY2027</c:v>
              </c:pt>
              <c:pt idx="10">
                <c:v>FY2028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Revenue'!$B$111:$P$111</c15:sqref>
                  </c15:fullRef>
                </c:ext>
              </c:extLst>
              <c:f>'Non-Grant Revenue'!$F$111:$P$111</c:f>
              <c:numCache>
                <c:formatCode>General</c:formatCode>
                <c:ptCount val="11"/>
                <c:pt idx="0">
                  <c:v>266.39999999999998</c:v>
                </c:pt>
                <c:pt idx="1">
                  <c:v>272.60000000000002</c:v>
                </c:pt>
                <c:pt idx="2">
                  <c:v>280.8</c:v>
                </c:pt>
                <c:pt idx="3">
                  <c:v>277</c:v>
                </c:pt>
                <c:pt idx="4">
                  <c:v>282.2</c:v>
                </c:pt>
                <c:pt idx="5">
                  <c:v>316</c:v>
                </c:pt>
                <c:pt idx="6">
                  <c:v>348.2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577-46E5-914B-07CDE894B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776767"/>
        <c:axId val="426771487"/>
      </c:lineChart>
      <c:catAx>
        <c:axId val="42677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71487"/>
        <c:crosses val="autoZero"/>
        <c:auto val="1"/>
        <c:lblAlgn val="ctr"/>
        <c:lblOffset val="100"/>
        <c:noMultiLvlLbl val="0"/>
      </c:catAx>
      <c:valAx>
        <c:axId val="4267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7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Non-grant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634259259259263"/>
          <c:w val="0.89030796150481195"/>
          <c:h val="0.54417359288422285"/>
        </c:manualLayout>
      </c:layout>
      <c:lineChart>
        <c:grouping val="standard"/>
        <c:varyColors val="0"/>
        <c:ser>
          <c:idx val="0"/>
          <c:order val="0"/>
          <c:tx>
            <c:strRef>
              <c:f>'Non-Grant Revenue'!$A$116</c:f>
              <c:strCache>
                <c:ptCount val="1"/>
                <c:pt idx="0">
                  <c:v>Budget 2018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Revenue'!$B$116:$P$116</c15:sqref>
                  </c15:fullRef>
                </c:ext>
              </c:extLst>
              <c:f>'Non-Grant Revenue'!$F$116:$P$116</c:f>
              <c:numCache>
                <c:formatCode>General</c:formatCode>
                <c:ptCount val="11"/>
                <c:pt idx="0">
                  <c:v>0.28095522388059702</c:v>
                </c:pt>
                <c:pt idx="1">
                  <c:v>0.32733333333333337</c:v>
                </c:pt>
                <c:pt idx="2">
                  <c:v>0.28219712525667345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B-4440-A46A-0E9513EA122B}"/>
            </c:ext>
          </c:extLst>
        </c:ser>
        <c:ser>
          <c:idx val="1"/>
          <c:order val="1"/>
          <c:tx>
            <c:strRef>
              <c:f>'Non-Grant Revenue'!$A$117</c:f>
              <c:strCache>
                <c:ptCount val="1"/>
                <c:pt idx="0">
                  <c:v>Budget 2019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Revenue'!$B$117:$P$117</c15:sqref>
                  </c15:fullRef>
                </c:ext>
              </c:extLst>
              <c:f>'Non-Grant Revenue'!$F$117:$P$117</c:f>
              <c:numCache>
                <c:formatCode>General</c:formatCode>
                <c:ptCount val="11"/>
                <c:pt idx="1">
                  <c:v>0.28112063155867911</c:v>
                </c:pt>
                <c:pt idx="2">
                  <c:v>0.26820099028057953</c:v>
                </c:pt>
                <c:pt idx="3">
                  <c:v>0.26861096514275706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B-4440-A46A-0E9513EA122B}"/>
            </c:ext>
          </c:extLst>
        </c:ser>
        <c:ser>
          <c:idx val="2"/>
          <c:order val="2"/>
          <c:tx>
            <c:strRef>
              <c:f>'Non-Grant Revenue'!$A$118</c:f>
              <c:strCache>
                <c:ptCount val="1"/>
                <c:pt idx="0">
                  <c:v>Budget 2020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Revenue'!$B$118:$P$118</c15:sqref>
                  </c15:fullRef>
                </c:ext>
              </c:extLst>
              <c:f>'Non-Grant Revenue'!$F$118:$P$118</c:f>
              <c:numCache>
                <c:formatCode>General</c:formatCode>
                <c:ptCount val="11"/>
                <c:pt idx="2">
                  <c:v>0.26400000000000001</c:v>
                </c:pt>
                <c:pt idx="3">
                  <c:v>0.255</c:v>
                </c:pt>
                <c:pt idx="4">
                  <c:v>0.24492276166456489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B-4440-A46A-0E9513EA122B}"/>
            </c:ext>
          </c:extLst>
        </c:ser>
        <c:ser>
          <c:idx val="3"/>
          <c:order val="3"/>
          <c:tx>
            <c:strRef>
              <c:f>'Non-Grant Revenue'!$A$119</c:f>
              <c:strCache>
                <c:ptCount val="1"/>
                <c:pt idx="0">
                  <c:v>Budget 2021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Revenue'!$B$119:$P$119</c15:sqref>
                  </c15:fullRef>
                </c:ext>
              </c:extLst>
              <c:f>'Non-Grant Revenue'!$F$119:$P$119</c:f>
              <c:numCache>
                <c:formatCode>General</c:formatCode>
                <c:ptCount val="11"/>
                <c:pt idx="3">
                  <c:v>0.25703200775945684</c:v>
                </c:pt>
                <c:pt idx="4">
                  <c:v>0.26938625505328923</c:v>
                </c:pt>
                <c:pt idx="5">
                  <c:v>0.26990425256620376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EB-4440-A46A-0E9513EA122B}"/>
            </c:ext>
          </c:extLst>
        </c:ser>
        <c:ser>
          <c:idx val="4"/>
          <c:order val="4"/>
          <c:tx>
            <c:strRef>
              <c:f>'Non-Grant Revenue'!$A$120</c:f>
              <c:strCache>
                <c:ptCount val="1"/>
                <c:pt idx="0">
                  <c:v>Budget 2022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Revenue'!$B$120:$P$120</c15:sqref>
                  </c15:fullRef>
                </c:ext>
              </c:extLst>
              <c:f>'Non-Grant Revenue'!$F$120:$P$120</c:f>
              <c:numCache>
                <c:formatCode>General</c:formatCode>
                <c:ptCount val="11"/>
                <c:pt idx="4">
                  <c:v>0.21083788706739529</c:v>
                </c:pt>
                <c:pt idx="5">
                  <c:v>0.19585753271289622</c:v>
                </c:pt>
                <c:pt idx="6">
                  <c:v>0.18392156862745096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EB-4440-A46A-0E9513EA122B}"/>
            </c:ext>
          </c:extLst>
        </c:ser>
        <c:ser>
          <c:idx val="5"/>
          <c:order val="5"/>
          <c:tx>
            <c:strRef>
              <c:f>'Non-Grant Revenue'!$A$121</c:f>
              <c:strCache>
                <c:ptCount val="1"/>
                <c:pt idx="0">
                  <c:v>Budget 2023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Revenue'!$B$121:$P$121</c15:sqref>
                  </c15:fullRef>
                </c:ext>
              </c:extLst>
              <c:f>'Non-Grant Revenue'!$F$121:$P$121</c:f>
              <c:numCache>
                <c:formatCode>General</c:formatCode>
                <c:ptCount val="11"/>
                <c:pt idx="5">
                  <c:v>0.22503930131004368</c:v>
                </c:pt>
                <c:pt idx="6">
                  <c:v>0.20383522727272727</c:v>
                </c:pt>
                <c:pt idx="7">
                  <c:v>0.1962666666666667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EB-4440-A46A-0E9513EA122B}"/>
            </c:ext>
          </c:extLst>
        </c:ser>
        <c:ser>
          <c:idx val="6"/>
          <c:order val="6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Revenue'!$B$122:$P$122</c15:sqref>
                  </c15:fullRef>
                </c:ext>
              </c:extLst>
              <c:f>'Non-Grant Revenue'!$F$122:$P$122</c:f>
              <c:numCache>
                <c:formatCode>General</c:formatCode>
                <c:ptCount val="11"/>
                <c:pt idx="6">
                  <c:v>0.21932535949469156</c:v>
                </c:pt>
                <c:pt idx="7">
                  <c:v>0.19955667385573927</c:v>
                </c:pt>
                <c:pt idx="8">
                  <c:v>0.19850144092219019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EB-4440-A46A-0E9513EA122B}"/>
            </c:ext>
          </c:extLst>
        </c:ser>
        <c:ser>
          <c:idx val="7"/>
          <c:order val="7"/>
          <c:tx>
            <c:strRef>
              <c:f>'Non-Grant Revenue'!$A$123</c:f>
              <c:strCache>
                <c:ptCount val="1"/>
                <c:pt idx="0">
                  <c:v>Budget 2025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Revenue'!$B$123:$P$123</c15:sqref>
                  </c15:fullRef>
                </c:ext>
              </c:extLst>
              <c:f>'Non-Grant Revenue'!$F$123:$P$123</c:f>
              <c:numCache>
                <c:formatCode>General</c:formatCode>
                <c:ptCount val="11"/>
                <c:pt idx="7">
                  <c:v>0.30333333333333334</c:v>
                </c:pt>
                <c:pt idx="8">
                  <c:v>0.29635475385193538</c:v>
                </c:pt>
                <c:pt idx="9">
                  <c:v>0.28493229616825122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EB-4440-A46A-0E9513EA122B}"/>
            </c:ext>
          </c:extLst>
        </c:ser>
        <c:ser>
          <c:idx val="8"/>
          <c:order val="8"/>
          <c:tx>
            <c:strRef>
              <c:f>'Non-Grant Revenue'!$A$124</c:f>
              <c:strCache>
                <c:ptCount val="1"/>
                <c:pt idx="0">
                  <c:v>Budget 2026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'Non-Grant Revenue'!$B$99:$P$99</c15:sqref>
                  </c15:fullRef>
                </c:ext>
              </c:extLst>
              <c:f>'Non-Grant Revenue'!$F$99:$P$99</c:f>
              <c:strCache>
                <c:ptCount val="11"/>
                <c:pt idx="0">
                  <c:v>FY2018</c:v>
                </c:pt>
                <c:pt idx="1">
                  <c:v>FY2019</c:v>
                </c:pt>
                <c:pt idx="2">
                  <c:v>FY2020</c:v>
                </c:pt>
                <c:pt idx="3">
                  <c:v>FY2021</c:v>
                </c:pt>
                <c:pt idx="4">
                  <c:v>FY2022</c:v>
                </c:pt>
                <c:pt idx="5">
                  <c:v>FY2023</c:v>
                </c:pt>
                <c:pt idx="6">
                  <c:v>FY2024</c:v>
                </c:pt>
                <c:pt idx="7">
                  <c:v>FY2025</c:v>
                </c:pt>
                <c:pt idx="8">
                  <c:v>FY2026</c:v>
                </c:pt>
                <c:pt idx="9">
                  <c:v>FY2027</c:v>
                </c:pt>
                <c:pt idx="10">
                  <c:v>FY2028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Revenue'!$B$124:$P$124</c15:sqref>
                  </c15:fullRef>
                </c:ext>
              </c:extLst>
              <c:f>'Non-Grant Revenue'!$F$124:$P$124</c:f>
              <c:numCache>
                <c:formatCode>General</c:formatCode>
                <c:ptCount val="11"/>
                <c:pt idx="8">
                  <c:v>0.32579220577980939</c:v>
                </c:pt>
                <c:pt idx="9">
                  <c:v>0.3390328025244001</c:v>
                </c:pt>
                <c:pt idx="10">
                  <c:v>0.33270015477698039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EB-4440-A46A-0E9513EA122B}"/>
            </c:ext>
          </c:extLst>
        </c:ser>
        <c:ser>
          <c:idx val="9"/>
          <c:order val="9"/>
          <c:tx>
            <c:strRef>
              <c:f>'Non-Grant Revenue'!$A$127</c:f>
              <c:strCache>
                <c:ptCount val="1"/>
                <c:pt idx="0">
                  <c:v>Outturn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Lit>
              <c:ptCount val="11"/>
              <c:pt idx="0">
                <c:v>FY2018</c:v>
              </c:pt>
              <c:pt idx="1">
                <c:v>FY2019</c:v>
              </c:pt>
              <c:pt idx="2">
                <c:v>FY2020</c:v>
              </c:pt>
              <c:pt idx="3">
                <c:v>FY2021</c:v>
              </c:pt>
              <c:pt idx="4">
                <c:v>FY2022</c:v>
              </c:pt>
              <c:pt idx="5">
                <c:v>FY2023</c:v>
              </c:pt>
              <c:pt idx="6">
                <c:v>FY2024</c:v>
              </c:pt>
              <c:pt idx="7">
                <c:v>FY2025</c:v>
              </c:pt>
              <c:pt idx="8">
                <c:v>FY2026</c:v>
              </c:pt>
              <c:pt idx="9">
                <c:v>FY2027</c:v>
              </c:pt>
              <c:pt idx="10">
                <c:v>FY2028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'Non-Grant Revenue'!$B$127:$P$127</c15:sqref>
                  </c15:fullRef>
                </c:ext>
              </c:extLst>
              <c:f>'Non-Grant Revenue'!$F$127:$P$127</c:f>
              <c:numCache>
                <c:formatCode>General</c:formatCode>
                <c:ptCount val="11"/>
                <c:pt idx="0">
                  <c:v>0.25025833724753405</c:v>
                </c:pt>
                <c:pt idx="1">
                  <c:v>0.23419243986254298</c:v>
                </c:pt>
                <c:pt idx="2">
                  <c:v>0.24867162592986186</c:v>
                </c:pt>
                <c:pt idx="3">
                  <c:v>0.25914491533352041</c:v>
                </c:pt>
                <c:pt idx="4">
                  <c:v>0.25978090766823159</c:v>
                </c:pt>
                <c:pt idx="5">
                  <c:v>0.26301771207883873</c:v>
                </c:pt>
                <c:pt idx="6">
                  <c:v>0.22651574290918552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EB-4440-A46A-0E9513EA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776767"/>
        <c:axId val="426771487"/>
      </c:lineChart>
      <c:catAx>
        <c:axId val="42677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71487"/>
        <c:crosses val="autoZero"/>
        <c:auto val="1"/>
        <c:lblAlgn val="ctr"/>
        <c:lblOffset val="100"/>
        <c:noMultiLvlLbl val="0"/>
      </c:catAx>
      <c:valAx>
        <c:axId val="4267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7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  <cx:data id="1">
      <cx:numDim type="val">
        <cx:f dir="row">_xlchart.v1.5</cx:f>
      </cx:numDim>
    </cx:data>
    <cx:data id="2">
      <cx:numDim type="val">
        <cx:f dir="row">_xlchart.v1.6</cx:f>
      </cx:numDim>
    </cx:data>
  </cx:chartData>
  <cx:chart>
    <cx:title pos="t" align="ctr" overlay="0">
      <cx:tx>
        <cx:txData>
          <cx:f>_xlchart.v1.0</cx:f>
          <cx:v>Revenue</cx:v>
        </cx:txData>
      </cx:tx>
    </cx:title>
    <cx:plotArea>
      <cx:plotAreaRegion>
        <cx:series layoutId="boxWhisker" uniqueId="{DC32CFFF-8647-4311-A194-082ABC74357B}">
          <cx:tx>
            <cx:txData>
              <cx:f>_xlchart.v1.1</cx:f>
              <cx:v>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693-4222-AEBA-A32E865CB7BF}">
          <cx:tx>
            <cx:txData>
              <cx:f>_xlchart.v1.2</cx:f>
              <cx:v>t+1</cx:v>
            </cx:txData>
          </cx:tx>
          <cx:dataId val="1"/>
          <cx:layoutPr>
            <cx:statistics quartileMethod="exclusive"/>
          </cx:layoutPr>
        </cx:series>
        <cx:series layoutId="boxWhisker" uniqueId="{00000002-A693-4222-AEBA-A32E865CB7BF}">
          <cx:tx>
            <cx:txData>
              <cx:f>_xlchart.v1.3</cx:f>
              <cx:v>t+2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7</xdr:col>
      <xdr:colOff>307340</xdr:colOff>
      <xdr:row>17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AB052-4674-44EE-A438-68E83F28F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10885</xdr:colOff>
      <xdr:row>18</xdr:row>
      <xdr:rowOff>21770</xdr:rowOff>
    </xdr:from>
    <xdr:to>
      <xdr:col>7</xdr:col>
      <xdr:colOff>315685</xdr:colOff>
      <xdr:row>32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ECD9A2-882F-43D4-9E7C-246AC651A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10886</xdr:colOff>
      <xdr:row>2</xdr:row>
      <xdr:rowOff>10885</xdr:rowOff>
    </xdr:from>
    <xdr:to>
      <xdr:col>15</xdr:col>
      <xdr:colOff>318226</xdr:colOff>
      <xdr:row>16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D4728B-D1B9-4850-BA8B-2B33E6BC2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18</xdr:row>
      <xdr:rowOff>32656</xdr:rowOff>
    </xdr:from>
    <xdr:to>
      <xdr:col>15</xdr:col>
      <xdr:colOff>304799</xdr:colOff>
      <xdr:row>32</xdr:row>
      <xdr:rowOff>134256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1F9373-DF05-4A3D-8D74-0597E375A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43542</xdr:colOff>
      <xdr:row>18</xdr:row>
      <xdr:rowOff>-1</xdr:rowOff>
    </xdr:from>
    <xdr:to>
      <xdr:col>23</xdr:col>
      <xdr:colOff>348342</xdr:colOff>
      <xdr:row>32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CC577D1C-88C5-4120-8424-0C0FA948BF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7142" y="3291839"/>
              <a:ext cx="45720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T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54429</xdr:colOff>
      <xdr:row>18</xdr:row>
      <xdr:rowOff>97972</xdr:rowOff>
    </xdr:from>
    <xdr:to>
      <xdr:col>17</xdr:col>
      <xdr:colOff>359737</xdr:colOff>
      <xdr:row>19</xdr:row>
      <xdr:rowOff>156755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024A519-22F6-4843-B5C1-B264F70FCB1F}"/>
            </a:ext>
          </a:extLst>
        </xdr:cNvPr>
        <xdr:cNvSpPr txBox="1"/>
      </xdr:nvSpPr>
      <xdr:spPr>
        <a:xfrm>
          <a:off x="9808029" y="3429001"/>
          <a:ext cx="914908" cy="24384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AU" sz="900" kern="1200"/>
            <a:t>Percent of GDP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</cdr:x>
      <cdr:y>0.01818</cdr:y>
    </cdr:from>
    <cdr:to>
      <cdr:x>0.2111</cdr:x>
      <cdr:y>0.10707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F05DB7-B02E-9479-E1C4-FDC33509237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14908" cy="248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900" kern="1200"/>
            <a:t>$T million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0.01818</cdr:y>
    </cdr:from>
    <cdr:to>
      <cdr:x>0.21122</cdr:x>
      <cdr:y>0.10707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8778800-C895-3396-CE1A-606409FBC90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14908" cy="248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900" kern="1200"/>
            <a:t>$T million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0.02917</cdr:y>
    </cdr:from>
    <cdr:to>
      <cdr:x>0.2</cdr:x>
      <cdr:y>0.11806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6B5464-6124-2301-F8D2-B465983C1D5A}"/>
            </a:ext>
          </a:extLst>
        </cdr:cNvPr>
        <cdr:cNvSpPr txBox="1"/>
      </cdr:nvSpPr>
      <cdr:spPr>
        <a:xfrm xmlns:a="http://schemas.openxmlformats.org/drawingml/2006/main">
          <a:off x="0" y="80010"/>
          <a:ext cx="91440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900" kern="1200"/>
            <a:t>Percent of GDP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0.21122</cdr:x>
      <cdr:y>0.10905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082CCFC-F887-D282-67BF-6C0AAF2D75C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14908" cy="248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900" kern="1200"/>
            <a:t>Percent growth	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87405</xdr:colOff>
      <xdr:row>0</xdr:row>
      <xdr:rowOff>0</xdr:rowOff>
    </xdr:from>
    <xdr:to>
      <xdr:col>23</xdr:col>
      <xdr:colOff>392205</xdr:colOff>
      <xdr:row>15</xdr:row>
      <xdr:rowOff>57374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96FA2-B6BA-4C82-AA33-5D63FB7A9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16</xdr:row>
      <xdr:rowOff>38100</xdr:rowOff>
    </xdr:from>
    <xdr:to>
      <xdr:col>23</xdr:col>
      <xdr:colOff>365760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FC3ACE-ED80-4C37-B61C-A227EC69C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0.21111</cdr:x>
      <cdr:y>0.11019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8DD0AF3-DC23-4F69-784F-F6EC5F0DD49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1440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100" kern="1200"/>
            <a:t>$T million</a:t>
          </a:r>
        </a:p>
        <a:p xmlns:a="http://schemas.openxmlformats.org/drawingml/2006/main">
          <a:r>
            <a:rPr lang="en-AU" sz="1100" kern="1200"/>
            <a:t>		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0.21111</cdr:x>
      <cdr:y>0.11019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8DD0AF3-DC23-4F69-784F-F6EC5F0DD49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914400" cy="251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100" kern="1200"/>
            <a:t>% of GDP</a:t>
          </a:r>
        </a:p>
        <a:p xmlns:a="http://schemas.openxmlformats.org/drawingml/2006/main">
          <a:r>
            <a:rPr lang="en-AU" sz="1100" kern="1200"/>
            <a:t>		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Matt Crooke" id="{3681EF39-0D23-4F9D-8DC1-2B0818A98740}" userId="5ad766da37fd1184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4A2868BE-6209-429B-98AB-B3E2465950F5}" autoFormatId="16" applyNumberFormats="0" applyBorderFormats="0" applyFontFormats="0" applyPatternFormats="0" applyAlignmentFormats="0" applyWidthHeightFormats="0">
  <queryTableRefresh nextId="11">
    <queryTableFields count="7">
      <queryTableField id="2" name="Column2" tableColumnId="2"/>
      <queryTableField id="4" name="GOVERNMENT OF TONGA BUDGET STATEMENT FOR YEAR ENDING 30TH JUNE 2018" tableColumnId="4"/>
      <queryTableField id="6" name="Column6" tableColumnId="6"/>
      <queryTableField id="7" name="Column7" tableColumnId="7"/>
      <queryTableField id="8" name="[image]^{/18} 2017" tableColumnId="8"/>
      <queryTableField id="9" name="Column9" tableColumnId="9"/>
      <queryTableField id="10" name="Column10" tableColumnId="10"/>
    </queryTableFields>
    <queryTableDeletedFields count="3">
      <deletedField name="Column1"/>
      <deletedField name="Column3"/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780FF71-6213-4E0E-A018-FC7A8B381551}" autoFormatId="16" applyNumberFormats="0" applyBorderFormats="0" applyFontFormats="0" applyPatternFormats="0" applyAlignmentFormats="0" applyWidthHeightFormats="0">
  <queryTableRefresh nextId="27">
    <queryTableFields count="6">
      <queryTableField id="2" name="Goverment of Tonga Budget Statement for year ending 30th June 2019" tableColumnId="2"/>
      <queryTableField id="15" name="Column15" tableColumnId="15"/>
      <queryTableField id="19" name="Column19" tableColumnId="19"/>
      <queryTableField id="22" name="Column22" tableColumnId="22"/>
      <queryTableField id="24" name="Column24" tableColumnId="24"/>
      <queryTableField id="26" name="2018/19" tableColumnId="26"/>
    </queryTableFields>
    <queryTableDeletedFields count="20">
      <deletedField name="Column1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6"/>
      <deletedField name="Column17"/>
      <deletedField name="Column18"/>
      <deletedField name="Column20"/>
      <deletedField name="Column21"/>
      <deletedField name="Column23"/>
      <deletedField name="Column2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051CA711-E1FC-499B-977C-5D6AEFDD234E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2017/18_x000a_Actual" tableColumnId="2"/>
      <queryTableField id="4" name="2018/19_x000a_Revised_x000a_Estimate" tableColumnId="4"/>
      <queryTableField id="5" name="Budget_x000a_Estimate_x000a_2019/20" tableColumnId="5"/>
      <queryTableField id="6" name="2020/21_x000a_Projection" tableColumnId="6"/>
      <queryTableField id="7" name="2021/22_x000a_Projection" tableColumnId="7"/>
    </queryTableFields>
    <queryTableDeletedFields count="1">
      <deletedField name="2018/19_x000a_Estimat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E43AE0CE-FDDA-4FAE-B808-1D9380AF31E6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2018/19_x000a_Actual" tableColumnId="2"/>
      <queryTableField id="4" name="2019/20_x000a_Estimate_x000a_Outturn" tableColumnId="4"/>
      <queryTableField id="5" name="Budget_x000a_Estimate_x000a_2020 /21" tableColumnId="5"/>
      <queryTableField id="6" name="2021/22_x000a_Projection" tableColumnId="6"/>
      <queryTableField id="7" name="2022/23_x000a_Projection" tableColumnId="7"/>
    </queryTableFields>
    <queryTableDeletedFields count="1">
      <deletedField name="2019/20_x000a_Estimat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19C11BF-0D69-4C31-B56D-69A62E51DCE4}" autoFormatId="16" applyNumberFormats="0" applyBorderFormats="0" applyFontFormats="0" applyPatternFormats="0" applyAlignmentFormats="0" applyWidthHeightFormats="0">
  <queryTableRefresh nextId="9">
    <queryTableFields count="6">
      <queryTableField id="1" name="Column1" tableColumnId="1"/>
      <queryTableField id="3" name="2019/20_x000a_Actual" tableColumnId="3"/>
      <queryTableField id="5" name="Estimated_x000a_Outturn_x000a_2020 /21" tableColumnId="5"/>
      <queryTableField id="6" name="Budget_x000a_Estimate_x000a_2021/22" tableColumnId="6"/>
      <queryTableField id="7" name="2022/23_x000a_Projection" tableColumnId="7"/>
      <queryTableField id="8" name="2023/24_x000a_Projection" tableColumnId="8"/>
    </queryTableFields>
    <queryTableDeletedFields count="2">
      <deletedField name="Budget_x000a_Estimate_x000a_2020 /21"/>
      <deletedField name="2018/19_x000a_Actual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AF9B84C5-F891-4BB9-A010-1AFC9F6EA7FC}" autoFormatId="16" applyNumberFormats="0" applyBorderFormats="0" applyFontFormats="0" applyPatternFormats="0" applyAlignmentFormats="0" applyWidthHeightFormats="0">
  <queryTableRefresh nextId="9">
    <queryTableFields count="6">
      <queryTableField id="1" name="Column1" tableColumnId="1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2">
      <deletedField name="Column2"/>
      <deletedField name="Column4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04122C4-3320-4E24-B190-AA759898EA3C}" autoFormatId="16" applyNumberFormats="0" applyBorderFormats="0" applyFontFormats="0" applyPatternFormats="0" applyAlignmentFormats="0" applyWidthHeightFormats="0">
  <queryTableRefresh nextId="9">
    <queryTableFields count="6">
      <queryTableField id="1" name="Column1" tableColumnId="1"/>
      <queryTableField id="3" name="Column3" tableColumnId="3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2">
      <deletedField name="Column2"/>
      <deletedField name="Column4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034F47A1-58E8-41B6-B7CC-C98B6DF44B94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2020/21_x000a_Actual" tableColumnId="5"/>
      <queryTableField id="7" name="Est._x000a_Outurn_x000a_2021/22" tableColumnId="7"/>
      <queryTableField id="8" name="Budget_x000a_Est._x000a_2022/23" tableColumnId="8"/>
      <queryTableField id="9" name="2023/24_x000a_Projection" tableColumnId="9"/>
      <queryTableField id="10" name="2024/25_x000a_Projection" tableColumnId="10"/>
    </queryTableFields>
    <queryTableDeletedFields count="4">
      <deletedField name="Budget_x000a_Est._x000a_2021/22"/>
      <deletedField name="2017/18_x000a_Actual"/>
      <deletedField name="2018/19_x000a_Actual"/>
      <deletedField name="2019/20_x000a_Actual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0AD64F23-E164-40B5-9628-50312A6494A0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2020/21_x000a_Actual" tableColumnId="5"/>
      <queryTableField id="7" name="2021/22 Est." tableColumnId="7"/>
      <queryTableField id="8" name="Budget 2022-23" tableColumnId="8"/>
      <queryTableField id="9" name="2023/24_x000a_Projection" tableColumnId="9"/>
      <queryTableField id="10" name="2024/25_x000a_Projection" tableColumnId="10"/>
    </queryTableFields>
    <queryTableDeletedFields count="4">
      <deletedField name="2017/18_x000a_Actual"/>
      <deletedField name="2018/19_x000a_Actual"/>
      <deletedField name="2019/20_x000a_Actual"/>
      <deletedField name="Budget 2021/22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31C8F2E7-79F5-4902-830A-BBEF5AECAA28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2020/21_x000a_Actual" tableColumnId="5"/>
      <queryTableField id="7" name="Est. Outurn_x000a_2021/22" tableColumnId="7"/>
      <queryTableField id="8" name="Budget Est._x000a_2022/23" tableColumnId="8"/>
      <queryTableField id="9" name="2023/24_x000a_Projection" tableColumnId="9"/>
      <queryTableField id="10" name="2024/25_x000a_Projection" tableColumnId="10"/>
    </queryTableFields>
    <queryTableDeletedFields count="4">
      <deletedField name="2017/18_x000a_Actual"/>
      <deletedField name="2018/19_x000a_Actual"/>
      <deletedField name="2019/20_x000a_Actual"/>
      <deletedField name="Budget Est._x000a_2021/22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0A3AE9D5-C346-4BC6-A808-ADDEAD21E9DF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2020/21 Actual" tableColumnId="5"/>
      <queryTableField id="7" name="Est. outturn 2021/22" tableColumnId="7"/>
      <queryTableField id="8" name="Budget 2022/23" tableColumnId="8"/>
      <queryTableField id="9" name="2023/24" tableColumnId="9"/>
      <queryTableField id="10" name="2024/25" tableColumnId="10"/>
    </queryTableFields>
    <queryTableDeletedFields count="4">
      <deletedField name="2017/18 Actual"/>
      <deletedField name="2018/19 Actual"/>
      <deletedField name="2019/20 Actual"/>
      <deletedField name="Budget 2021/22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712BBA9F-C0ED-4B29-8E03-44FD09D7A392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Column5" tableColumnId="5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4">
      <deletedField name="Column2"/>
      <deletedField name="Column3"/>
      <deletedField name="Column4"/>
      <deletedField name="Column6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6" xr16:uid="{F03D27D8-B0D0-409E-B482-0FFC207F449C}" autoFormatId="16" applyNumberFormats="0" applyBorderFormats="0" applyFontFormats="0" applyPatternFormats="0" applyAlignmentFormats="0" applyWidthHeightFormats="0">
  <queryTableRefresh nextId="11">
    <queryTableFields count="6">
      <queryTableField id="1" name="Column1" tableColumnId="1"/>
      <queryTableField id="5" name="2020/21_x000a_Actual" tableColumnId="5"/>
      <queryTableField id="7" name="Est." tableColumnId="7"/>
      <queryTableField id="8" name="Budget_1" tableColumnId="8"/>
      <queryTableField id="9" name="2023/24_x000a_Projection" tableColumnId="9"/>
      <queryTableField id="10" name="2024/25_x000a_Projection" tableColumnId="10"/>
    </queryTableFields>
    <queryTableDeletedFields count="4">
      <deletedField name="2017/18_x000a_Actual"/>
      <deletedField name="2018/19_x000a_Actual"/>
      <deletedField name="2019/20_x000a_Actual"/>
      <deletedField name="Budget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DEEA116D-C3D0-4503-A4FD-EBBE2BB53628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3" dataBound="0" tableColumnId="3"/>
      <queryTableField id="4" name="Estimate_x000a_Outturn_x000a_2022/23" tableColumnId="4"/>
      <queryTableField id="5" name="Budget_x000a_Estimate_x000a_2023/24" tableColumnId="5"/>
      <queryTableField id="6" name="2024/25_x000a_Estimate" tableColumnId="6"/>
      <queryTableField id="7" name="2025/26_x000a_Estimate" tableColumnId="7"/>
    </queryTableFields>
    <queryTableDeletedFields count="2">
      <deletedField name="2021/22_x000a_Actual"/>
      <deletedField name="Budget_x000a_Estimate_x000a_2022/23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3" xr16:uid="{124C5CE8-E568-4268-A603-D550878C42F5}" autoFormatId="16" applyNumberFormats="0" applyBorderFormats="0" applyFontFormats="0" applyPatternFormats="0" applyAlignmentFormats="0" applyWidthHeightFormats="0">
  <queryTableRefresh nextId="12">
    <queryTableFields count="6">
      <queryTableField id="1" name="Column1" tableColumnId="1"/>
      <queryTableField id="4" name="2021/22_x000a_Actual" tableColumnId="4"/>
      <queryTableField id="7" name="Estimate_x000a_Outturn_x000a_2022/23" tableColumnId="7"/>
      <queryTableField id="8" name="Budget_x000a_Estimate_x000a_2023/24" tableColumnId="8"/>
      <queryTableField id="10" name="2024/25_x000a_Estimate" tableColumnId="10"/>
      <queryTableField id="11" name="2025/26_x000a_Estimate" tableColumnId="11"/>
    </queryTableFields>
    <queryTableDeletedFields count="5">
      <deletedField name="Column2"/>
      <deletedField name="Column3"/>
      <deletedField name="Column5"/>
      <deletedField name="Column9"/>
      <deletedField name="Budget_x000a_Estimate_x000a_2022/23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A24AF0E5-3EF7-4207-B3AB-65167E6A8A6E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3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3389C446-FCBC-4CB3-BF67-DCAEE65DE0B6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3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D2B9B683-61DC-4C78-B111-5C33E2BFF608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"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DA0E85-7E9A-4F16-92FC-9EC23793D42E}" name="Page155" displayName="Page155" ref="A1:G53" tableType="queryTable" totalsRowShown="0">
  <autoFilter ref="A1:G53" xr:uid="{08DA0E85-7E9A-4F16-92FC-9EC23793D42E}"/>
  <tableColumns count="7">
    <tableColumn id="2" xr3:uid="{98149D3B-C496-408F-BCD8-356819AC8F2D}" uniqueName="2" name="Column2" queryTableFieldId="2" dataDxfId="70"/>
    <tableColumn id="4" xr3:uid="{366BD5E9-68E3-4962-87E4-BEC3D90DEEA5}" uniqueName="4" name="GOVERNMENT OF TONGA BUDGET STATEMENT FOR YEAR ENDING 30TH JUNE 2018" queryTableFieldId="4" dataDxfId="69"/>
    <tableColumn id="6" xr3:uid="{DF4C5A11-C50A-4A13-A357-62C64F894F29}" uniqueName="6" name="Column6" queryTableFieldId="6" dataDxfId="68"/>
    <tableColumn id="7" xr3:uid="{CDDC2208-0409-44F6-A074-39B13B20C323}" uniqueName="7" name="Column7" queryTableFieldId="7" dataDxfId="67"/>
    <tableColumn id="8" xr3:uid="{46FEBD29-DA61-4AEE-BBEA-D9BFA36D3822}" uniqueName="8" name="[image]^{/18} 2017" queryTableFieldId="8" dataDxfId="66"/>
    <tableColumn id="9" xr3:uid="{9A29BFC2-8738-4DA3-8738-FCDC38F99F9C}" uniqueName="9" name="Column9" queryTableFieldId="9" dataDxfId="65"/>
    <tableColumn id="10" xr3:uid="{BFF74E21-1A6C-4FF5-BF80-2DF777B4120E}" uniqueName="10" name="Column10" queryTableFieldId="10" dataDxfId="6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F8632F-1B23-4A9B-88B8-B210BF5F3D76}" name="Page075" displayName="Page075" ref="A1:F58" tableType="queryTable" totalsRowShown="0">
  <autoFilter ref="A1:F58" xr:uid="{06F8632F-1B23-4A9B-88B8-B210BF5F3D76}"/>
  <tableColumns count="6">
    <tableColumn id="2" xr3:uid="{2A48A28B-A3DA-4774-9A25-335D8F6409D1}" uniqueName="2" name="Goverment of Tonga Budget Statement for year ending 30th June 2019" queryTableFieldId="2" dataDxfId="63"/>
    <tableColumn id="15" xr3:uid="{07D9B026-7A4F-4EED-9E65-C28E99ADAB42}" uniqueName="15" name="Column15" queryTableFieldId="15" dataDxfId="62"/>
    <tableColumn id="19" xr3:uid="{39963061-9679-448C-8899-44D6517C4826}" uniqueName="19" name="Column19" queryTableFieldId="19" dataDxfId="61"/>
    <tableColumn id="22" xr3:uid="{D5C5F941-67C3-4B8D-8232-6234CA5D6517}" uniqueName="22" name="Column22" queryTableFieldId="22" dataDxfId="60"/>
    <tableColumn id="24" xr3:uid="{80C329DE-3EE3-4416-8369-31787431174B}" uniqueName="24" name="Column24" queryTableFieldId="24" dataDxfId="59"/>
    <tableColumn id="26" xr3:uid="{5155F546-8501-4AD4-A7A2-FF5B16FF583D}" uniqueName="26" name="2018/19" queryTableFieldId="26" dataDxfId="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88BCC1-1C39-4EF5-831C-F4C0AB986A6A}" name="Table053__Page_49" displayName="Table053__Page_49" ref="A1:F46" tableType="queryTable" totalsRowShown="0">
  <autoFilter ref="A1:F46" xr:uid="{8888BCC1-1C39-4EF5-831C-F4C0AB986A6A}"/>
  <tableColumns count="6">
    <tableColumn id="1" xr3:uid="{5AF93395-BA7B-47F2-8AA1-47D64F06F25B}" uniqueName="1" name="Column1" queryTableFieldId="1" dataDxfId="57"/>
    <tableColumn id="2" xr3:uid="{CEB548BC-8248-460A-B429-045C28B314FF}" uniqueName="2" name="2017/18_x000a_Actual" queryTableFieldId="2"/>
    <tableColumn id="4" xr3:uid="{29C66D22-A046-490C-BFA7-D8357DD3FB68}" uniqueName="4" name="2018/19_x000a_Revised_x000a_Estimate" queryTableFieldId="4"/>
    <tableColumn id="5" xr3:uid="{8CE82C53-DBBD-4A9A-8B91-78366DC55003}" uniqueName="5" name="Budget_x000a_Estimate_x000a_2019/20" queryTableFieldId="5"/>
    <tableColumn id="6" xr3:uid="{51A26571-F22F-448B-A511-DF4B34550912}" uniqueName="6" name="2020/21_x000a_Projection" queryTableFieldId="6"/>
    <tableColumn id="7" xr3:uid="{B356E61C-ACA6-4E4A-92B6-74D9F60F7F4E}" uniqueName="7" name="2021/22_x000a_Projection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6103D8-9DCF-4829-89A1-3DC34BEA31AA}" name="Table052__Page_45" displayName="Table052__Page_45" ref="A1:F55" tableType="queryTable" totalsRowShown="0">
  <autoFilter ref="A1:F55" xr:uid="{406103D8-9DCF-4829-89A1-3DC34BEA31AA}"/>
  <tableColumns count="6">
    <tableColumn id="1" xr3:uid="{F6063C4E-0A7A-410C-A536-67F28BE4F4A6}" uniqueName="1" name="Column1" queryTableFieldId="1" dataDxfId="56"/>
    <tableColumn id="2" xr3:uid="{6203E3C3-2BA9-4306-9860-C99DB2D0FE6B}" uniqueName="2" name="2018/19_x000a_Actual" queryTableFieldId="2"/>
    <tableColumn id="4" xr3:uid="{EBB95B25-F6CA-455F-95D1-C0B8372D6C4B}" uniqueName="4" name="2019/20_x000a_Estimate_x000a_Outturn" queryTableFieldId="4"/>
    <tableColumn id="5" xr3:uid="{BE79A496-E722-45AE-96E5-E28D6D86DC08}" uniqueName="5" name="Budget_x000a_Estimate_x000a_2020 /21" queryTableFieldId="5"/>
    <tableColumn id="6" xr3:uid="{468B0DE3-AAB5-4C86-AA56-8EDBE0901A35}" uniqueName="6" name="2021/22_x000a_Projection" queryTableFieldId="6"/>
    <tableColumn id="7" xr3:uid="{246E2BB4-D88D-41D6-8451-C99C0C7FBC61}" uniqueName="7" name="2022/23_x000a_Projection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692B60-912F-48E9-B6B7-11BDF0948F97}" name="Table021__Page_20" displayName="Table021__Page_20" ref="A1:F31" tableType="queryTable" totalsRowShown="0">
  <autoFilter ref="A1:F31" xr:uid="{74692B60-912F-48E9-B6B7-11BDF0948F97}"/>
  <tableColumns count="6">
    <tableColumn id="1" xr3:uid="{0FB19DC7-A574-489D-BED3-112577236D7F}" uniqueName="1" name="Column1" queryTableFieldId="1" dataDxfId="55"/>
    <tableColumn id="3" xr3:uid="{7C464036-69B0-4984-8A6D-E5FABC191ABF}" uniqueName="3" name="2019/20" queryTableFieldId="3" dataDxfId="54"/>
    <tableColumn id="5" xr3:uid="{B07DEBFB-E6C4-4889-A2B5-6DD9761DBD91}" uniqueName="5" name="Estimated_x000a_Outturn_x000a_2020 /21" queryTableFieldId="5"/>
    <tableColumn id="6" xr3:uid="{F180D18C-0749-4609-A14F-3560538E5D48}" uniqueName="6" name="Budget_x000a_Estimate_x000a_2021/22" queryTableFieldId="6"/>
    <tableColumn id="7" xr3:uid="{5CEF8B7D-4A84-4EC9-B750-38A7F0802F9C}" uniqueName="7" name="2022/23" queryTableFieldId="7" dataDxfId="53"/>
    <tableColumn id="8" xr3:uid="{E418335A-2CBA-4823-BBF0-B6E0503EC78F}" uniqueName="8" name="2023/24" queryTableFieldId="8" dataDxfId="5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801BF72-1517-4293-85FA-58052A25EB2F}" name="Table070__Page_6721" displayName="Table070__Page_6721" ref="A36:F45" tableType="queryTable" totalsRowShown="0">
  <autoFilter ref="A36:F45" xr:uid="{9801BF72-1517-4293-85FA-58052A25EB2F}"/>
  <tableColumns count="6">
    <tableColumn id="1" xr3:uid="{23E38210-DAD5-4589-913E-A700BA704420}" uniqueName="1" name="Column1" queryTableFieldId="1" dataDxfId="51"/>
    <tableColumn id="3" xr3:uid="{8A52611F-D891-495C-B830-C375821C6B6E}" uniqueName="3" name="Column3" queryTableFieldId="3" dataDxfId="50"/>
    <tableColumn id="5" xr3:uid="{99E27C2A-4864-451C-9D87-275ECDA49EBC}" uniqueName="5" name="Column5" queryTableFieldId="5" dataDxfId="49"/>
    <tableColumn id="6" xr3:uid="{7CDA79A4-3F35-4E2A-95D8-2EDFB7116287}" uniqueName="6" name="Column6" queryTableFieldId="6" dataDxfId="48"/>
    <tableColumn id="7" xr3:uid="{8FE91799-AD8C-419A-A7D8-07B2B937EF33}" uniqueName="7" name="Column7" queryTableFieldId="7" dataDxfId="47"/>
    <tableColumn id="8" xr3:uid="{23C51456-63B1-4E41-ABF2-733349E76C5E}" uniqueName="8" name="Column8" queryTableFieldId="8" dataDxfId="4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13553CC-EE4E-4ACB-9B83-42CB270DB35A}" name="Table073__Page_6829" displayName="Table073__Page_6829" ref="A50:F60" tableType="queryTable" totalsRowShown="0">
  <autoFilter ref="A50:F60" xr:uid="{513553CC-EE4E-4ACB-9B83-42CB270DB35A}"/>
  <tableColumns count="6">
    <tableColumn id="1" xr3:uid="{87708C56-E255-40AB-BC53-2ED809B4350A}" uniqueName="1" name="Column1" queryTableFieldId="1" dataDxfId="45"/>
    <tableColumn id="3" xr3:uid="{799C7785-FEA7-43A5-B583-8E17FE0EFB8A}" uniqueName="3" name="Column3" queryTableFieldId="3" dataDxfId="44"/>
    <tableColumn id="5" xr3:uid="{1262DBD5-AB74-4F73-9C3A-E42F0873ED14}" uniqueName="5" name="Column5" queryTableFieldId="5" dataDxfId="43"/>
    <tableColumn id="6" xr3:uid="{C03E0227-F679-437D-B408-E03633E879A2}" uniqueName="6" name="Column6" queryTableFieldId="6" dataDxfId="42"/>
    <tableColumn id="7" xr3:uid="{EA2B05D1-3919-4DC0-A81D-1C8AF0678BCC}" uniqueName="7" name="Column7" queryTableFieldId="7" dataDxfId="41"/>
    <tableColumn id="8" xr3:uid="{927D0E57-F960-43A4-90E0-8D6DC461A775}" uniqueName="8" name="Column8" queryTableFieldId="8" dataDxfId="4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359AC6-33DD-4C01-9AA2-A2CFF20D4072}" name="Table111__Page_74" displayName="Table111__Page_74" ref="A1:F26" tableType="queryTable" totalsRowShown="0">
  <autoFilter ref="A1:F26" xr:uid="{B8359AC6-33DD-4C01-9AA2-A2CFF20D4072}"/>
  <tableColumns count="6">
    <tableColumn id="1" xr3:uid="{E5246747-DDFD-4878-BB4E-10C438005079}" uniqueName="1" name="Column1" queryTableFieldId="1" dataDxfId="39"/>
    <tableColumn id="5" xr3:uid="{D4CF234C-EAD0-48CC-88C0-F0C9E191F2BB}" uniqueName="5" name="2020/21" queryTableFieldId="5" dataDxfId="38"/>
    <tableColumn id="7" xr3:uid="{7E751AA7-A546-4B7B-A3E1-93EA862FDF14}" uniqueName="7" name="Est." queryTableFieldId="7" dataDxfId="37"/>
    <tableColumn id="8" xr3:uid="{56C06148-ED80-4919-B9FA-248E283AAD66}" uniqueName="8" name="Budget_x000a_Est._x000a_2022/23" queryTableFieldId="8"/>
    <tableColumn id="9" xr3:uid="{4243067E-D5AD-4572-A1B5-BAD895724EE9}" uniqueName="9" name="2023/24" queryTableFieldId="9" dataDxfId="36"/>
    <tableColumn id="10" xr3:uid="{B9DD6D05-242A-4062-924F-6FEA6D9063D2}" uniqueName="10" name="2024/25" queryTableFieldId="10" dataDxfId="3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5BE0BD-48B7-4FA0-A317-8B3E0AB86B43}" name="FY_2022_23_Exp_p_82" displayName="FY_2022_23_Exp_p_82" ref="A44:F53" tableType="queryTable" totalsRowShown="0">
  <autoFilter ref="A44:F53" xr:uid="{C35BE0BD-48B7-4FA0-A317-8B3E0AB86B43}"/>
  <tableColumns count="6">
    <tableColumn id="1" xr3:uid="{926FE138-CBAD-4F08-B00E-146B6BA8953B}" uniqueName="1" name="Column1" queryTableFieldId="1" dataDxfId="34"/>
    <tableColumn id="5" xr3:uid="{EB19AC0C-A949-4773-82CE-33CFDB71AADF}" uniqueName="5" name="2020/21_x000a_Actual" queryTableFieldId="5"/>
    <tableColumn id="7" xr3:uid="{88011467-CC25-4F9A-A03A-521F9604DE07}" uniqueName="7" name="2021/22 Est." queryTableFieldId="7"/>
    <tableColumn id="8" xr3:uid="{48EA3AE0-17A8-4CD6-A343-5509924D2DD0}" uniqueName="8" name="Budget 2022-23" queryTableFieldId="8"/>
    <tableColumn id="9" xr3:uid="{7BFF31C4-A9A0-40F3-8CBA-FAD927FEBDC5}" uniqueName="9" name="2023/24_x000a_Projection" queryTableFieldId="9"/>
    <tableColumn id="10" xr3:uid="{5D019DC6-E3FC-4D4F-90DC-1A3A4A120BFA}" uniqueName="10" name="2024/25_x000a_Projection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943BF0-D380-46CB-80BE-D668380F0CF1}" name="FY_2022_23_Cap_p_83" displayName="FY_2022_23_Cap_p_83" ref="A55:F61" tableType="queryTable" totalsRowShown="0">
  <autoFilter ref="A55:F61" xr:uid="{87943BF0-D380-46CB-80BE-D668380F0CF1}"/>
  <tableColumns count="6">
    <tableColumn id="1" xr3:uid="{D0AE1FCA-55C8-4C09-AB3A-D63253FF6EFF}" uniqueName="1" name="Column1" queryTableFieldId="1" dataDxfId="33"/>
    <tableColumn id="5" xr3:uid="{4FE31610-B0F8-473D-9D28-292A2D4A7CE0}" uniqueName="5" name="2020/21_x000a_Actual" queryTableFieldId="5"/>
    <tableColumn id="7" xr3:uid="{058552F8-4DBC-40FB-BC71-B58991927A0B}" uniqueName="7" name="Est. Outurn_x000a_2021/22" queryTableFieldId="7"/>
    <tableColumn id="8" xr3:uid="{04B7B49B-45E5-44F8-8283-4DB6D33C649B}" uniqueName="8" name="Budget Est._x000a_2022/23" queryTableFieldId="8"/>
    <tableColumn id="9" xr3:uid="{8F4388CC-918C-4AB5-998B-CD2F8164AD6E}" uniqueName="9" name="2023/24_x000a_Projection" queryTableFieldId="9"/>
    <tableColumn id="10" xr3:uid="{0BE92EF3-F30B-4A36-A2BD-08E4F8118D27}" uniqueName="10" name="2024/25_x000a_Projection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38E774-E925-4DA4-A3F6-4BC38F7116DC}" name="FY_2022_23_Rev_p_82" displayName="FY_2022_23_Rev_p_82" ref="A34:F42" tableType="queryTable" totalsRowShown="0">
  <autoFilter ref="A34:F42" xr:uid="{3C38E774-E925-4DA4-A3F6-4BC38F7116DC}"/>
  <tableColumns count="6">
    <tableColumn id="1" xr3:uid="{F894C462-C3F2-4708-B5E5-0A1AA2BC2751}" uniqueName="1" name="Column1" queryTableFieldId="1" dataDxfId="32"/>
    <tableColumn id="5" xr3:uid="{84705962-54D3-4DE1-B7E0-6B7216764527}" uniqueName="5" name="2020/21 Actual" queryTableFieldId="5"/>
    <tableColumn id="7" xr3:uid="{090E004D-0407-4E4D-A733-882F5252C836}" uniqueName="7" name="Est. outturn 2021/22" queryTableFieldId="7"/>
    <tableColumn id="8" xr3:uid="{7E4FB445-78B8-4B1B-9A9B-1E227257BC96}" uniqueName="8" name="Budget 2022/23" queryTableFieldId="8"/>
    <tableColumn id="9" xr3:uid="{2003442E-F2B4-4EE6-B7A4-192D20BEBA58}" uniqueName="9" name="2023/24" queryTableFieldId="9"/>
    <tableColumn id="10" xr3:uid="{F12FBB3A-7276-41DF-8EF4-5767A494137A}" uniqueName="10" name="2024/25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FEA3101-E4C5-484B-B761-39D817F84E2A}" name="Table128__Page_8223" displayName="Table128__Page_8223" ref="A65:F73" tableType="queryTable" totalsRowShown="0">
  <autoFilter ref="A65:F73" xr:uid="{DFEA3101-E4C5-484B-B761-39D817F84E2A}"/>
  <tableColumns count="6">
    <tableColumn id="1" xr3:uid="{AF971593-C4C4-4111-9880-A93E97AE5EEF}" uniqueName="1" name="Column1" queryTableFieldId="1" dataDxfId="31"/>
    <tableColumn id="5" xr3:uid="{C0D048A1-2A1D-4823-B4A2-63C2D9E83202}" uniqueName="5" name="Column5" queryTableFieldId="5"/>
    <tableColumn id="7" xr3:uid="{F7767BB5-ECC6-4057-A2C9-763973BB9425}" uniqueName="7" name="Column7" queryTableFieldId="7"/>
    <tableColumn id="8" xr3:uid="{BD51CEC8-111B-46A4-A7BB-F595E5EF2EF5}" uniqueName="8" name="Column8" queryTableFieldId="8"/>
    <tableColumn id="9" xr3:uid="{BDBB1EB6-C715-4149-91DE-DFC248175D49}" uniqueName="9" name="Column9" queryTableFieldId="9"/>
    <tableColumn id="10" xr3:uid="{34BB2DA4-AAEF-4387-9DCE-2ECAA0106B82}" uniqueName="10" name="Column10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7851F6D-28D8-4359-B7D1-4482D25946F3}" name="Table126__Page_8131" displayName="Table126__Page_8131" ref="A76:F83" tableType="queryTable" totalsRowShown="0">
  <autoFilter ref="A76:F83" xr:uid="{B7851F6D-28D8-4359-B7D1-4482D25946F3}"/>
  <tableColumns count="6">
    <tableColumn id="1" xr3:uid="{60321FDC-8B12-4DAA-B841-B8662C1CAF38}" uniqueName="1" name="Column1" queryTableFieldId="1" dataDxfId="30"/>
    <tableColumn id="5" xr3:uid="{501CEBFC-33B1-4641-8D6B-B9B446F16D5C}" uniqueName="5" name="2020/21_x000a_Actual" queryTableFieldId="5"/>
    <tableColumn id="7" xr3:uid="{2B8C9F71-301A-4492-A2B5-AE2C0CE16CD7}" uniqueName="7" name="Est." queryTableFieldId="7" dataDxfId="29"/>
    <tableColumn id="8" xr3:uid="{E5B5FD19-3168-4469-93D8-013BEF8E1F79}" uniqueName="8" name="Budget_1" queryTableFieldId="8" dataDxfId="28"/>
    <tableColumn id="9" xr3:uid="{E8CCCE26-4DA2-4EC6-86F2-A3430956E27C}" uniqueName="9" name="2023/24_x000a_Projection" queryTableFieldId="9"/>
    <tableColumn id="10" xr3:uid="{5B1B488C-3E8B-47F3-8CCC-99CC9F18F056}" uniqueName="10" name="2024/25_x000a_Projection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3A93E5-EB93-487A-8BD5-43DD21ACE7D2}" name="Table103__Page_73" displayName="Table103__Page_73" ref="A1:F24" tableType="queryTable" totalsRowShown="0">
  <autoFilter ref="A1:F24" xr:uid="{793A93E5-EB93-487A-8BD5-43DD21ACE7D2}"/>
  <tableColumns count="6">
    <tableColumn id="1" xr3:uid="{E504F60B-1D93-4388-BD5E-DD555FBE5912}" uniqueName="1" name="Column1" queryTableFieldId="1" dataDxfId="27"/>
    <tableColumn id="3" xr3:uid="{292D5E88-2DCB-4362-AECB-B95AA4CB666D}" uniqueName="3" name="2021/22" queryTableFieldId="3" dataDxfId="26"/>
    <tableColumn id="4" xr3:uid="{7EA428A6-85F7-4BF6-81BB-979C6BAC1155}" uniqueName="4" name="Estimate_x000a_Outturn_x000a_2022/23" queryTableFieldId="4"/>
    <tableColumn id="5" xr3:uid="{EFC19935-9EBB-44B7-8C74-9A88232A4975}" uniqueName="5" name="Budget" queryTableFieldId="5" dataDxfId="25"/>
    <tableColumn id="6" xr3:uid="{0F1DFE7C-D29B-4265-8877-CA80310C4868}" uniqueName="6" name="2024/25" queryTableFieldId="6" dataDxfId="24"/>
    <tableColumn id="7" xr3:uid="{D864254B-BC3F-4BD1-89FF-E0DB4AC2320C}" uniqueName="7" name="2025/26" queryTableFieldId="7" dataDxfId="2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CDC7D8A-1298-4101-A0A8-BA2CEDFD0462}" name="Table111__Page_7618" displayName="Table111__Page_7618" ref="A30:F41" tableType="queryTable" totalsRowShown="0">
  <autoFilter ref="A30:F41" xr:uid="{FCDC7D8A-1298-4101-A0A8-BA2CEDFD0462}"/>
  <tableColumns count="6">
    <tableColumn id="1" xr3:uid="{E482DB24-1750-403E-9381-10E8CDF5DB46}" uniqueName="1" name="Column1" queryTableFieldId="1" dataDxfId="22"/>
    <tableColumn id="4" xr3:uid="{2478A581-78D2-4EF6-A31D-D61EDC0C4DCA}" uniqueName="4" name="2021/22" queryTableFieldId="4" dataDxfId="21"/>
    <tableColumn id="7" xr3:uid="{24C46AB5-6BEA-4701-8D60-5867B2A880FF}" uniqueName="7" name="Estimate_x000a_Outturn_x000a_2022/23" queryTableFieldId="7"/>
    <tableColumn id="8" xr3:uid="{FFCBA326-F047-4D33-A53B-5782810AA85F}" uniqueName="8" name="Budget_x000a_Estimate_x000a_2023/24" queryTableFieldId="8" dataDxfId="20"/>
    <tableColumn id="10" xr3:uid="{8B2BEE65-44F7-4B3D-AEF3-2F8CA7D22AFE}" uniqueName="10" name="2024/25" queryTableFieldId="10" dataDxfId="19"/>
    <tableColumn id="11" xr3:uid="{3FD8B43C-0A78-49F8-9000-8AE3C5DEE3C0}" uniqueName="11" name="2025/26" queryTableFieldId="11" dataDxfId="1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1D62229-8462-471E-A8ED-9903271F2477}" name="Table105__Page_7425" displayName="Table105__Page_7425" ref="A45:F56" tableType="queryTable" totalsRowShown="0">
  <autoFilter ref="A45:F56" xr:uid="{41D62229-8462-471E-A8ED-9903271F2477}"/>
  <tableColumns count="6">
    <tableColumn id="1" xr3:uid="{76730DB7-C633-4501-AA99-9E7A21B23DD0}" uniqueName="1" name="Column1" queryTableFieldId="1" dataDxfId="17"/>
    <tableColumn id="2" xr3:uid="{4ABB585C-F5FD-4A85-8592-85FE2B1D113C}" uniqueName="2" name="Column2" queryTableFieldId="2" dataDxfId="16"/>
    <tableColumn id="4" xr3:uid="{07BB0730-6E98-4E04-A7EC-25C7B7F5DAEB}" uniqueName="4" name="Column4" queryTableFieldId="4" dataDxfId="15"/>
    <tableColumn id="5" xr3:uid="{8F7B9A25-EE82-44F7-9449-24FA0B76B908}" uniqueName="5" name="Column5" queryTableFieldId="5" dataDxfId="14"/>
    <tableColumn id="6" xr3:uid="{F729B105-DC59-4C38-9530-738E9C6DE132}" uniqueName="6" name="Column6" queryTableFieldId="6" dataDxfId="13"/>
    <tableColumn id="7" xr3:uid="{0072EF61-9D99-4886-8435-7A097DB468CE}" uniqueName="7" name="Column7" queryTableFieldId="7" dataDxfId="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8A04EF9-888E-475A-9CA8-F9E0749A2768}" name="Table104__Page_7433" displayName="Table104__Page_7433" ref="A60:F68" tableType="queryTable" totalsRowShown="0">
  <autoFilter ref="A60:F68" xr:uid="{08A04EF9-888E-475A-9CA8-F9E0749A2768}"/>
  <tableColumns count="6">
    <tableColumn id="1" xr3:uid="{87847AEA-4F9E-4438-9D15-DF1B77266ED4}" uniqueName="1" name="Column1" queryTableFieldId="1" dataDxfId="11"/>
    <tableColumn id="2" xr3:uid="{3AF98B81-3476-4CB8-A9C9-20043C0B1490}" uniqueName="2" name="Column2" queryTableFieldId="2" dataDxfId="10"/>
    <tableColumn id="4" xr3:uid="{C5B19EE3-E2D9-45E2-BDA2-0688A77FBDDE}" uniqueName="4" name="Column4" queryTableFieldId="4" dataDxfId="9"/>
    <tableColumn id="5" xr3:uid="{ACC6485C-157E-4FB6-B6A7-CAC47342152D}" uniqueName="5" name="Column5" queryTableFieldId="5" dataDxfId="8"/>
    <tableColumn id="6" xr3:uid="{DDE567E1-DFF3-4D5F-96CF-965BBF8BE3B3}" uniqueName="6" name="Column6" queryTableFieldId="6" dataDxfId="7"/>
    <tableColumn id="7" xr3:uid="{8AB6B1B2-BD7A-4307-9734-6CE5BDFBA8FC}" uniqueName="7" name="Column7" queryTableFieldId="7" dataDxf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35828AA-E4E0-46D1-9DA0-97F8BCCAABF9}" name="GFS_Budget_Table" displayName="GFS_Budget_Table" ref="A1:F53">
  <autoFilter ref="A1:F53" xr:uid="{535828AA-E4E0-46D1-9DA0-97F8BCCAABF9}"/>
  <tableColumns count="6">
    <tableColumn id="1" xr3:uid="{991C9E0C-462B-48D8-8428-D30F7F027264}" name="Category"/>
    <tableColumn id="2" xr3:uid="{B746A49B-8203-48BD-B65B-07ADFD813227}" name="Actual 2022/23"/>
    <tableColumn id="4" xr3:uid="{669197B1-4A4B-4C97-BAC9-FA74469894A7}" name="Revised Estimate 2023/24"/>
    <tableColumn id="5" xr3:uid="{084BD6E8-27B9-4BC2-8A1D-30D1175D5489}" name="2024/25 Estimate"/>
    <tableColumn id="6" xr3:uid="{A26CC0F9-E516-421E-B866-344233397908}" name="2025/26 Estimate"/>
    <tableColumn id="7" xr3:uid="{07387F7A-5743-44A8-B9F6-804BE10C01CB}" name="2026/27 Estimat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03B5B2-863F-418E-B547-58F1FA924672}" name="Table140__Page_96" displayName="Table140__Page_96" ref="A1:F48" tableType="queryTable" totalsRowShown="0">
  <autoFilter ref="A1:F48" xr:uid="{E603B5B2-863F-418E-B547-58F1FA924672}"/>
  <tableColumns count="6">
    <tableColumn id="1" xr3:uid="{49BA620D-4695-438C-A57F-338B8E0E3883}" uniqueName="1" name="Column1" queryTableFieldId="1" dataDxfId="5"/>
    <tableColumn id="2" xr3:uid="{50A61B17-658E-4FA2-B087-E6B5CC4D482E}" uniqueName="2" name="Column2" queryTableFieldId="2" dataDxfId="4"/>
    <tableColumn id="4" xr3:uid="{3E3FC97C-60D3-4915-A849-7074E9327B03}" uniqueName="4" name="Column4" queryTableFieldId="4" dataDxfId="3"/>
    <tableColumn id="5" xr3:uid="{50705E1C-B0C2-47BB-AA20-24BB7C4D8102}" uniqueName="5" name="Column5" queryTableFieldId="5" dataDxfId="2"/>
    <tableColumn id="6" xr3:uid="{01CE1DB6-09BF-4C4C-810F-C6D32C2E1FA1}" uniqueName="6" name="Column6" queryTableFieldId="6" dataDxfId="1"/>
    <tableColumn id="7" xr3:uid="{C4C36E17-CF64-46E4-9EAF-4BB67015CF1C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5-11-24T22:44:58.52" personId="{3681EF39-0D23-4F9D-8DC1-2B0818A98740}" id="{161BE1A7-5CEC-42F4-B65B-F482ADA651AE}">
    <text>Capture outturn as originally published (i.e. before subsequent revisions).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088E-4EA1-456C-B184-A790AAAEB17E}">
  <sheetPr>
    <tabColor rgb="FF92D050"/>
  </sheetPr>
  <dimension ref="A1:X18"/>
  <sheetViews>
    <sheetView tabSelected="1" zoomScale="70" zoomScaleNormal="70" workbookViewId="0"/>
  </sheetViews>
  <sheetFormatPr defaultRowHeight="14.4" x14ac:dyDescent="0.3"/>
  <sheetData>
    <row r="1" spans="1:24" x14ac:dyDescent="0.3">
      <c r="A1" s="12" t="s">
        <v>14</v>
      </c>
      <c r="B1" s="12"/>
      <c r="C1" s="12"/>
      <c r="D1" s="12"/>
      <c r="I1" s="12" t="s">
        <v>234</v>
      </c>
    </row>
    <row r="2" spans="1:24" x14ac:dyDescent="0.3">
      <c r="A2" s="19" t="s">
        <v>247</v>
      </c>
      <c r="I2" s="19" t="s">
        <v>248</v>
      </c>
      <c r="Q2" s="19" t="s">
        <v>254</v>
      </c>
    </row>
    <row r="3" spans="1:24" x14ac:dyDescent="0.3">
      <c r="Q3" s="7"/>
      <c r="R3" s="8"/>
      <c r="S3" s="8"/>
      <c r="T3" s="27" t="s">
        <v>243</v>
      </c>
      <c r="U3" s="27" t="s">
        <v>244</v>
      </c>
      <c r="V3" s="27"/>
      <c r="W3" s="27" t="s">
        <v>252</v>
      </c>
      <c r="X3" s="28" t="s">
        <v>253</v>
      </c>
    </row>
    <row r="4" spans="1:24" x14ac:dyDescent="0.3">
      <c r="Q4" s="20"/>
      <c r="X4" s="21"/>
    </row>
    <row r="5" spans="1:24" x14ac:dyDescent="0.3">
      <c r="Q5" s="20" t="s">
        <v>245</v>
      </c>
      <c r="T5" s="22">
        <f>Lookup!R117</f>
        <v>-0.10094510720008755</v>
      </c>
      <c r="U5" s="22">
        <f>Lookup!U117</f>
        <v>-2.1419576714105479E-2</v>
      </c>
      <c r="W5" s="22">
        <f>MIN(Lookup!F117:L117)</f>
        <v>-0.26793075020610069</v>
      </c>
      <c r="X5" s="23">
        <f>MAX(Lookup!F117:L117)</f>
        <v>7.1622144792877381E-3</v>
      </c>
    </row>
    <row r="6" spans="1:24" x14ac:dyDescent="0.3">
      <c r="Q6" s="20"/>
      <c r="T6" s="16"/>
      <c r="U6" s="16"/>
      <c r="X6" s="21"/>
    </row>
    <row r="7" spans="1:24" x14ac:dyDescent="0.3">
      <c r="Q7" s="20" t="s">
        <v>246</v>
      </c>
      <c r="T7" s="22">
        <f>Lookup!R145</f>
        <v>-7.1401612397673148E-2</v>
      </c>
      <c r="U7" s="22">
        <f>Lookup!U145</f>
        <v>-3.7469923790538609E-2</v>
      </c>
      <c r="W7" s="22">
        <f>MIN(Lookup!F145:L145)</f>
        <v>-0.17024153362523708</v>
      </c>
      <c r="X7" s="23">
        <f>MAX(Lookup!F152:L152)</f>
        <v>0.17024153362523708</v>
      </c>
    </row>
    <row r="8" spans="1:24" x14ac:dyDescent="0.3">
      <c r="Q8" s="20"/>
      <c r="X8" s="21"/>
    </row>
    <row r="9" spans="1:24" x14ac:dyDescent="0.3">
      <c r="Q9" s="20" t="s">
        <v>224</v>
      </c>
      <c r="T9" s="22">
        <f>Lookup!R131</f>
        <v>-0.16639734472661885</v>
      </c>
      <c r="U9" s="22">
        <f>Lookup!U131</f>
        <v>-0.12373188180159994</v>
      </c>
      <c r="W9" s="22">
        <f>MIN(Lookup!F131:L131)</f>
        <v>-0.31319912088736901</v>
      </c>
      <c r="X9" s="21">
        <f>MAX(Lookup!F131:L131)</f>
        <v>-8.4477542488957891E-2</v>
      </c>
    </row>
    <row r="10" spans="1:24" x14ac:dyDescent="0.3">
      <c r="Q10" s="24"/>
      <c r="R10" s="25"/>
      <c r="S10" s="25"/>
      <c r="T10" s="25"/>
      <c r="U10" s="25"/>
      <c r="V10" s="25"/>
      <c r="W10" s="25"/>
      <c r="X10" s="26"/>
    </row>
    <row r="18" spans="1:17" x14ac:dyDescent="0.3">
      <c r="A18" s="19" t="s">
        <v>249</v>
      </c>
      <c r="I18" s="19" t="s">
        <v>250</v>
      </c>
      <c r="Q18" s="19" t="s">
        <v>251</v>
      </c>
    </row>
  </sheetData>
  <dataValidations count="1">
    <dataValidation type="list" allowBlank="1" showInputMessage="1" showErrorMessage="1" sqref="I1" xr:uid="{18ACE406-AD1F-4BE8-BE69-03B8235C4454}">
      <formula1>"Outturn, Outturn (R)"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03FBF8-2CA6-4699-AC69-07DDD8BF0237}">
          <x14:formula1>
            <xm:f>Lookup!$A$223:$A$239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3A63-3DD8-46AE-B043-9738E75A1C32}">
  <sheetPr>
    <tabColor rgb="FFFF0000"/>
  </sheetPr>
  <dimension ref="A1:U268"/>
  <sheetViews>
    <sheetView zoomScale="75" zoomScaleNormal="75" workbookViewId="0">
      <selection activeCell="E144" sqref="E144"/>
    </sheetView>
  </sheetViews>
  <sheetFormatPr defaultRowHeight="14.4" x14ac:dyDescent="0.3"/>
  <cols>
    <col min="1" max="1" width="19.21875" customWidth="1"/>
  </cols>
  <sheetData>
    <row r="1" spans="1:16" x14ac:dyDescent="0.3">
      <c r="A1" t="s">
        <v>232</v>
      </c>
    </row>
    <row r="2" spans="1:16" x14ac:dyDescent="0.3">
      <c r="A2" t="str">
        <f>Charts!A1</f>
        <v>Revenue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</row>
    <row r="3" spans="1:16" x14ac:dyDescent="0.3">
      <c r="A3" t="s">
        <v>142</v>
      </c>
      <c r="D3" cm="1">
        <f t="array" ref="D3:H3">_xlfn.XLOOKUP(Charts!$A$1,'FY2018'!$A$4:$A$51,'FY2018'!$B$4:$F$51)</f>
        <v>360.6</v>
      </c>
      <c r="E3">
        <v>418.8</v>
      </c>
      <c r="F3">
        <v>541.1</v>
      </c>
      <c r="G3">
        <v>562</v>
      </c>
      <c r="H3">
        <v>565.5</v>
      </c>
    </row>
    <row r="4" spans="1:16" x14ac:dyDescent="0.3">
      <c r="A4" t="s">
        <v>143</v>
      </c>
      <c r="E4" cm="1">
        <f t="array" ref="E4:I4">_xlfn.XLOOKUP(Charts!$A$1,'FY2019'!$A$4:$A$51,'FY2019'!$B$4:$F$51)</f>
        <v>439.8</v>
      </c>
      <c r="F4">
        <v>447.6</v>
      </c>
      <c r="G4">
        <v>615.20000000000005</v>
      </c>
      <c r="H4">
        <v>624.1</v>
      </c>
      <c r="I4">
        <v>562.20000000000005</v>
      </c>
    </row>
    <row r="5" spans="1:16" x14ac:dyDescent="0.3">
      <c r="A5" t="s">
        <v>144</v>
      </c>
      <c r="F5" cm="1">
        <f t="array" ref="F5:J5">_xlfn.XLOOKUP(Charts!$A$1,'FY2020'!$A$2:$A$46,'FY2020'!$B$2:$F$46)</f>
        <v>457.2</v>
      </c>
      <c r="G5">
        <v>514.79999999999995</v>
      </c>
      <c r="H5">
        <v>578.20000000000005</v>
      </c>
      <c r="I5">
        <v>554.20000000000005</v>
      </c>
      <c r="J5">
        <v>529.79999999999995</v>
      </c>
    </row>
    <row r="6" spans="1:16" x14ac:dyDescent="0.3">
      <c r="A6" t="s">
        <v>145</v>
      </c>
      <c r="G6" cm="1">
        <f t="array" ref="G6:K6">_xlfn.XLOOKUP(Charts!$A$1,'FY2021'!$A$2:$A$55,'FY2021'!$B$2:$F$55)</f>
        <v>485.2</v>
      </c>
      <c r="H6">
        <v>435.2</v>
      </c>
      <c r="I6">
        <v>512.9</v>
      </c>
      <c r="J6">
        <v>502.8</v>
      </c>
      <c r="K6">
        <v>556.5</v>
      </c>
    </row>
    <row r="7" spans="1:16" x14ac:dyDescent="0.3">
      <c r="A7" t="s">
        <v>146</v>
      </c>
      <c r="H7" cm="1">
        <f t="array" ref="H7:L7">_xlfn.XLOOKUP(Charts!$A$1,'FY2022'!$A$2:$A$100,'FY2022'!$B$2:$F$100)</f>
        <v>494.4</v>
      </c>
      <c r="I7">
        <v>469.7</v>
      </c>
      <c r="J7">
        <v>572.20000000000005</v>
      </c>
      <c r="K7">
        <v>496.7</v>
      </c>
      <c r="L7">
        <v>472</v>
      </c>
    </row>
    <row r="8" spans="1:16" x14ac:dyDescent="0.3">
      <c r="A8" t="s">
        <v>147</v>
      </c>
      <c r="I8" cm="1">
        <f t="array" ref="I8:M8">_xlfn.XLOOKUP(Charts!$A$1,'FY2023'!$A$2:$A$100,'FY2023'!$B$2:$F$100)</f>
        <v>516.6</v>
      </c>
      <c r="J8">
        <v>531.70000000000005</v>
      </c>
      <c r="K8">
        <v>695.2</v>
      </c>
      <c r="L8">
        <v>604.1</v>
      </c>
      <c r="M8">
        <v>612.20000000000005</v>
      </c>
    </row>
    <row r="9" spans="1:16" x14ac:dyDescent="0.3">
      <c r="A9" t="s">
        <v>148</v>
      </c>
      <c r="J9" cm="1">
        <f t="array" ref="J9:N9">_xlfn.XLOOKUP(Charts!$A$1,'FY2024'!$A$2:$A$101,'FY2024'!$B$2:$F$101)</f>
        <v>562</v>
      </c>
      <c r="K9">
        <v>612.6</v>
      </c>
      <c r="L9">
        <v>741.9</v>
      </c>
      <c r="M9">
        <v>699.6</v>
      </c>
      <c r="N9">
        <v>714</v>
      </c>
    </row>
    <row r="10" spans="1:16" x14ac:dyDescent="0.3">
      <c r="A10" t="s">
        <v>149</v>
      </c>
      <c r="K10" cm="1">
        <f t="array" ref="K10:O10">_xlfn.XLOOKUP(Charts!$A$1,'FY2025'!$A$2:$A$100,'FY2025'!$B$2:$F$100)</f>
        <v>652.5</v>
      </c>
      <c r="L10">
        <v>681.4</v>
      </c>
      <c r="M10">
        <v>870.7</v>
      </c>
      <c r="N10">
        <v>820.1</v>
      </c>
      <c r="O10">
        <v>787.5</v>
      </c>
    </row>
    <row r="11" spans="1:16" x14ac:dyDescent="0.3">
      <c r="A11" t="s">
        <v>150</v>
      </c>
      <c r="L11" cm="1">
        <f t="array" ref="L11:P11">_xlfn.XLOOKUP(Charts!$A$1,'FY2026'!$A$2:$A$100,'FY2026'!$B$2:$F$100)</f>
        <v>735.1</v>
      </c>
      <c r="M11">
        <v>840</v>
      </c>
      <c r="N11">
        <v>929.7</v>
      </c>
      <c r="O11">
        <v>911.5</v>
      </c>
      <c r="P11">
        <v>900.4</v>
      </c>
    </row>
    <row r="14" spans="1:16" x14ac:dyDescent="0.3">
      <c r="A14" t="s">
        <v>152</v>
      </c>
      <c r="E14">
        <f>E4</f>
        <v>439.8</v>
      </c>
      <c r="F14">
        <f>F5</f>
        <v>457.2</v>
      </c>
      <c r="G14">
        <f>G6</f>
        <v>485.2</v>
      </c>
      <c r="H14">
        <f>H7</f>
        <v>494.4</v>
      </c>
      <c r="I14">
        <f>I8</f>
        <v>516.6</v>
      </c>
      <c r="J14">
        <f>J9</f>
        <v>562</v>
      </c>
      <c r="K14">
        <f>K10</f>
        <v>652.5</v>
      </c>
      <c r="L14">
        <f>L11</f>
        <v>735.1</v>
      </c>
    </row>
    <row r="16" spans="1:16" x14ac:dyDescent="0.3">
      <c r="B16" t="str">
        <f t="shared" ref="B16:P16" si="0">B2</f>
        <v>FY2014</v>
      </c>
      <c r="C16" t="str">
        <f t="shared" si="0"/>
        <v>FY2015</v>
      </c>
      <c r="D16" t="str">
        <f t="shared" si="0"/>
        <v>FY2016</v>
      </c>
      <c r="E16" t="str">
        <f t="shared" si="0"/>
        <v>FY2017</v>
      </c>
      <c r="F16" t="str">
        <f t="shared" si="0"/>
        <v>FY2018</v>
      </c>
      <c r="G16" t="str">
        <f t="shared" si="0"/>
        <v>FY2019</v>
      </c>
      <c r="H16" t="str">
        <f t="shared" si="0"/>
        <v>FY2020</v>
      </c>
      <c r="I16" t="str">
        <f t="shared" si="0"/>
        <v>FY2021</v>
      </c>
      <c r="J16" t="str">
        <f t="shared" si="0"/>
        <v>FY2022</v>
      </c>
      <c r="K16" t="str">
        <f t="shared" si="0"/>
        <v>FY2023</v>
      </c>
      <c r="L16" t="str">
        <f t="shared" si="0"/>
        <v>FY2024</v>
      </c>
      <c r="M16" t="str">
        <f t="shared" si="0"/>
        <v>FY2025</v>
      </c>
      <c r="N16" t="str">
        <f t="shared" si="0"/>
        <v>FY2026</v>
      </c>
      <c r="O16" t="str">
        <f t="shared" si="0"/>
        <v>FY2027</v>
      </c>
      <c r="P16" t="str">
        <f t="shared" si="0"/>
        <v>FY2028</v>
      </c>
    </row>
    <row r="17" spans="1:16" x14ac:dyDescent="0.3">
      <c r="A17" t="s">
        <v>189</v>
      </c>
      <c r="F17">
        <f>F3</f>
        <v>541.1</v>
      </c>
      <c r="G17">
        <f>G4</f>
        <v>615.20000000000005</v>
      </c>
      <c r="H17">
        <f>H5</f>
        <v>578.20000000000005</v>
      </c>
      <c r="I17">
        <f>I6</f>
        <v>512.9</v>
      </c>
      <c r="J17">
        <f>J7</f>
        <v>572.20000000000005</v>
      </c>
      <c r="K17">
        <f>K8</f>
        <v>695.2</v>
      </c>
      <c r="L17">
        <f>L9</f>
        <v>741.9</v>
      </c>
      <c r="M17">
        <f>M10</f>
        <v>870.7</v>
      </c>
      <c r="N17">
        <f>N11</f>
        <v>929.7</v>
      </c>
    </row>
    <row r="18" spans="1:16" x14ac:dyDescent="0.3">
      <c r="A18" t="s">
        <v>152</v>
      </c>
      <c r="F18">
        <f t="shared" ref="F18:L18" si="1">F14</f>
        <v>457.2</v>
      </c>
      <c r="G18">
        <f t="shared" si="1"/>
        <v>485.2</v>
      </c>
      <c r="H18">
        <f t="shared" si="1"/>
        <v>494.4</v>
      </c>
      <c r="I18">
        <f t="shared" si="1"/>
        <v>516.6</v>
      </c>
      <c r="J18">
        <f t="shared" si="1"/>
        <v>562</v>
      </c>
      <c r="K18">
        <f t="shared" si="1"/>
        <v>652.5</v>
      </c>
      <c r="L18">
        <f t="shared" si="1"/>
        <v>735.1</v>
      </c>
    </row>
    <row r="20" spans="1:16" x14ac:dyDescent="0.3">
      <c r="A20" t="s">
        <v>233</v>
      </c>
      <c r="F20" s="1">
        <f>(F18-F17)/F18</f>
        <v>-0.18350831146106744</v>
      </c>
      <c r="G20" s="1">
        <f t="shared" ref="G20:L20" si="2">(G18-G17)/G18</f>
        <v>-0.26793075020610069</v>
      </c>
      <c r="H20" s="1">
        <f t="shared" si="2"/>
        <v>-0.16949838187702279</v>
      </c>
      <c r="I20" s="1">
        <f t="shared" si="2"/>
        <v>7.1622144792877381E-3</v>
      </c>
      <c r="J20" s="1">
        <f t="shared" si="2"/>
        <v>-1.81494661921709E-2</v>
      </c>
      <c r="K20" s="1">
        <f t="shared" si="2"/>
        <v>-6.5440613026819999E-2</v>
      </c>
      <c r="L20" s="1">
        <f t="shared" si="2"/>
        <v>-9.2504421167187521E-3</v>
      </c>
    </row>
    <row r="25" spans="1:16" x14ac:dyDescent="0.3">
      <c r="A25" t="s">
        <v>225</v>
      </c>
    </row>
    <row r="26" spans="1:16" x14ac:dyDescent="0.3">
      <c r="A26" t="str">
        <f>Charts!A1</f>
        <v>Revenue</v>
      </c>
      <c r="B26" t="str">
        <f t="shared" ref="B26:P26" si="3">B2</f>
        <v>FY2014</v>
      </c>
      <c r="C26" t="str">
        <f t="shared" si="3"/>
        <v>FY2015</v>
      </c>
      <c r="D26" t="str">
        <f t="shared" si="3"/>
        <v>FY2016</v>
      </c>
      <c r="E26" t="str">
        <f t="shared" si="3"/>
        <v>FY2017</v>
      </c>
      <c r="F26" t="str">
        <f t="shared" si="3"/>
        <v>FY2018</v>
      </c>
      <c r="G26" t="str">
        <f t="shared" si="3"/>
        <v>FY2019</v>
      </c>
      <c r="H26" t="str">
        <f t="shared" si="3"/>
        <v>FY2020</v>
      </c>
      <c r="I26" t="str">
        <f t="shared" si="3"/>
        <v>FY2021</v>
      </c>
      <c r="J26" t="str">
        <f t="shared" si="3"/>
        <v>FY2022</v>
      </c>
      <c r="K26" t="str">
        <f t="shared" si="3"/>
        <v>FY2023</v>
      </c>
      <c r="L26" t="str">
        <f t="shared" si="3"/>
        <v>FY2024</v>
      </c>
      <c r="M26" t="str">
        <f t="shared" si="3"/>
        <v>FY2025</v>
      </c>
      <c r="N26" t="str">
        <f t="shared" si="3"/>
        <v>FY2026</v>
      </c>
      <c r="O26" t="str">
        <f t="shared" si="3"/>
        <v>FY2027</v>
      </c>
      <c r="P26" t="str">
        <f t="shared" si="3"/>
        <v>FY2028</v>
      </c>
    </row>
    <row r="27" spans="1:16" x14ac:dyDescent="0.3">
      <c r="A27" t="str">
        <f t="shared" ref="A27:A35" si="4">A3</f>
        <v>Budget 2018</v>
      </c>
      <c r="B27" s="5"/>
      <c r="C27" s="5"/>
      <c r="D27" s="5"/>
      <c r="E27" s="5"/>
      <c r="F27" s="5">
        <f>F3/E3-1</f>
        <v>0.2920248328557784</v>
      </c>
      <c r="G27" s="5">
        <f>G3/F3-1</f>
        <v>3.8625023101090283E-2</v>
      </c>
      <c r="H27" s="5">
        <f>H3/G3-1</f>
        <v>6.2277580071175009E-3</v>
      </c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t="str">
        <f t="shared" si="4"/>
        <v>Budget 2019</v>
      </c>
      <c r="B28" s="5"/>
      <c r="C28" s="5"/>
      <c r="D28" s="5"/>
      <c r="E28" s="5"/>
      <c r="F28" s="5"/>
      <c r="G28" s="5">
        <f>G4/F4-1</f>
        <v>0.37444146559428071</v>
      </c>
      <c r="H28" s="5">
        <f>H4/G4-1</f>
        <v>1.4466840052015595E-2</v>
      </c>
      <c r="I28" s="5">
        <f>I4/H4-1</f>
        <v>-9.9182823265502318E-2</v>
      </c>
      <c r="J28" s="5"/>
      <c r="K28" s="5"/>
      <c r="L28" s="5"/>
      <c r="M28" s="5"/>
      <c r="N28" s="5"/>
      <c r="O28" s="5"/>
      <c r="P28" s="5"/>
    </row>
    <row r="29" spans="1:16" x14ac:dyDescent="0.3">
      <c r="A29" t="str">
        <f t="shared" si="4"/>
        <v>Budget 2020</v>
      </c>
      <c r="B29" s="5"/>
      <c r="C29" s="5"/>
      <c r="D29" s="5"/>
      <c r="E29" s="5"/>
      <c r="F29" s="5"/>
      <c r="G29" s="5"/>
      <c r="H29" s="5">
        <f>H5/G5-1</f>
        <v>0.12315462315462344</v>
      </c>
      <c r="I29" s="5">
        <f>I5/H5-1</f>
        <v>-4.150812867519893E-2</v>
      </c>
      <c r="J29" s="5">
        <f>J5/I5-1</f>
        <v>-4.4027426921689039E-2</v>
      </c>
      <c r="K29" s="5"/>
      <c r="L29" s="5"/>
      <c r="M29" s="5"/>
      <c r="N29" s="5"/>
      <c r="O29" s="5"/>
      <c r="P29" s="5"/>
    </row>
    <row r="30" spans="1:16" x14ac:dyDescent="0.3">
      <c r="A30" t="str">
        <f t="shared" si="4"/>
        <v>Budget 2021</v>
      </c>
      <c r="B30" s="5"/>
      <c r="C30" s="5"/>
      <c r="D30" s="5"/>
      <c r="E30" s="5"/>
      <c r="F30" s="5"/>
      <c r="G30" s="5"/>
      <c r="H30" s="5"/>
      <c r="I30" s="5">
        <f>I6/H6-1</f>
        <v>0.17853860294117641</v>
      </c>
      <c r="J30" s="5">
        <f>J6/I6-1</f>
        <v>-1.9691947748099015E-2</v>
      </c>
      <c r="K30" s="5">
        <f>K6/J6-1</f>
        <v>0.10680190930787581</v>
      </c>
      <c r="L30" s="5"/>
      <c r="M30" s="5"/>
      <c r="N30" s="5"/>
      <c r="O30" s="5"/>
      <c r="P30" s="5"/>
    </row>
    <row r="31" spans="1:16" x14ac:dyDescent="0.3">
      <c r="A31" t="str">
        <f t="shared" si="4"/>
        <v>Budget 2022</v>
      </c>
      <c r="B31" s="5"/>
      <c r="C31" s="5"/>
      <c r="D31" s="5"/>
      <c r="E31" s="5"/>
      <c r="F31" s="5"/>
      <c r="G31" s="5"/>
      <c r="H31" s="5"/>
      <c r="I31" s="5"/>
      <c r="J31" s="5">
        <f>J7/I7-1</f>
        <v>0.21822439855226761</v>
      </c>
      <c r="K31" s="5">
        <f>K7/J7-1</f>
        <v>-0.13194687172317376</v>
      </c>
      <c r="L31" s="5">
        <f>L7/K7-1</f>
        <v>-4.9728206160660315E-2</v>
      </c>
      <c r="M31" s="5"/>
      <c r="N31" s="5"/>
      <c r="O31" s="5"/>
      <c r="P31" s="5"/>
    </row>
    <row r="32" spans="1:16" x14ac:dyDescent="0.3">
      <c r="A32" t="str">
        <f t="shared" si="4"/>
        <v>Budget 2023</v>
      </c>
      <c r="B32" s="5"/>
      <c r="C32" s="5"/>
      <c r="D32" s="5"/>
      <c r="E32" s="5"/>
      <c r="F32" s="5"/>
      <c r="G32" s="5"/>
      <c r="H32" s="5"/>
      <c r="I32" s="5"/>
      <c r="J32" s="5"/>
      <c r="K32" s="5">
        <f>K8/J8-1</f>
        <v>0.30750423170961061</v>
      </c>
      <c r="L32" s="5">
        <f>L8/K8-1</f>
        <v>-0.13104142692750287</v>
      </c>
      <c r="M32" s="5">
        <f>M8/L8-1</f>
        <v>1.3408376096672781E-2</v>
      </c>
      <c r="N32" s="5"/>
      <c r="O32" s="5"/>
      <c r="P32" s="5"/>
    </row>
    <row r="33" spans="1:16" x14ac:dyDescent="0.3">
      <c r="A33" t="str">
        <f t="shared" si="4"/>
        <v>Budget 2024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f>L9/K9-1</f>
        <v>0.21106758080313415</v>
      </c>
      <c r="M33" s="5">
        <f>M9/L9-1</f>
        <v>-5.7015770319450043E-2</v>
      </c>
      <c r="N33" s="5">
        <f>N9/M9-1</f>
        <v>2.0583190394511064E-2</v>
      </c>
      <c r="O33" s="5"/>
      <c r="P33" s="5"/>
    </row>
    <row r="34" spans="1:16" x14ac:dyDescent="0.3">
      <c r="A34" t="str">
        <f t="shared" si="4"/>
        <v>Budget 2025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f>M10/L10-1</f>
        <v>0.27781039037276201</v>
      </c>
      <c r="N34" s="5">
        <f>N10/M10-1</f>
        <v>-5.8114161019869104E-2</v>
      </c>
      <c r="O34" s="5">
        <f>O10/N10-1</f>
        <v>-3.9751249847579606E-2</v>
      </c>
      <c r="P34" s="5"/>
    </row>
    <row r="35" spans="1:16" x14ac:dyDescent="0.3">
      <c r="A35" t="str">
        <f t="shared" si="4"/>
        <v>Budget 2026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f>N11/M11-1</f>
        <v>0.10678571428571426</v>
      </c>
      <c r="O35" s="5">
        <f>O11/N11-1</f>
        <v>-1.9576207378724342E-2</v>
      </c>
      <c r="P35" s="5">
        <f>P11/O11-1</f>
        <v>-1.2177729018102101E-2</v>
      </c>
    </row>
    <row r="36" spans="1:16" x14ac:dyDescent="0.3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t="str">
        <f>A14</f>
        <v>Outturn</v>
      </c>
      <c r="B38" s="5"/>
      <c r="C38" s="5"/>
      <c r="D38" s="5"/>
      <c r="E38" s="5"/>
      <c r="F38" s="5">
        <f t="shared" ref="F38:L38" si="5">F14/E14-1</f>
        <v>3.9563437926330103E-2</v>
      </c>
      <c r="G38" s="5">
        <f t="shared" si="5"/>
        <v>6.12423447069117E-2</v>
      </c>
      <c r="H38" s="5">
        <f t="shared" si="5"/>
        <v>1.8961253091508645E-2</v>
      </c>
      <c r="I38" s="5">
        <f t="shared" si="5"/>
        <v>4.490291262135937E-2</v>
      </c>
      <c r="J38" s="5">
        <f t="shared" si="5"/>
        <v>8.7882307394502535E-2</v>
      </c>
      <c r="K38" s="5">
        <f t="shared" si="5"/>
        <v>0.16103202846975084</v>
      </c>
      <c r="L38" s="5">
        <f t="shared" si="5"/>
        <v>0.12659003831417626</v>
      </c>
      <c r="M38" s="5"/>
      <c r="N38" s="5"/>
      <c r="O38" s="5"/>
      <c r="P38" s="5"/>
    </row>
    <row r="40" spans="1:16" x14ac:dyDescent="0.3">
      <c r="B40" t="str">
        <f t="shared" ref="B40:P40" si="6">B26</f>
        <v>FY2014</v>
      </c>
      <c r="C40" t="str">
        <f t="shared" si="6"/>
        <v>FY2015</v>
      </c>
      <c r="D40" t="str">
        <f t="shared" si="6"/>
        <v>FY2016</v>
      </c>
      <c r="E40" t="str">
        <f t="shared" si="6"/>
        <v>FY2017</v>
      </c>
      <c r="F40" t="str">
        <f t="shared" si="6"/>
        <v>FY2018</v>
      </c>
      <c r="G40" t="str">
        <f t="shared" si="6"/>
        <v>FY2019</v>
      </c>
      <c r="H40" t="str">
        <f t="shared" si="6"/>
        <v>FY2020</v>
      </c>
      <c r="I40" t="str">
        <f t="shared" si="6"/>
        <v>FY2021</v>
      </c>
      <c r="J40" t="str">
        <f t="shared" si="6"/>
        <v>FY2022</v>
      </c>
      <c r="K40" t="str">
        <f t="shared" si="6"/>
        <v>FY2023</v>
      </c>
      <c r="L40" t="str">
        <f t="shared" si="6"/>
        <v>FY2024</v>
      </c>
      <c r="M40" t="str">
        <f t="shared" si="6"/>
        <v>FY2025</v>
      </c>
      <c r="N40" t="str">
        <f t="shared" si="6"/>
        <v>FY2026</v>
      </c>
      <c r="O40" t="str">
        <f t="shared" si="6"/>
        <v>FY2027</v>
      </c>
      <c r="P40" t="str">
        <f t="shared" si="6"/>
        <v>FY2028</v>
      </c>
    </row>
    <row r="41" spans="1:16" x14ac:dyDescent="0.3">
      <c r="A41" t="s">
        <v>189</v>
      </c>
      <c r="F41" s="16">
        <f>F27</f>
        <v>0.2920248328557784</v>
      </c>
      <c r="G41" s="16">
        <f>G28</f>
        <v>0.37444146559428071</v>
      </c>
      <c r="H41" s="16">
        <f>H29</f>
        <v>0.12315462315462344</v>
      </c>
      <c r="I41" s="16">
        <f>I30</f>
        <v>0.17853860294117641</v>
      </c>
      <c r="J41" s="16">
        <f>J31</f>
        <v>0.21822439855226761</v>
      </c>
      <c r="K41" s="16">
        <f>K32</f>
        <v>0.30750423170961061</v>
      </c>
      <c r="L41" s="16">
        <f>L33</f>
        <v>0.21106758080313415</v>
      </c>
      <c r="M41" s="16">
        <f>M34</f>
        <v>0.27781039037276201</v>
      </c>
      <c r="N41" s="16">
        <f>N35</f>
        <v>0.10678571428571426</v>
      </c>
    </row>
    <row r="42" spans="1:16" x14ac:dyDescent="0.3">
      <c r="A42" t="s">
        <v>152</v>
      </c>
      <c r="F42" s="16">
        <f t="shared" ref="F42:L42" si="7">F38</f>
        <v>3.9563437926330103E-2</v>
      </c>
      <c r="G42" s="16">
        <f t="shared" si="7"/>
        <v>6.12423447069117E-2</v>
      </c>
      <c r="H42" s="16">
        <f t="shared" si="7"/>
        <v>1.8961253091508645E-2</v>
      </c>
      <c r="I42" s="16">
        <f t="shared" si="7"/>
        <v>4.490291262135937E-2</v>
      </c>
      <c r="J42" s="16">
        <f t="shared" si="7"/>
        <v>8.7882307394502535E-2</v>
      </c>
      <c r="K42" s="16">
        <f t="shared" si="7"/>
        <v>0.16103202846975084</v>
      </c>
      <c r="L42" s="16">
        <f t="shared" si="7"/>
        <v>0.12659003831417626</v>
      </c>
    </row>
    <row r="44" spans="1:16" x14ac:dyDescent="0.3">
      <c r="A44" t="s">
        <v>233</v>
      </c>
      <c r="F44" s="1">
        <f>(F42-F41)</f>
        <v>-0.2524613949294483</v>
      </c>
      <c r="G44" s="1">
        <f t="shared" ref="G44:L44" si="8">(G42-G41)</f>
        <v>-0.31319912088736901</v>
      </c>
      <c r="H44" s="1">
        <f t="shared" si="8"/>
        <v>-0.1041933700631148</v>
      </c>
      <c r="I44" s="1">
        <f t="shared" si="8"/>
        <v>-0.13363569031981704</v>
      </c>
      <c r="J44" s="1">
        <f t="shared" si="8"/>
        <v>-0.13034209115776507</v>
      </c>
      <c r="K44" s="1">
        <f t="shared" si="8"/>
        <v>-0.14647220323985977</v>
      </c>
      <c r="L44" s="1">
        <f t="shared" si="8"/>
        <v>-8.4477542488957891E-2</v>
      </c>
    </row>
    <row r="50" spans="1:16" x14ac:dyDescent="0.3">
      <c r="A50" t="s">
        <v>188</v>
      </c>
    </row>
    <row r="51" spans="1:16" x14ac:dyDescent="0.3">
      <c r="A51" t="str">
        <f>Charts!A1</f>
        <v>Revenue</v>
      </c>
      <c r="B51" t="str">
        <f t="shared" ref="B51:P51" si="9">B2</f>
        <v>FY2014</v>
      </c>
      <c r="C51" t="str">
        <f t="shared" si="9"/>
        <v>FY2015</v>
      </c>
      <c r="D51" t="str">
        <f t="shared" si="9"/>
        <v>FY2016</v>
      </c>
      <c r="E51" t="str">
        <f t="shared" si="9"/>
        <v>FY2017</v>
      </c>
      <c r="F51" t="str">
        <f t="shared" si="9"/>
        <v>FY2018</v>
      </c>
      <c r="G51" t="str">
        <f t="shared" si="9"/>
        <v>FY2019</v>
      </c>
      <c r="H51" t="str">
        <f t="shared" si="9"/>
        <v>FY2020</v>
      </c>
      <c r="I51" t="str">
        <f t="shared" si="9"/>
        <v>FY2021</v>
      </c>
      <c r="J51" t="str">
        <f t="shared" si="9"/>
        <v>FY2022</v>
      </c>
      <c r="K51" t="str">
        <f t="shared" si="9"/>
        <v>FY2023</v>
      </c>
      <c r="L51" t="str">
        <f t="shared" si="9"/>
        <v>FY2024</v>
      </c>
      <c r="M51" t="str">
        <f t="shared" si="9"/>
        <v>FY2025</v>
      </c>
      <c r="N51" t="str">
        <f t="shared" si="9"/>
        <v>FY2026</v>
      </c>
      <c r="O51" t="str">
        <f t="shared" si="9"/>
        <v>FY2027</v>
      </c>
      <c r="P51" t="str">
        <f t="shared" si="9"/>
        <v>FY2028</v>
      </c>
    </row>
    <row r="52" spans="1:16" x14ac:dyDescent="0.3">
      <c r="A52" t="str">
        <f t="shared" ref="A52:A60" si="10">A3</f>
        <v>Budget 2018</v>
      </c>
      <c r="F52">
        <f>F3</f>
        <v>541.1</v>
      </c>
      <c r="G52">
        <f>G3</f>
        <v>562</v>
      </c>
      <c r="H52">
        <f>H3</f>
        <v>565.5</v>
      </c>
    </row>
    <row r="53" spans="1:16" x14ac:dyDescent="0.3">
      <c r="A53" t="str">
        <f t="shared" si="10"/>
        <v>Budget 2019</v>
      </c>
      <c r="G53">
        <f>G4</f>
        <v>615.20000000000005</v>
      </c>
      <c r="H53">
        <f>H4</f>
        <v>624.1</v>
      </c>
      <c r="I53">
        <f>I4</f>
        <v>562.20000000000005</v>
      </c>
    </row>
    <row r="54" spans="1:16" x14ac:dyDescent="0.3">
      <c r="A54" t="str">
        <f t="shared" si="10"/>
        <v>Budget 2020</v>
      </c>
      <c r="H54">
        <f>H5</f>
        <v>578.20000000000005</v>
      </c>
      <c r="I54">
        <f>I5</f>
        <v>554.20000000000005</v>
      </c>
      <c r="J54">
        <f>J5</f>
        <v>529.79999999999995</v>
      </c>
    </row>
    <row r="55" spans="1:16" x14ac:dyDescent="0.3">
      <c r="A55" t="str">
        <f t="shared" si="10"/>
        <v>Budget 2021</v>
      </c>
      <c r="I55">
        <f>I6</f>
        <v>512.9</v>
      </c>
      <c r="J55">
        <f>J6</f>
        <v>502.8</v>
      </c>
      <c r="K55">
        <f>K6</f>
        <v>556.5</v>
      </c>
    </row>
    <row r="56" spans="1:16" x14ac:dyDescent="0.3">
      <c r="A56" t="str">
        <f t="shared" si="10"/>
        <v>Budget 2022</v>
      </c>
      <c r="J56">
        <f>J7</f>
        <v>572.20000000000005</v>
      </c>
      <c r="K56">
        <f>K7</f>
        <v>496.7</v>
      </c>
      <c r="L56">
        <f>L7</f>
        <v>472</v>
      </c>
    </row>
    <row r="57" spans="1:16" x14ac:dyDescent="0.3">
      <c r="A57" t="str">
        <f t="shared" si="10"/>
        <v>Budget 2023</v>
      </c>
      <c r="K57">
        <f>K8</f>
        <v>695.2</v>
      </c>
      <c r="L57">
        <f>L8</f>
        <v>604.1</v>
      </c>
      <c r="M57">
        <f>M8</f>
        <v>612.20000000000005</v>
      </c>
    </row>
    <row r="58" spans="1:16" x14ac:dyDescent="0.3">
      <c r="A58" t="str">
        <f t="shared" si="10"/>
        <v>Budget 2024</v>
      </c>
      <c r="L58">
        <f>L9</f>
        <v>741.9</v>
      </c>
      <c r="M58">
        <f>M9</f>
        <v>699.6</v>
      </c>
      <c r="N58">
        <f>N9</f>
        <v>714</v>
      </c>
    </row>
    <row r="59" spans="1:16" x14ac:dyDescent="0.3">
      <c r="A59" t="str">
        <f t="shared" si="10"/>
        <v>Budget 2025</v>
      </c>
      <c r="M59">
        <f>M10</f>
        <v>870.7</v>
      </c>
      <c r="N59">
        <f>N10</f>
        <v>820.1</v>
      </c>
      <c r="O59">
        <f>O10</f>
        <v>787.5</v>
      </c>
    </row>
    <row r="60" spans="1:16" x14ac:dyDescent="0.3">
      <c r="A60" t="str">
        <f t="shared" si="10"/>
        <v>Budget 2026</v>
      </c>
      <c r="N60">
        <f>N11</f>
        <v>929.7</v>
      </c>
      <c r="O60">
        <f>O11</f>
        <v>911.5</v>
      </c>
      <c r="P60">
        <f>P11</f>
        <v>900.4</v>
      </c>
    </row>
    <row r="63" spans="1:16" x14ac:dyDescent="0.3">
      <c r="A63" t="str">
        <f>A14</f>
        <v>Outturn</v>
      </c>
      <c r="F63">
        <f t="shared" ref="F63:L63" si="11">F14</f>
        <v>457.2</v>
      </c>
      <c r="G63">
        <f t="shared" si="11"/>
        <v>485.2</v>
      </c>
      <c r="H63">
        <f t="shared" si="11"/>
        <v>494.4</v>
      </c>
      <c r="I63">
        <f t="shared" si="11"/>
        <v>516.6</v>
      </c>
      <c r="J63">
        <f t="shared" si="11"/>
        <v>562</v>
      </c>
      <c r="K63">
        <f t="shared" si="11"/>
        <v>652.5</v>
      </c>
      <c r="L63">
        <f t="shared" si="11"/>
        <v>735.1</v>
      </c>
    </row>
    <row r="71" spans="1:16" x14ac:dyDescent="0.3">
      <c r="A71" t="s">
        <v>190</v>
      </c>
    </row>
    <row r="72" spans="1:16" x14ac:dyDescent="0.3">
      <c r="A72" t="str">
        <f>Charts!A1</f>
        <v>Revenue</v>
      </c>
      <c r="B72" t="str">
        <f t="shared" ref="B72:P72" si="12">B2</f>
        <v>FY2014</v>
      </c>
      <c r="C72" t="str">
        <f t="shared" si="12"/>
        <v>FY2015</v>
      </c>
      <c r="D72" t="str">
        <f t="shared" si="12"/>
        <v>FY2016</v>
      </c>
      <c r="E72" t="str">
        <f t="shared" si="12"/>
        <v>FY2017</v>
      </c>
      <c r="F72" t="str">
        <f t="shared" si="12"/>
        <v>FY2018</v>
      </c>
      <c r="G72" t="str">
        <f t="shared" si="12"/>
        <v>FY2019</v>
      </c>
      <c r="H72" t="str">
        <f t="shared" si="12"/>
        <v>FY2020</v>
      </c>
      <c r="I72" t="str">
        <f t="shared" si="12"/>
        <v>FY2021</v>
      </c>
      <c r="J72" t="str">
        <f t="shared" si="12"/>
        <v>FY2022</v>
      </c>
      <c r="K72" t="str">
        <f t="shared" si="12"/>
        <v>FY2023</v>
      </c>
      <c r="L72" t="str">
        <f t="shared" si="12"/>
        <v>FY2024</v>
      </c>
      <c r="M72" t="str">
        <f t="shared" si="12"/>
        <v>FY2025</v>
      </c>
      <c r="N72" t="str">
        <f t="shared" si="12"/>
        <v>FY2026</v>
      </c>
      <c r="O72" t="str">
        <f t="shared" si="12"/>
        <v>FY2027</v>
      </c>
      <c r="P72" t="str">
        <f t="shared" si="12"/>
        <v>FY2028</v>
      </c>
    </row>
    <row r="73" spans="1:16" x14ac:dyDescent="0.3">
      <c r="A73" t="str">
        <f t="shared" ref="A73:A81" si="13">A3</f>
        <v>Budget 2018</v>
      </c>
      <c r="B73" s="5"/>
      <c r="C73" s="5"/>
      <c r="D73" s="5"/>
      <c r="E73" s="5"/>
      <c r="F73" s="5">
        <f>F3/GDP!B2</f>
        <v>0.52494776119402975</v>
      </c>
      <c r="G73" s="5">
        <f>G3/GDP!C2</f>
        <v>0.62444444444444447</v>
      </c>
      <c r="H73" s="5">
        <f>H3/GDP!D2</f>
        <v>0.52253593429158107</v>
      </c>
      <c r="I73" s="5"/>
      <c r="J73" s="5"/>
      <c r="K73" s="5"/>
      <c r="L73" s="5"/>
      <c r="M73" s="5"/>
      <c r="N73" s="5"/>
      <c r="O73" s="5"/>
      <c r="P73" s="5"/>
    </row>
    <row r="74" spans="1:16" x14ac:dyDescent="0.3">
      <c r="A74" t="str">
        <f t="shared" si="13"/>
        <v>Budget 2019</v>
      </c>
      <c r="B74" s="5"/>
      <c r="C74" s="5"/>
      <c r="D74" s="5"/>
      <c r="E74" s="5"/>
      <c r="F74" s="5"/>
      <c r="G74" s="5">
        <f>G4/GDP!C3</f>
        <v>0.59227881005102534</v>
      </c>
      <c r="H74" s="5">
        <f>H4/GDP!D3</f>
        <v>0.57225380524481939</v>
      </c>
      <c r="I74" s="5">
        <f>I4/GDP!E3</f>
        <v>0.49238045191802421</v>
      </c>
      <c r="J74" s="5"/>
      <c r="K74" s="5"/>
      <c r="L74" s="5"/>
      <c r="M74" s="5"/>
      <c r="N74" s="5"/>
      <c r="O74" s="5"/>
      <c r="P74" s="5"/>
    </row>
    <row r="75" spans="1:16" x14ac:dyDescent="0.3">
      <c r="A75" t="str">
        <f t="shared" si="13"/>
        <v>Budget 2020</v>
      </c>
      <c r="B75" s="5"/>
      <c r="C75" s="5"/>
      <c r="D75" s="5"/>
      <c r="E75" s="5"/>
      <c r="F75" s="5"/>
      <c r="G75" s="5"/>
      <c r="H75" s="5">
        <f>H5/GDP!D4</f>
        <v>0.4994921465968587</v>
      </c>
      <c r="I75" s="5">
        <f>I5/GDP!E4</f>
        <v>0.45382466281310224</v>
      </c>
      <c r="J75" s="5">
        <f>J5/GDP!F4</f>
        <v>0.40920870113493057</v>
      </c>
      <c r="K75" s="5"/>
      <c r="L75" s="5"/>
      <c r="M75" s="5"/>
      <c r="N75" s="5"/>
      <c r="O75" s="5"/>
      <c r="P75" s="5"/>
    </row>
    <row r="76" spans="1:16" x14ac:dyDescent="0.3">
      <c r="A76" t="str">
        <f t="shared" si="13"/>
        <v>Budget 2021</v>
      </c>
      <c r="B76" s="5"/>
      <c r="C76" s="5"/>
      <c r="D76" s="5"/>
      <c r="E76" s="5"/>
      <c r="F76" s="5"/>
      <c r="G76" s="5"/>
      <c r="H76" s="5"/>
      <c r="I76" s="5">
        <f>I6/GDP!E5</f>
        <v>0.49747817652764303</v>
      </c>
      <c r="J76" s="5">
        <f>J6/GDP!F5</f>
        <v>0.46196251378169789</v>
      </c>
      <c r="K76" s="5">
        <f>K6/GDP!G5</f>
        <v>0.48003105322177175</v>
      </c>
      <c r="L76" s="5"/>
      <c r="M76" s="5"/>
      <c r="N76" s="5"/>
      <c r="O76" s="5"/>
      <c r="P76" s="5"/>
    </row>
    <row r="77" spans="1:16" x14ac:dyDescent="0.3">
      <c r="A77" t="str">
        <f t="shared" si="13"/>
        <v>Budget 2022</v>
      </c>
      <c r="B77" s="5"/>
      <c r="C77" s="5"/>
      <c r="D77" s="5"/>
      <c r="E77" s="5"/>
      <c r="F77" s="5"/>
      <c r="G77" s="5"/>
      <c r="H77" s="5"/>
      <c r="I77" s="5"/>
      <c r="J77" s="5">
        <f>J7/GDP!F6</f>
        <v>0.43427443837279911</v>
      </c>
      <c r="K77" s="5">
        <f>K7/GDP!G6</f>
        <v>0.34756140228115601</v>
      </c>
      <c r="L77" s="5">
        <f>L7/GDP!H6</f>
        <v>0.30849673202614381</v>
      </c>
      <c r="M77" s="5"/>
      <c r="N77" s="5"/>
      <c r="O77" s="5"/>
      <c r="P77" s="5"/>
    </row>
    <row r="78" spans="1:16" x14ac:dyDescent="0.3">
      <c r="A78" t="str">
        <f t="shared" si="13"/>
        <v>Budget 2023</v>
      </c>
      <c r="B78" s="5"/>
      <c r="C78" s="5"/>
      <c r="D78" s="5"/>
      <c r="E78" s="5"/>
      <c r="F78" s="5"/>
      <c r="G78" s="5"/>
      <c r="H78" s="5"/>
      <c r="I78" s="5"/>
      <c r="J78" s="5"/>
      <c r="K78" s="5">
        <f>K8/GDP!G7</f>
        <v>0.54644541484716158</v>
      </c>
      <c r="L78" s="5">
        <f>L8/GDP!H7</f>
        <v>0.42904829545454548</v>
      </c>
      <c r="M78" s="5">
        <f>M8/GDP!I7</f>
        <v>0.40813333333333335</v>
      </c>
      <c r="N78" s="5"/>
      <c r="O78" s="5"/>
      <c r="P78" s="5"/>
    </row>
    <row r="79" spans="1:16" x14ac:dyDescent="0.3">
      <c r="A79" t="str">
        <f t="shared" si="13"/>
        <v>Budget 2024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>
        <f>L9/GDP!H8</f>
        <v>0.49852170407203328</v>
      </c>
      <c r="M79" s="5">
        <f>M9/GDP!I8</f>
        <v>0.41912293314162474</v>
      </c>
      <c r="N79" s="5">
        <f>N9/GDP!J8</f>
        <v>0.41152737752161384</v>
      </c>
      <c r="O79" s="5"/>
      <c r="P79" s="5"/>
    </row>
    <row r="80" spans="1:16" x14ac:dyDescent="0.3">
      <c r="A80" t="str">
        <f t="shared" si="13"/>
        <v>Budget 2025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f>M10/GDP!I9</f>
        <v>0.69103174603174611</v>
      </c>
      <c r="N80" s="5">
        <f>N10/GDP!J9</f>
        <v>0.6163848177376926</v>
      </c>
      <c r="O80" s="5">
        <f>O10/GDP!K9</f>
        <v>0.56719965427830588</v>
      </c>
      <c r="P80" s="5"/>
    </row>
    <row r="81" spans="1:16" x14ac:dyDescent="0.3">
      <c r="A81" t="str">
        <f t="shared" si="13"/>
        <v>Budget 2026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f>N11/GDP!J10</f>
        <v>0.72030681025799959</v>
      </c>
      <c r="O81" s="5">
        <f>O11/GDP!K10</f>
        <v>0.66889263961253387</v>
      </c>
      <c r="P81" s="5">
        <f>P11/GDP!L10</f>
        <v>0.63345996904460389</v>
      </c>
    </row>
    <row r="82" spans="1:16" x14ac:dyDescent="0.3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x14ac:dyDescent="0.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3">
      <c r="A84" t="str">
        <f>Charts!I1</f>
        <v>Outturn (R)</v>
      </c>
      <c r="B84" s="5"/>
      <c r="C84" s="5"/>
      <c r="D84" s="5"/>
      <c r="E84" s="5"/>
      <c r="F84" s="5">
        <f>IF(Charts!$I$1="Outturn",F14/GDP!B13,F14/GDP!B15)</f>
        <v>0.42227766448413967</v>
      </c>
      <c r="G84" s="5">
        <f>IF(Charts!$I$1="Outturn",G14/GDP!C13,G14/GDP!C15)</f>
        <v>0.42203727642578825</v>
      </c>
      <c r="H84" s="5">
        <f>IF(Charts!$I$1="Outturn",H14/GDP!D13,H14/GDP!D15)</f>
        <v>0.42247218531042824</v>
      </c>
      <c r="I84" s="5">
        <f>IF(Charts!$I$1="Outturn",I14/GDP!E13,I14/GDP!E15)</f>
        <v>0.43671011588608427</v>
      </c>
      <c r="J84" s="5">
        <f>IF(Charts!$I$1="Outturn",J14/GDP!F13,J14/GDP!F15)</f>
        <v>0.44452793703976784</v>
      </c>
      <c r="K84" s="5">
        <f>IF(Charts!$I$1="Outturn",K14/GDP!G13,K14/GDP!G15)</f>
        <v>0.46739059266193411</v>
      </c>
      <c r="L84" s="5">
        <f>IF(Charts!$I$1="Outturn",L14/GDP!H13,L14/GDP!H15)</f>
        <v>0.47821139306969634</v>
      </c>
      <c r="M84" s="5"/>
      <c r="N84" s="5"/>
      <c r="O84" s="5"/>
      <c r="P84" s="5"/>
    </row>
    <row r="85" spans="1:16" x14ac:dyDescent="0.3">
      <c r="F85" s="5"/>
      <c r="G85" s="5"/>
      <c r="H85" s="5"/>
      <c r="I85" s="5"/>
      <c r="J85" s="5"/>
      <c r="K85" s="5"/>
      <c r="L85" s="5"/>
    </row>
    <row r="86" spans="1:16" x14ac:dyDescent="0.3">
      <c r="A86" t="s">
        <v>242</v>
      </c>
    </row>
    <row r="98" spans="1:21" x14ac:dyDescent="0.3">
      <c r="A98" t="s">
        <v>239</v>
      </c>
    </row>
    <row r="100" spans="1:21" x14ac:dyDescent="0.3">
      <c r="A100" t="s">
        <v>226</v>
      </c>
    </row>
    <row r="101" spans="1:21" x14ac:dyDescent="0.3">
      <c r="A101" t="s">
        <v>218</v>
      </c>
      <c r="R101" t="s">
        <v>240</v>
      </c>
      <c r="S101" t="s">
        <v>223</v>
      </c>
      <c r="U101" t="s">
        <v>241</v>
      </c>
    </row>
    <row r="102" spans="1:21" x14ac:dyDescent="0.3">
      <c r="A102" t="s">
        <v>217</v>
      </c>
      <c r="E102">
        <f>E$14-E3</f>
        <v>21</v>
      </c>
      <c r="F102">
        <f>F$14-F4</f>
        <v>9.5999999999999659</v>
      </c>
      <c r="G102">
        <f>G$14-G5</f>
        <v>-29.599999999999966</v>
      </c>
      <c r="H102">
        <f>H$14-H6</f>
        <v>59.199999999999989</v>
      </c>
      <c r="I102">
        <f>I$14-I7</f>
        <v>46.900000000000034</v>
      </c>
      <c r="J102">
        <f>J$14-J8</f>
        <v>30.299999999999955</v>
      </c>
      <c r="K102">
        <f>K$14-K9</f>
        <v>39.899999999999977</v>
      </c>
      <c r="L102">
        <f>L$14-L10</f>
        <v>53.700000000000045</v>
      </c>
      <c r="R102">
        <f>AVERAGE(E102:L102)</f>
        <v>28.875</v>
      </c>
      <c r="S102">
        <f>STDEV(E102:L102)</f>
        <v>28.877165967000888</v>
      </c>
      <c r="U102">
        <f>AVERAGE(I102:L102)</f>
        <v>42.7</v>
      </c>
    </row>
    <row r="103" spans="1:21" x14ac:dyDescent="0.3">
      <c r="A103" t="s">
        <v>219</v>
      </c>
      <c r="F103">
        <f>F$14-F3</f>
        <v>-83.900000000000034</v>
      </c>
      <c r="G103">
        <f>G$14-G4</f>
        <v>-130.00000000000006</v>
      </c>
      <c r="H103">
        <f>H$14-H5</f>
        <v>-83.800000000000068</v>
      </c>
      <c r="I103">
        <f>I$14-I6</f>
        <v>3.7000000000000455</v>
      </c>
      <c r="J103">
        <f>J$14-J7</f>
        <v>-10.200000000000045</v>
      </c>
      <c r="K103">
        <f>K$14-K8</f>
        <v>-42.700000000000045</v>
      </c>
      <c r="L103">
        <f>L$14-L9</f>
        <v>-6.7999999999999545</v>
      </c>
      <c r="R103">
        <f>AVERAGE(E103:L103)</f>
        <v>-50.528571428571453</v>
      </c>
      <c r="S103">
        <f>STDEV(E103:L103)</f>
        <v>50.128093064525373</v>
      </c>
      <c r="U103">
        <f t="shared" ref="U103:U105" si="14">AVERAGE(I103:L103)</f>
        <v>-14</v>
      </c>
    </row>
    <row r="104" spans="1:21" x14ac:dyDescent="0.3">
      <c r="A104" t="s">
        <v>220</v>
      </c>
      <c r="G104">
        <f>G$14-G3</f>
        <v>-76.800000000000011</v>
      </c>
      <c r="H104">
        <f>H$14-H4</f>
        <v>-129.70000000000005</v>
      </c>
      <c r="I104">
        <f>I$14-I5</f>
        <v>-37.600000000000023</v>
      </c>
      <c r="J104">
        <f>J$14-J6</f>
        <v>59.199999999999989</v>
      </c>
      <c r="K104">
        <f>K$14-K7</f>
        <v>155.80000000000001</v>
      </c>
      <c r="L104">
        <f>L$14-L8</f>
        <v>131</v>
      </c>
      <c r="R104">
        <f>AVERAGE(E104:L104)</f>
        <v>16.98333333333332</v>
      </c>
      <c r="S104">
        <f>STDEV(E104:L104)</f>
        <v>116.05409801754814</v>
      </c>
      <c r="U104">
        <f t="shared" si="14"/>
        <v>77.099999999999994</v>
      </c>
    </row>
    <row r="105" spans="1:21" x14ac:dyDescent="0.3">
      <c r="A105" t="s">
        <v>221</v>
      </c>
      <c r="H105">
        <f>H$14-H3</f>
        <v>-71.100000000000023</v>
      </c>
      <c r="I105">
        <f>I$14-I4</f>
        <v>-45.600000000000023</v>
      </c>
      <c r="J105">
        <f>J$14-J5</f>
        <v>32.200000000000045</v>
      </c>
      <c r="K105">
        <f>K$14-K6</f>
        <v>96</v>
      </c>
      <c r="L105">
        <f>L$14-L7</f>
        <v>263.10000000000002</v>
      </c>
      <c r="M105" t="s">
        <v>151</v>
      </c>
      <c r="R105">
        <f>AVERAGE(E105:L105)</f>
        <v>54.92</v>
      </c>
      <c r="S105">
        <f>STDEV(E105:L105)</f>
        <v>133.72358430733152</v>
      </c>
      <c r="U105">
        <f t="shared" si="14"/>
        <v>86.425000000000011</v>
      </c>
    </row>
    <row r="107" spans="1:21" x14ac:dyDescent="0.3">
      <c r="A107" t="s">
        <v>227</v>
      </c>
    </row>
    <row r="108" spans="1:21" x14ac:dyDescent="0.3">
      <c r="A108" t="s">
        <v>218</v>
      </c>
    </row>
    <row r="109" spans="1:21" x14ac:dyDescent="0.3">
      <c r="A109" t="s">
        <v>217</v>
      </c>
      <c r="E109">
        <f t="shared" ref="E109:L109" si="15">ABS(E102)</f>
        <v>21</v>
      </c>
      <c r="F109">
        <f t="shared" si="15"/>
        <v>9.5999999999999659</v>
      </c>
      <c r="G109">
        <f t="shared" si="15"/>
        <v>29.599999999999966</v>
      </c>
      <c r="H109">
        <f t="shared" si="15"/>
        <v>59.199999999999989</v>
      </c>
      <c r="I109">
        <f t="shared" si="15"/>
        <v>46.900000000000034</v>
      </c>
      <c r="J109">
        <f t="shared" si="15"/>
        <v>30.299999999999955</v>
      </c>
      <c r="K109">
        <f t="shared" si="15"/>
        <v>39.899999999999977</v>
      </c>
      <c r="L109">
        <f t="shared" si="15"/>
        <v>53.700000000000045</v>
      </c>
      <c r="R109">
        <f>AVERAGE(E109:L109)</f>
        <v>36.274999999999991</v>
      </c>
      <c r="S109">
        <f>STDEV(E109:L109)</f>
        <v>16.819864956142123</v>
      </c>
      <c r="U109">
        <f t="shared" ref="U109:U112" si="16">AVERAGE(I109:L109)</f>
        <v>42.7</v>
      </c>
    </row>
    <row r="110" spans="1:21" x14ac:dyDescent="0.3">
      <c r="A110" t="s">
        <v>219</v>
      </c>
      <c r="F110">
        <f t="shared" ref="F110:L110" si="17">ABS(F103)</f>
        <v>83.900000000000034</v>
      </c>
      <c r="G110">
        <f t="shared" si="17"/>
        <v>130.00000000000006</v>
      </c>
      <c r="H110">
        <f t="shared" si="17"/>
        <v>83.800000000000068</v>
      </c>
      <c r="I110">
        <f t="shared" si="17"/>
        <v>3.7000000000000455</v>
      </c>
      <c r="J110">
        <f t="shared" si="17"/>
        <v>10.200000000000045</v>
      </c>
      <c r="K110">
        <f t="shared" si="17"/>
        <v>42.700000000000045</v>
      </c>
      <c r="L110">
        <f t="shared" si="17"/>
        <v>6.7999999999999545</v>
      </c>
      <c r="R110">
        <f>AVERAGE(E110:L110)</f>
        <v>51.585714285714324</v>
      </c>
      <c r="S110">
        <f>STDEV(E110:L110)</f>
        <v>48.855754644716754</v>
      </c>
      <c r="U110">
        <f t="shared" si="16"/>
        <v>15.850000000000023</v>
      </c>
    </row>
    <row r="111" spans="1:21" x14ac:dyDescent="0.3">
      <c r="A111" t="s">
        <v>220</v>
      </c>
      <c r="G111">
        <f t="shared" ref="G111:L111" si="18">ABS(G104)</f>
        <v>76.800000000000011</v>
      </c>
      <c r="H111">
        <f t="shared" si="18"/>
        <v>129.70000000000005</v>
      </c>
      <c r="I111">
        <f t="shared" si="18"/>
        <v>37.600000000000023</v>
      </c>
      <c r="J111">
        <f t="shared" si="18"/>
        <v>59.199999999999989</v>
      </c>
      <c r="K111">
        <f t="shared" si="18"/>
        <v>155.80000000000001</v>
      </c>
      <c r="L111">
        <f t="shared" si="18"/>
        <v>131</v>
      </c>
      <c r="R111">
        <f>AVERAGE(E111:L111)</f>
        <v>98.350000000000023</v>
      </c>
      <c r="S111">
        <f>STDEV(E111:L111)</f>
        <v>46.983050135128515</v>
      </c>
      <c r="U111">
        <f t="shared" si="16"/>
        <v>95.9</v>
      </c>
    </row>
    <row r="112" spans="1:21" x14ac:dyDescent="0.3">
      <c r="A112" t="s">
        <v>221</v>
      </c>
      <c r="H112">
        <f>ABS(H105)</f>
        <v>71.100000000000023</v>
      </c>
      <c r="I112">
        <f>ABS(I105)</f>
        <v>45.600000000000023</v>
      </c>
      <c r="J112">
        <f>ABS(J105)</f>
        <v>32.200000000000045</v>
      </c>
      <c r="K112">
        <f>ABS(K105)</f>
        <v>96</v>
      </c>
      <c r="L112">
        <f>ABS(L105)</f>
        <v>263.10000000000002</v>
      </c>
      <c r="R112">
        <f>AVERAGE(E112:L112)</f>
        <v>101.60000000000002</v>
      </c>
      <c r="S112">
        <f>STDEV(E112:L112)</f>
        <v>93.536383295485606</v>
      </c>
      <c r="U112">
        <f t="shared" si="16"/>
        <v>109.22500000000002</v>
      </c>
    </row>
    <row r="114" spans="1:21" x14ac:dyDescent="0.3">
      <c r="A114" t="s">
        <v>228</v>
      </c>
    </row>
    <row r="115" spans="1:21" x14ac:dyDescent="0.3">
      <c r="A115" t="s">
        <v>218</v>
      </c>
    </row>
    <row r="116" spans="1:21" x14ac:dyDescent="0.3">
      <c r="A116" t="s">
        <v>217</v>
      </c>
      <c r="E116" s="5">
        <f>E102/E$14</f>
        <v>4.7748976807639835E-2</v>
      </c>
      <c r="F116" s="5">
        <f t="shared" ref="F116:L116" si="19">F102/F$14</f>
        <v>2.0997375328083916E-2</v>
      </c>
      <c r="G116" s="5">
        <f t="shared" si="19"/>
        <v>-6.1005770816158218E-2</v>
      </c>
      <c r="H116" s="5">
        <f t="shared" si="19"/>
        <v>0.11974110032362457</v>
      </c>
      <c r="I116" s="5">
        <f t="shared" si="19"/>
        <v>9.0785907859078654E-2</v>
      </c>
      <c r="J116" s="5">
        <f t="shared" si="19"/>
        <v>5.3914590747330883E-2</v>
      </c>
      <c r="K116" s="5">
        <f t="shared" si="19"/>
        <v>6.1149425287356285E-2</v>
      </c>
      <c r="L116" s="5">
        <f t="shared" si="19"/>
        <v>7.3051285539382463E-2</v>
      </c>
      <c r="R116" s="5">
        <f>AVERAGE(E116:L116)</f>
        <v>5.07978613845423E-2</v>
      </c>
      <c r="S116" s="5">
        <f>STDEV(E116:L116)</f>
        <v>5.3933443983785863E-2</v>
      </c>
      <c r="U116" s="5">
        <f t="shared" ref="U116:U119" si="20">AVERAGE(I116:L116)</f>
        <v>6.972530235828707E-2</v>
      </c>
    </row>
    <row r="117" spans="1:21" x14ac:dyDescent="0.3">
      <c r="A117" t="s">
        <v>219</v>
      </c>
      <c r="E117" s="5"/>
      <c r="F117" s="5">
        <f t="shared" ref="F117:L117" si="21">F103/F$14</f>
        <v>-0.18350831146106744</v>
      </c>
      <c r="G117" s="5">
        <f t="shared" si="21"/>
        <v>-0.26793075020610069</v>
      </c>
      <c r="H117" s="5">
        <f t="shared" si="21"/>
        <v>-0.16949838187702279</v>
      </c>
      <c r="I117" s="5">
        <f t="shared" si="21"/>
        <v>7.1622144792877381E-3</v>
      </c>
      <c r="J117" s="5">
        <f t="shared" si="21"/>
        <v>-1.81494661921709E-2</v>
      </c>
      <c r="K117" s="5">
        <f t="shared" si="21"/>
        <v>-6.5440613026819999E-2</v>
      </c>
      <c r="L117" s="5">
        <f t="shared" si="21"/>
        <v>-9.2504421167187521E-3</v>
      </c>
      <c r="M117" s="5"/>
      <c r="R117" s="5">
        <f>AVERAGE(E117:L117)</f>
        <v>-0.10094510720008755</v>
      </c>
      <c r="S117" s="5">
        <f>STDEV(E117:L117)</f>
        <v>0.10615337254711049</v>
      </c>
      <c r="U117" s="5">
        <f t="shared" si="20"/>
        <v>-2.1419576714105479E-2</v>
      </c>
    </row>
    <row r="118" spans="1:21" x14ac:dyDescent="0.3">
      <c r="A118" t="s">
        <v>220</v>
      </c>
      <c r="E118" s="5"/>
      <c r="F118" s="5"/>
      <c r="G118" s="5">
        <f t="shared" ref="G118:L118" si="22">G104/G$14</f>
        <v>-0.15828524319868098</v>
      </c>
      <c r="H118" s="5">
        <f t="shared" si="22"/>
        <v>-0.26233818770226547</v>
      </c>
      <c r="I118" s="5">
        <f t="shared" si="22"/>
        <v>-7.2783584978706975E-2</v>
      </c>
      <c r="J118" s="5">
        <f t="shared" si="22"/>
        <v>0.10533807829181492</v>
      </c>
      <c r="K118" s="5">
        <f t="shared" si="22"/>
        <v>0.23877394636015328</v>
      </c>
      <c r="L118" s="5">
        <f t="shared" si="22"/>
        <v>0.17820704666031831</v>
      </c>
      <c r="R118" s="5">
        <f>AVERAGE(E118:L118)</f>
        <v>4.8186759054388477E-3</v>
      </c>
      <c r="S118" s="5">
        <f>STDEV(E118:L118)</f>
        <v>0.19944950992010188</v>
      </c>
      <c r="U118" s="5">
        <f t="shared" si="20"/>
        <v>0.11238387158339488</v>
      </c>
    </row>
    <row r="119" spans="1:21" x14ac:dyDescent="0.3">
      <c r="A119" t="s">
        <v>221</v>
      </c>
      <c r="E119" s="5"/>
      <c r="F119" s="5"/>
      <c r="G119" s="5"/>
      <c r="H119" s="5">
        <f t="shared" ref="H119:L119" si="23">H105/H$14</f>
        <v>-0.14381067961165053</v>
      </c>
      <c r="I119" s="5">
        <f t="shared" si="23"/>
        <v>-8.8269454123112698E-2</v>
      </c>
      <c r="J119" s="5">
        <f t="shared" si="23"/>
        <v>5.7295373665480508E-2</v>
      </c>
      <c r="K119" s="5">
        <f t="shared" si="23"/>
        <v>0.14712643678160919</v>
      </c>
      <c r="L119" s="5">
        <f t="shared" si="23"/>
        <v>0.35791048836892941</v>
      </c>
      <c r="R119" s="5">
        <f>AVERAGE(E119:L119)</f>
        <v>6.6050433016251173E-2</v>
      </c>
      <c r="S119" s="5">
        <f>STDEV(E119:L119)</f>
        <v>0.19980526489646808</v>
      </c>
      <c r="U119" s="5">
        <f t="shared" si="20"/>
        <v>0.1185157111732266</v>
      </c>
    </row>
    <row r="121" spans="1:21" x14ac:dyDescent="0.3">
      <c r="A121" t="s">
        <v>229</v>
      </c>
    </row>
    <row r="122" spans="1:21" x14ac:dyDescent="0.3">
      <c r="A122" t="s">
        <v>218</v>
      </c>
    </row>
    <row r="123" spans="1:21" x14ac:dyDescent="0.3">
      <c r="A123" t="s">
        <v>217</v>
      </c>
      <c r="E123" s="5">
        <f t="shared" ref="E123:L123" si="24">ABS(E116)</f>
        <v>4.7748976807639835E-2</v>
      </c>
      <c r="F123" s="5">
        <f t="shared" si="24"/>
        <v>2.0997375328083916E-2</v>
      </c>
      <c r="G123" s="5">
        <f t="shared" si="24"/>
        <v>6.1005770816158218E-2</v>
      </c>
      <c r="H123" s="5">
        <f t="shared" si="24"/>
        <v>0.11974110032362457</v>
      </c>
      <c r="I123" s="5">
        <f t="shared" si="24"/>
        <v>9.0785907859078654E-2</v>
      </c>
      <c r="J123" s="5">
        <f t="shared" si="24"/>
        <v>5.3914590747330883E-2</v>
      </c>
      <c r="K123" s="5">
        <f t="shared" si="24"/>
        <v>6.1149425287356285E-2</v>
      </c>
      <c r="L123" s="5">
        <f t="shared" si="24"/>
        <v>7.3051285539382463E-2</v>
      </c>
      <c r="R123" s="5">
        <f>AVERAGE(E123:L123)</f>
        <v>6.6049304088581853E-2</v>
      </c>
      <c r="S123" s="5">
        <f>STDEV(E123:L123)</f>
        <v>2.9532093595474151E-2</v>
      </c>
      <c r="U123" s="5">
        <f t="shared" ref="U123:U126" si="25">AVERAGE(I123:L123)</f>
        <v>6.972530235828707E-2</v>
      </c>
    </row>
    <row r="124" spans="1:21" x14ac:dyDescent="0.3">
      <c r="A124" t="s">
        <v>219</v>
      </c>
      <c r="E124" s="5"/>
      <c r="F124" s="5">
        <f t="shared" ref="F124:L124" si="26">ABS(F117)</f>
        <v>0.18350831146106744</v>
      </c>
      <c r="G124" s="5">
        <f t="shared" si="26"/>
        <v>0.26793075020610069</v>
      </c>
      <c r="H124" s="5">
        <f t="shared" si="26"/>
        <v>0.16949838187702279</v>
      </c>
      <c r="I124" s="5">
        <f t="shared" si="26"/>
        <v>7.1622144792877381E-3</v>
      </c>
      <c r="J124" s="5">
        <f t="shared" si="26"/>
        <v>1.81494661921709E-2</v>
      </c>
      <c r="K124" s="5">
        <f t="shared" si="26"/>
        <v>6.5440613026819999E-2</v>
      </c>
      <c r="L124" s="5">
        <f t="shared" si="26"/>
        <v>9.2504421167187521E-3</v>
      </c>
      <c r="M124" s="5"/>
      <c r="R124" s="5">
        <f>AVERAGE(E124:L124)</f>
        <v>0.10299145419416977</v>
      </c>
      <c r="S124" s="5">
        <f>STDEV(E124:L124)</f>
        <v>0.10383476957246833</v>
      </c>
      <c r="U124" s="5">
        <f t="shared" si="25"/>
        <v>2.500068395374935E-2</v>
      </c>
    </row>
    <row r="125" spans="1:21" x14ac:dyDescent="0.3">
      <c r="A125" t="s">
        <v>220</v>
      </c>
      <c r="E125" s="5"/>
      <c r="F125" s="5"/>
      <c r="G125" s="5">
        <f t="shared" ref="G125:L125" si="27">ABS(G118)</f>
        <v>0.15828524319868098</v>
      </c>
      <c r="H125" s="5">
        <f t="shared" si="27"/>
        <v>0.26233818770226547</v>
      </c>
      <c r="I125" s="5">
        <f t="shared" si="27"/>
        <v>7.2783584978706975E-2</v>
      </c>
      <c r="J125" s="5">
        <f t="shared" si="27"/>
        <v>0.10533807829181492</v>
      </c>
      <c r="K125" s="5">
        <f t="shared" si="27"/>
        <v>0.23877394636015328</v>
      </c>
      <c r="L125" s="5">
        <f t="shared" si="27"/>
        <v>0.17820704666031831</v>
      </c>
      <c r="R125" s="5">
        <f>AVERAGE(E125:L125)</f>
        <v>0.16928768119865667</v>
      </c>
      <c r="S125" s="5">
        <f>STDEV(E125:L125)</f>
        <v>7.3606981772147112E-2</v>
      </c>
      <c r="U125" s="5">
        <f t="shared" si="25"/>
        <v>0.14877566407274836</v>
      </c>
    </row>
    <row r="126" spans="1:21" x14ac:dyDescent="0.3">
      <c r="A126" t="s">
        <v>221</v>
      </c>
      <c r="E126" s="5"/>
      <c r="F126" s="5"/>
      <c r="G126" s="5"/>
      <c r="H126" s="5">
        <f>ABS(H119)</f>
        <v>0.14381067961165053</v>
      </c>
      <c r="I126" s="5">
        <f>ABS(I119)</f>
        <v>8.8269454123112698E-2</v>
      </c>
      <c r="J126" s="5">
        <f>ABS(J119)</f>
        <v>5.7295373665480508E-2</v>
      </c>
      <c r="K126" s="5">
        <f>ABS(K119)</f>
        <v>0.14712643678160919</v>
      </c>
      <c r="L126" s="5">
        <f>ABS(L119)</f>
        <v>0.35791048836892941</v>
      </c>
      <c r="R126" s="5">
        <f>AVERAGE(E126:L126)</f>
        <v>0.15888248651015646</v>
      </c>
      <c r="S126" s="5">
        <f>STDEV(E126:L126)</f>
        <v>0.11756237858187486</v>
      </c>
      <c r="U126" s="5">
        <f t="shared" si="25"/>
        <v>0.16265043823478295</v>
      </c>
    </row>
    <row r="128" spans="1:21" x14ac:dyDescent="0.3">
      <c r="A128" t="s">
        <v>236</v>
      </c>
    </row>
    <row r="129" spans="1:21" x14ac:dyDescent="0.3">
      <c r="A129" t="s">
        <v>218</v>
      </c>
    </row>
    <row r="130" spans="1:21" x14ac:dyDescent="0.3">
      <c r="A130" t="s">
        <v>217</v>
      </c>
    </row>
    <row r="131" spans="1:21" x14ac:dyDescent="0.3">
      <c r="A131" t="s">
        <v>219</v>
      </c>
      <c r="F131" s="16">
        <f>F$38-F27</f>
        <v>-0.2524613949294483</v>
      </c>
      <c r="G131" s="16">
        <f>G$38-G28</f>
        <v>-0.31319912088736901</v>
      </c>
      <c r="H131" s="16">
        <f>H$38-H29</f>
        <v>-0.1041933700631148</v>
      </c>
      <c r="I131" s="16">
        <f>I$38-I30</f>
        <v>-0.13363569031981704</v>
      </c>
      <c r="J131" s="16">
        <f>J$38-J31</f>
        <v>-0.13034209115776507</v>
      </c>
      <c r="K131" s="16">
        <f>K$38-K32</f>
        <v>-0.14647220323985977</v>
      </c>
      <c r="L131" s="16">
        <f>L$38-L33</f>
        <v>-8.4477542488957891E-2</v>
      </c>
      <c r="R131" s="5">
        <f>AVERAGE(E131:L131)</f>
        <v>-0.16639734472661885</v>
      </c>
      <c r="S131" s="5">
        <f>STDEV(E131:L131)</f>
        <v>8.3972504683094404E-2</v>
      </c>
      <c r="U131" s="5">
        <f t="shared" ref="U131:U133" si="28">AVERAGE(I131:L131)</f>
        <v>-0.12373188180159994</v>
      </c>
    </row>
    <row r="132" spans="1:21" x14ac:dyDescent="0.3">
      <c r="A132" t="s">
        <v>220</v>
      </c>
      <c r="G132" s="16">
        <f>G$38-G27</f>
        <v>2.2617321605821417E-2</v>
      </c>
      <c r="H132" s="16">
        <f>H$38-H28</f>
        <v>4.4944130394930504E-3</v>
      </c>
      <c r="I132" s="16">
        <f>I$38-I29</f>
        <v>8.64110412965583E-2</v>
      </c>
      <c r="J132" s="16">
        <f>J$38-J30</f>
        <v>0.10757425514260155</v>
      </c>
      <c r="K132" s="16">
        <f>K$38-K31</f>
        <v>0.29297890019292461</v>
      </c>
      <c r="L132" s="16">
        <f>L$38-L32</f>
        <v>0.25763146524167913</v>
      </c>
      <c r="M132" s="16"/>
      <c r="R132" s="5">
        <f>AVERAGE(E132:L132)</f>
        <v>0.12861789941984633</v>
      </c>
      <c r="S132" s="5">
        <f>STDEV(E132:L132)</f>
        <v>0.12043758129954261</v>
      </c>
      <c r="U132" s="5">
        <f t="shared" si="28"/>
        <v>0.1861489154684409</v>
      </c>
    </row>
    <row r="133" spans="1:21" x14ac:dyDescent="0.3">
      <c r="A133" t="s">
        <v>221</v>
      </c>
      <c r="H133" s="16">
        <f>H$38-H27</f>
        <v>1.2733495084391144E-2</v>
      </c>
      <c r="I133" s="16">
        <f>I$38-I28</f>
        <v>0.14408573588686169</v>
      </c>
      <c r="J133" s="16">
        <f>J$38-J29</f>
        <v>0.13190973431619157</v>
      </c>
      <c r="K133" s="16">
        <f>K$38-K30</f>
        <v>5.4230119161875034E-2</v>
      </c>
      <c r="L133" s="16">
        <f>L$38-L31</f>
        <v>0.17631824447483657</v>
      </c>
      <c r="R133" s="5">
        <f>AVERAGE(E133:L133)</f>
        <v>0.10385546578483121</v>
      </c>
      <c r="S133" s="5">
        <f>STDEV(E133:L133)</f>
        <v>6.7864312201939225E-2</v>
      </c>
      <c r="U133" s="5">
        <f t="shared" si="28"/>
        <v>0.12663595845994122</v>
      </c>
    </row>
    <row r="135" spans="1:21" x14ac:dyDescent="0.3">
      <c r="A135" t="s">
        <v>237</v>
      </c>
    </row>
    <row r="136" spans="1:21" x14ac:dyDescent="0.3">
      <c r="A136" t="s">
        <v>218</v>
      </c>
    </row>
    <row r="137" spans="1:21" x14ac:dyDescent="0.3">
      <c r="A137" t="s">
        <v>217</v>
      </c>
    </row>
    <row r="138" spans="1:21" x14ac:dyDescent="0.3">
      <c r="A138" t="s">
        <v>219</v>
      </c>
      <c r="G138" s="5">
        <f>ABS(G131)</f>
        <v>0.31319912088736901</v>
      </c>
      <c r="H138" s="5">
        <f t="shared" ref="H138:L138" si="29">ABS(H131)</f>
        <v>0.1041933700631148</v>
      </c>
      <c r="I138" s="5">
        <f t="shared" si="29"/>
        <v>0.13363569031981704</v>
      </c>
      <c r="J138" s="5">
        <f t="shared" si="29"/>
        <v>0.13034209115776507</v>
      </c>
      <c r="K138" s="5">
        <f t="shared" si="29"/>
        <v>0.14647220323985977</v>
      </c>
      <c r="L138" s="5">
        <f t="shared" si="29"/>
        <v>8.4477542488957891E-2</v>
      </c>
      <c r="R138" s="5">
        <f>AVERAGE(E138:L138)</f>
        <v>0.1520533363594806</v>
      </c>
      <c r="S138" s="5">
        <f>STDEV(E138:L138)</f>
        <v>8.2057010746163006E-2</v>
      </c>
      <c r="U138" s="5">
        <f t="shared" ref="U138:U140" si="30">AVERAGE(I138:L138)</f>
        <v>0.12373188180159994</v>
      </c>
    </row>
    <row r="139" spans="1:21" x14ac:dyDescent="0.3">
      <c r="A139" t="s">
        <v>220</v>
      </c>
      <c r="H139" s="5">
        <f t="shared" ref="H139:L139" si="31">ABS(H132)</f>
        <v>4.4944130394930504E-3</v>
      </c>
      <c r="I139" s="5">
        <f t="shared" si="31"/>
        <v>8.64110412965583E-2</v>
      </c>
      <c r="J139" s="5">
        <f t="shared" si="31"/>
        <v>0.10757425514260155</v>
      </c>
      <c r="K139" s="5">
        <f t="shared" si="31"/>
        <v>0.29297890019292461</v>
      </c>
      <c r="L139" s="5">
        <f t="shared" si="31"/>
        <v>0.25763146524167913</v>
      </c>
      <c r="R139" s="5">
        <f>AVERAGE(E139:L139)</f>
        <v>0.14981801498265132</v>
      </c>
      <c r="S139" s="5">
        <f>STDEV(E139:L139)</f>
        <v>0.12149352652521357</v>
      </c>
      <c r="U139" s="5">
        <f t="shared" si="30"/>
        <v>0.1861489154684409</v>
      </c>
    </row>
    <row r="140" spans="1:21" x14ac:dyDescent="0.3">
      <c r="A140" t="s">
        <v>221</v>
      </c>
      <c r="I140" s="5">
        <f t="shared" ref="I140:L140" si="32">ABS(I133)</f>
        <v>0.14408573588686169</v>
      </c>
      <c r="J140" s="5">
        <f t="shared" si="32"/>
        <v>0.13190973431619157</v>
      </c>
      <c r="K140" s="5">
        <f t="shared" si="32"/>
        <v>5.4230119161875034E-2</v>
      </c>
      <c r="L140" s="5">
        <f t="shared" si="32"/>
        <v>0.17631824447483657</v>
      </c>
      <c r="R140" s="5">
        <f>AVERAGE(E140:L140)</f>
        <v>0.12663595845994122</v>
      </c>
      <c r="S140" s="5">
        <f>STDEV(E140:L140)</f>
        <v>5.177915459640197E-2</v>
      </c>
      <c r="U140" s="5">
        <f t="shared" si="30"/>
        <v>0.12663595845994122</v>
      </c>
    </row>
    <row r="142" spans="1:21" x14ac:dyDescent="0.3">
      <c r="A142" t="s">
        <v>238</v>
      </c>
    </row>
    <row r="143" spans="1:21" x14ac:dyDescent="0.3">
      <c r="A143" t="s">
        <v>218</v>
      </c>
      <c r="R143" s="5"/>
      <c r="S143" s="5"/>
    </row>
    <row r="144" spans="1:21" x14ac:dyDescent="0.3">
      <c r="A144" t="s">
        <v>217</v>
      </c>
      <c r="R144" s="5"/>
      <c r="S144" s="5"/>
    </row>
    <row r="145" spans="1:21" x14ac:dyDescent="0.3">
      <c r="A145" t="s">
        <v>219</v>
      </c>
      <c r="F145" s="5">
        <f>F$84-F73</f>
        <v>-0.10267009670989008</v>
      </c>
      <c r="G145" s="5">
        <f>G$84-G74</f>
        <v>-0.17024153362523708</v>
      </c>
      <c r="H145" s="5">
        <f>H$84-H75</f>
        <v>-7.7019961286430461E-2</v>
      </c>
      <c r="I145" s="5">
        <f>I$84-I76</f>
        <v>-6.0768060641558763E-2</v>
      </c>
      <c r="J145" s="5">
        <f>J$84-J77</f>
        <v>1.025349866696873E-2</v>
      </c>
      <c r="K145" s="5">
        <f>K$84-K78</f>
        <v>-7.9054822185227469E-2</v>
      </c>
      <c r="L145" s="5">
        <f>L$84-L79</f>
        <v>-2.0310311002336934E-2</v>
      </c>
      <c r="R145" s="5">
        <f t="shared" ref="R145:R146" si="33">AVERAGE(E145:L145)</f>
        <v>-7.1401612397673148E-2</v>
      </c>
      <c r="S145" s="5">
        <f t="shared" ref="S145:S146" si="34">STDEV(E145:L145)</f>
        <v>5.8063379549047625E-2</v>
      </c>
      <c r="U145" s="5">
        <f t="shared" ref="U145:U147" si="35">AVERAGE(I145:L145)</f>
        <v>-3.7469923790538609E-2</v>
      </c>
    </row>
    <row r="146" spans="1:21" x14ac:dyDescent="0.3">
      <c r="A146" t="s">
        <v>220</v>
      </c>
      <c r="F146" s="5"/>
      <c r="G146" s="5">
        <f>G$84-G73</f>
        <v>-0.20240716801865621</v>
      </c>
      <c r="H146" s="5">
        <f>H$84-H74</f>
        <v>-0.14978161993439115</v>
      </c>
      <c r="I146" s="5">
        <f>I$84-I75</f>
        <v>-1.7114546927017971E-2</v>
      </c>
      <c r="J146" s="5">
        <f>J$84-J76</f>
        <v>-1.7434576741930052E-2</v>
      </c>
      <c r="K146" s="5">
        <f>K$84-K77</f>
        <v>0.11982919038077811</v>
      </c>
      <c r="L146" s="5">
        <f>L$84-L78</f>
        <v>4.9163097615150864E-2</v>
      </c>
      <c r="R146" s="5">
        <f t="shared" si="33"/>
        <v>-3.629093727101107E-2</v>
      </c>
      <c r="S146" s="5">
        <f t="shared" si="34"/>
        <v>0.12072606991414003</v>
      </c>
      <c r="U146" s="5">
        <f t="shared" si="35"/>
        <v>3.3610791081745237E-2</v>
      </c>
    </row>
    <row r="147" spans="1:21" x14ac:dyDescent="0.3">
      <c r="A147" t="s">
        <v>221</v>
      </c>
      <c r="F147" s="5"/>
      <c r="G147" s="5"/>
      <c r="H147" s="5">
        <f>H$84-H73</f>
        <v>-0.10006374898115283</v>
      </c>
      <c r="I147" s="5">
        <f>I$84-I74</f>
        <v>-5.5670336031939938E-2</v>
      </c>
      <c r="J147" s="5">
        <f>J$84-J75</f>
        <v>3.5319235904837265E-2</v>
      </c>
      <c r="K147" s="5">
        <f>K$84-K76</f>
        <v>-1.2640460559837641E-2</v>
      </c>
      <c r="L147" s="5">
        <f>L$84-L77</f>
        <v>0.16971466104355254</v>
      </c>
      <c r="R147" s="5">
        <f>AVERAGE(E147:L147)</f>
        <v>7.3318702750918788E-3</v>
      </c>
      <c r="S147" s="5">
        <f>STDEV(E147:L147)</f>
        <v>0.10374663176052112</v>
      </c>
      <c r="U147" s="5">
        <f t="shared" si="35"/>
        <v>3.4180775089153057E-2</v>
      </c>
    </row>
    <row r="149" spans="1:21" x14ac:dyDescent="0.3">
      <c r="A149" t="s">
        <v>255</v>
      </c>
    </row>
    <row r="150" spans="1:21" x14ac:dyDescent="0.3">
      <c r="A150" t="s">
        <v>218</v>
      </c>
    </row>
    <row r="151" spans="1:21" x14ac:dyDescent="0.3">
      <c r="A151" t="s">
        <v>217</v>
      </c>
      <c r="F151" s="5"/>
    </row>
    <row r="152" spans="1:21" x14ac:dyDescent="0.3">
      <c r="A152" t="s">
        <v>219</v>
      </c>
      <c r="F152" s="5">
        <f t="shared" ref="F152:L152" si="36">ABS(F145)</f>
        <v>0.10267009670989008</v>
      </c>
      <c r="G152" s="5">
        <f t="shared" si="36"/>
        <v>0.17024153362523708</v>
      </c>
      <c r="H152" s="5">
        <f t="shared" si="36"/>
        <v>7.7019961286430461E-2</v>
      </c>
      <c r="I152" s="5">
        <f t="shared" si="36"/>
        <v>6.0768060641558763E-2</v>
      </c>
      <c r="J152" s="5">
        <f t="shared" si="36"/>
        <v>1.025349866696873E-2</v>
      </c>
      <c r="K152" s="5">
        <f t="shared" si="36"/>
        <v>7.9054822185227469E-2</v>
      </c>
      <c r="L152" s="5">
        <f t="shared" si="36"/>
        <v>2.0310311002336934E-2</v>
      </c>
      <c r="R152" s="5">
        <f t="shared" ref="R152:R153" si="37">AVERAGE(E152:L152)</f>
        <v>7.4331183445378507E-2</v>
      </c>
      <c r="S152" s="5">
        <f t="shared" ref="S152:S153" si="38">STDEV(E152:L152)</f>
        <v>5.3602851622091663E-2</v>
      </c>
      <c r="U152" s="5">
        <f t="shared" ref="U152:U154" si="39">AVERAGE(I152:L152)</f>
        <v>4.2596673124022974E-2</v>
      </c>
    </row>
    <row r="153" spans="1:21" x14ac:dyDescent="0.3">
      <c r="A153" t="s">
        <v>220</v>
      </c>
      <c r="G153" s="5">
        <f t="shared" ref="G153:L153" si="40">ABS(G146)</f>
        <v>0.20240716801865621</v>
      </c>
      <c r="H153" s="5">
        <f t="shared" si="40"/>
        <v>0.14978161993439115</v>
      </c>
      <c r="I153" s="5">
        <f t="shared" si="40"/>
        <v>1.7114546927017971E-2</v>
      </c>
      <c r="J153" s="5">
        <f t="shared" si="40"/>
        <v>1.7434576741930052E-2</v>
      </c>
      <c r="K153" s="5">
        <f t="shared" si="40"/>
        <v>0.11982919038077811</v>
      </c>
      <c r="L153" s="5">
        <f t="shared" si="40"/>
        <v>4.9163097615150864E-2</v>
      </c>
      <c r="R153" s="5">
        <f t="shared" si="37"/>
        <v>9.2621699936320745E-2</v>
      </c>
      <c r="S153" s="5">
        <f t="shared" si="38"/>
        <v>7.655512622686593E-2</v>
      </c>
      <c r="U153" s="5">
        <f t="shared" si="39"/>
        <v>5.0885352916219248E-2</v>
      </c>
    </row>
    <row r="154" spans="1:21" x14ac:dyDescent="0.3">
      <c r="A154" t="s">
        <v>221</v>
      </c>
      <c r="H154" s="5">
        <f>ABS(H147)</f>
        <v>0.10006374898115283</v>
      </c>
      <c r="I154" s="5">
        <f t="shared" ref="I154:L154" si="41">ABS(I147)</f>
        <v>5.5670336031939938E-2</v>
      </c>
      <c r="J154" s="5">
        <f t="shared" si="41"/>
        <v>3.5319235904837265E-2</v>
      </c>
      <c r="K154" s="5">
        <f t="shared" si="41"/>
        <v>1.2640460559837641E-2</v>
      </c>
      <c r="L154" s="5">
        <f t="shared" si="41"/>
        <v>0.16971466104355254</v>
      </c>
      <c r="R154" s="5">
        <f>AVERAGE(E154:L154)</f>
        <v>7.4681688504264043E-2</v>
      </c>
      <c r="S154" s="5">
        <f>STDEV(E154:L154)</f>
        <v>6.2119769449883941E-2</v>
      </c>
      <c r="U154" s="5">
        <f t="shared" si="39"/>
        <v>6.8336173385041846E-2</v>
      </c>
    </row>
    <row r="223" spans="1:1" x14ac:dyDescent="0.3">
      <c r="A223" t="s">
        <v>14</v>
      </c>
    </row>
    <row r="224" spans="1:1" x14ac:dyDescent="0.3">
      <c r="A224" t="s">
        <v>15</v>
      </c>
    </row>
    <row r="225" spans="1:1" x14ac:dyDescent="0.3">
      <c r="A225" t="s">
        <v>17</v>
      </c>
    </row>
    <row r="226" spans="1:1" x14ac:dyDescent="0.3">
      <c r="A226" t="s">
        <v>18</v>
      </c>
    </row>
    <row r="227" spans="1:1" x14ac:dyDescent="0.3">
      <c r="A227" t="s">
        <v>19</v>
      </c>
    </row>
    <row r="228" spans="1:1" x14ac:dyDescent="0.3">
      <c r="A228" t="s">
        <v>20</v>
      </c>
    </row>
    <row r="229" spans="1:1" x14ac:dyDescent="0.3">
      <c r="A229" t="s">
        <v>21</v>
      </c>
    </row>
    <row r="230" spans="1:1" x14ac:dyDescent="0.3">
      <c r="A230" t="s">
        <v>27</v>
      </c>
    </row>
    <row r="231" spans="1:1" x14ac:dyDescent="0.3">
      <c r="A231" t="s">
        <v>28</v>
      </c>
    </row>
    <row r="232" spans="1:1" x14ac:dyDescent="0.3">
      <c r="A232" t="s">
        <v>30</v>
      </c>
    </row>
    <row r="233" spans="1:1" x14ac:dyDescent="0.3">
      <c r="A233" t="s">
        <v>31</v>
      </c>
    </row>
    <row r="234" spans="1:1" x14ac:dyDescent="0.3">
      <c r="A234" t="s">
        <v>34</v>
      </c>
    </row>
    <row r="235" spans="1:1" x14ac:dyDescent="0.3">
      <c r="A235" t="s">
        <v>37</v>
      </c>
    </row>
    <row r="236" spans="1:1" x14ac:dyDescent="0.3">
      <c r="A236" t="s">
        <v>38</v>
      </c>
    </row>
    <row r="237" spans="1:1" x14ac:dyDescent="0.3">
      <c r="A237" t="s">
        <v>39</v>
      </c>
    </row>
    <row r="238" spans="1:1" x14ac:dyDescent="0.3">
      <c r="A238" t="s">
        <v>40</v>
      </c>
    </row>
    <row r="239" spans="1:1" x14ac:dyDescent="0.3">
      <c r="A239" t="s">
        <v>47</v>
      </c>
    </row>
    <row r="240" spans="1:1" x14ac:dyDescent="0.3">
      <c r="A240" s="17"/>
    </row>
    <row r="247" spans="1:1" x14ac:dyDescent="0.3">
      <c r="A247" s="18"/>
    </row>
    <row r="248" spans="1:1" x14ac:dyDescent="0.3">
      <c r="A248" s="17"/>
    </row>
    <row r="249" spans="1:1" x14ac:dyDescent="0.3">
      <c r="A249" s="18"/>
    </row>
    <row r="250" spans="1:1" x14ac:dyDescent="0.3">
      <c r="A250" s="17"/>
    </row>
    <row r="251" spans="1:1" x14ac:dyDescent="0.3">
      <c r="A251" s="18"/>
    </row>
    <row r="252" spans="1:1" x14ac:dyDescent="0.3">
      <c r="A252" s="17"/>
    </row>
    <row r="256" spans="1:1" x14ac:dyDescent="0.3">
      <c r="A256" s="17"/>
    </row>
    <row r="257" spans="1:1" x14ac:dyDescent="0.3">
      <c r="A257" s="18"/>
    </row>
    <row r="258" spans="1:1" x14ac:dyDescent="0.3">
      <c r="A258" s="17"/>
    </row>
    <row r="259" spans="1:1" x14ac:dyDescent="0.3">
      <c r="A259" s="18"/>
    </row>
    <row r="260" spans="1:1" x14ac:dyDescent="0.3">
      <c r="A260" s="17"/>
    </row>
    <row r="261" spans="1:1" x14ac:dyDescent="0.3">
      <c r="A261" s="18"/>
    </row>
    <row r="262" spans="1:1" x14ac:dyDescent="0.3">
      <c r="A262" s="17"/>
    </row>
    <row r="263" spans="1:1" x14ac:dyDescent="0.3">
      <c r="A263" s="18"/>
    </row>
    <row r="264" spans="1:1" x14ac:dyDescent="0.3">
      <c r="A264" s="17"/>
    </row>
    <row r="265" spans="1:1" x14ac:dyDescent="0.3">
      <c r="A265" s="18"/>
    </row>
    <row r="266" spans="1:1" x14ac:dyDescent="0.3">
      <c r="A266" s="17"/>
    </row>
    <row r="267" spans="1:1" x14ac:dyDescent="0.3">
      <c r="A267" s="18"/>
    </row>
    <row r="268" spans="1:1" x14ac:dyDescent="0.3">
      <c r="A268" s="1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3161-E4C3-4F8E-B7ED-564F2A651306}">
  <dimension ref="A1:G52"/>
  <sheetViews>
    <sheetView workbookViewId="0">
      <selection activeCell="B21" sqref="B21"/>
    </sheetView>
  </sheetViews>
  <sheetFormatPr defaultRowHeight="14.4" x14ac:dyDescent="0.3"/>
  <cols>
    <col min="1" max="1" width="22.109375" customWidth="1"/>
    <col min="2" max="2" width="14.33203125" customWidth="1"/>
    <col min="3" max="3" width="14.77734375" customWidth="1"/>
    <col min="4" max="4" width="22.33203125" bestFit="1" customWidth="1"/>
    <col min="5" max="5" width="23" bestFit="1" customWidth="1"/>
    <col min="6" max="6" width="22.33203125" bestFit="1" customWidth="1"/>
    <col min="7" max="7" width="18.6640625" bestFit="1" customWidth="1"/>
    <col min="8" max="8" width="16.88671875" bestFit="1" customWidth="1"/>
    <col min="9" max="9" width="11.6640625" bestFit="1" customWidth="1"/>
  </cols>
  <sheetData>
    <row r="1" spans="1:7" x14ac:dyDescent="0.3">
      <c r="A1" t="s">
        <v>1</v>
      </c>
      <c r="B1" t="s">
        <v>55</v>
      </c>
      <c r="C1" t="s">
        <v>5</v>
      </c>
      <c r="D1" t="s">
        <v>6</v>
      </c>
      <c r="E1" t="s">
        <v>56</v>
      </c>
      <c r="F1" t="s">
        <v>57</v>
      </c>
      <c r="G1" t="s">
        <v>58</v>
      </c>
    </row>
    <row r="2" spans="1:7" x14ac:dyDescent="0.3">
      <c r="B2" t="s">
        <v>59</v>
      </c>
    </row>
    <row r="3" spans="1:7" x14ac:dyDescent="0.3">
      <c r="B3" t="s">
        <v>120</v>
      </c>
      <c r="C3" t="s">
        <v>153</v>
      </c>
      <c r="D3" t="s">
        <v>122</v>
      </c>
      <c r="E3" t="s">
        <v>154</v>
      </c>
      <c r="F3" t="s">
        <v>154</v>
      </c>
    </row>
    <row r="4" spans="1:7" x14ac:dyDescent="0.3">
      <c r="A4" t="s">
        <v>14</v>
      </c>
      <c r="B4" s="2">
        <v>360.6</v>
      </c>
      <c r="C4" s="2">
        <v>418.8</v>
      </c>
      <c r="D4" s="2">
        <v>541.1</v>
      </c>
      <c r="E4" s="2">
        <v>562</v>
      </c>
      <c r="F4" s="2">
        <v>565.5</v>
      </c>
      <c r="G4" t="s">
        <v>13</v>
      </c>
    </row>
    <row r="5" spans="1:7" x14ac:dyDescent="0.3">
      <c r="A5" t="s">
        <v>15</v>
      </c>
      <c r="B5" s="2">
        <v>184.6</v>
      </c>
      <c r="C5" s="2">
        <v>200.8</v>
      </c>
      <c r="D5" s="2">
        <v>247.4</v>
      </c>
      <c r="E5" s="2">
        <v>252.9</v>
      </c>
      <c r="F5" s="2">
        <v>261.2</v>
      </c>
    </row>
    <row r="6" spans="1:7" x14ac:dyDescent="0.3">
      <c r="A6" t="s">
        <v>16</v>
      </c>
      <c r="B6" s="2">
        <v>35.799999999999997</v>
      </c>
      <c r="C6" s="2">
        <v>34.700000000000003</v>
      </c>
      <c r="D6" s="2">
        <v>38.1</v>
      </c>
      <c r="E6" s="2">
        <v>38.1</v>
      </c>
      <c r="F6" s="2">
        <v>38.1</v>
      </c>
    </row>
    <row r="7" spans="1:7" x14ac:dyDescent="0.3">
      <c r="A7" t="s">
        <v>8</v>
      </c>
      <c r="B7" s="2">
        <v>0.3</v>
      </c>
      <c r="C7" s="2">
        <v>0.3</v>
      </c>
      <c r="D7" s="2">
        <v>0.9</v>
      </c>
      <c r="E7" s="2">
        <v>0.9</v>
      </c>
      <c r="F7" s="2">
        <v>0.9</v>
      </c>
    </row>
    <row r="8" spans="1:7" x14ac:dyDescent="0.3">
      <c r="A8" t="s">
        <v>17</v>
      </c>
      <c r="B8" s="2">
        <v>128.6</v>
      </c>
      <c r="C8" s="2">
        <v>139.4</v>
      </c>
      <c r="D8" s="2">
        <v>171.9</v>
      </c>
      <c r="E8" s="2">
        <v>176.3</v>
      </c>
      <c r="F8" s="2">
        <v>183.3</v>
      </c>
    </row>
    <row r="9" spans="1:7" x14ac:dyDescent="0.3">
      <c r="A9" t="s">
        <v>10</v>
      </c>
      <c r="B9" s="2">
        <v>19.899999999999999</v>
      </c>
      <c r="C9" s="2">
        <v>26.4</v>
      </c>
      <c r="D9" s="2">
        <v>36.6</v>
      </c>
      <c r="E9" s="2">
        <v>37.6</v>
      </c>
      <c r="F9" s="2">
        <v>38.9</v>
      </c>
    </row>
    <row r="10" spans="1:7" x14ac:dyDescent="0.3">
      <c r="A10" t="s">
        <v>9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</row>
    <row r="11" spans="1:7" x14ac:dyDescent="0.3">
      <c r="A11" t="s">
        <v>18</v>
      </c>
      <c r="B11" s="2">
        <v>146</v>
      </c>
      <c r="C11" s="2">
        <v>179.4</v>
      </c>
      <c r="D11" s="2">
        <v>251.4</v>
      </c>
      <c r="E11" s="2">
        <v>267.5</v>
      </c>
      <c r="F11" s="2">
        <v>260.2</v>
      </c>
    </row>
    <row r="12" spans="1:7" x14ac:dyDescent="0.3">
      <c r="A12" t="s">
        <v>19</v>
      </c>
      <c r="B12" s="2">
        <v>87.4</v>
      </c>
      <c r="C12" s="2">
        <v>84.7</v>
      </c>
      <c r="D12" s="2">
        <v>114.3</v>
      </c>
      <c r="E12" s="2">
        <v>116.6</v>
      </c>
      <c r="F12" s="2">
        <v>69.5</v>
      </c>
    </row>
    <row r="13" spans="1:7" x14ac:dyDescent="0.3">
      <c r="A13" t="s">
        <v>20</v>
      </c>
      <c r="B13" s="2">
        <v>58.6</v>
      </c>
      <c r="C13" s="2">
        <v>94.7</v>
      </c>
      <c r="D13" s="2">
        <v>137.1</v>
      </c>
      <c r="E13" s="2">
        <v>150.9</v>
      </c>
      <c r="F13" s="2">
        <v>190.7</v>
      </c>
    </row>
    <row r="14" spans="1:7" x14ac:dyDescent="0.3">
      <c r="A14" t="s">
        <v>21</v>
      </c>
      <c r="B14" s="2">
        <v>30.1</v>
      </c>
      <c r="C14" s="2">
        <v>38.5</v>
      </c>
      <c r="D14" s="2">
        <v>42.2</v>
      </c>
      <c r="E14" s="2">
        <v>41.7</v>
      </c>
      <c r="F14" s="2">
        <v>44.2</v>
      </c>
    </row>
    <row r="15" spans="1:7" x14ac:dyDescent="0.3">
      <c r="A15" t="s">
        <v>22</v>
      </c>
      <c r="B15" s="2">
        <v>10.9</v>
      </c>
      <c r="C15" s="2">
        <v>15.7</v>
      </c>
      <c r="D15" s="2">
        <v>20.2</v>
      </c>
      <c r="E15" s="2">
        <v>20.2</v>
      </c>
      <c r="F15" s="2">
        <v>21.1</v>
      </c>
    </row>
    <row r="16" spans="1:7" x14ac:dyDescent="0.3">
      <c r="A16" t="s">
        <v>23</v>
      </c>
      <c r="B16" s="2">
        <v>13.3</v>
      </c>
      <c r="C16" s="2">
        <v>17.399999999999999</v>
      </c>
      <c r="D16" s="2">
        <v>17.899999999999999</v>
      </c>
      <c r="E16" s="2">
        <v>18.100000000000001</v>
      </c>
      <c r="F16" s="2">
        <v>19.2</v>
      </c>
    </row>
    <row r="17" spans="1:6" x14ac:dyDescent="0.3">
      <c r="A17" t="s">
        <v>24</v>
      </c>
      <c r="B17" s="2">
        <v>0.7</v>
      </c>
      <c r="C17" s="2">
        <v>0.7</v>
      </c>
      <c r="D17" s="2">
        <v>1.3</v>
      </c>
      <c r="E17" s="2">
        <v>1.3</v>
      </c>
      <c r="F17" s="2">
        <v>1.3</v>
      </c>
    </row>
    <row r="18" spans="1:6" x14ac:dyDescent="0.3">
      <c r="A18" t="s">
        <v>25</v>
      </c>
      <c r="B18" s="2">
        <v>0</v>
      </c>
      <c r="C18" s="2">
        <v>0.1</v>
      </c>
      <c r="D18" s="2" t="s">
        <v>11</v>
      </c>
      <c r="E18" s="2" t="s">
        <v>11</v>
      </c>
      <c r="F18" s="2" t="s">
        <v>11</v>
      </c>
    </row>
    <row r="19" spans="1:6" x14ac:dyDescent="0.3">
      <c r="A19" t="s">
        <v>26</v>
      </c>
      <c r="B19" s="2">
        <v>5.0999999999999996</v>
      </c>
      <c r="C19" s="2">
        <v>4.5999999999999996</v>
      </c>
      <c r="D19" s="2">
        <v>2.7</v>
      </c>
      <c r="E19" s="2">
        <v>2.1</v>
      </c>
      <c r="F19" s="2">
        <v>2.6</v>
      </c>
    </row>
    <row r="20" spans="1:6" x14ac:dyDescent="0.3">
      <c r="A20" t="s">
        <v>27</v>
      </c>
      <c r="B20" s="2">
        <v>284.60000000000002</v>
      </c>
      <c r="C20" s="2">
        <v>320.7</v>
      </c>
      <c r="D20" s="2">
        <v>407.8</v>
      </c>
      <c r="E20" s="2">
        <v>408</v>
      </c>
      <c r="F20" s="2">
        <v>419.4</v>
      </c>
    </row>
    <row r="21" spans="1:6" x14ac:dyDescent="0.3">
      <c r="A21" t="s">
        <v>28</v>
      </c>
      <c r="B21" s="2">
        <v>127.3</v>
      </c>
      <c r="C21" s="2">
        <v>138.1</v>
      </c>
      <c r="D21" s="2">
        <v>148.69999999999999</v>
      </c>
      <c r="E21" s="2">
        <v>143</v>
      </c>
      <c r="F21" s="2">
        <v>148</v>
      </c>
    </row>
    <row r="22" spans="1:6" x14ac:dyDescent="0.3">
      <c r="A22" t="s">
        <v>12</v>
      </c>
      <c r="B22" s="2">
        <v>108.6</v>
      </c>
      <c r="C22" s="2">
        <v>123.6</v>
      </c>
      <c r="D22" s="2">
        <v>135.9</v>
      </c>
      <c r="E22" s="2">
        <v>131.4</v>
      </c>
      <c r="F22" s="2">
        <v>136.19999999999999</v>
      </c>
    </row>
    <row r="23" spans="1:6" x14ac:dyDescent="0.3">
      <c r="A23" t="s">
        <v>29</v>
      </c>
      <c r="B23" s="2">
        <v>18.7</v>
      </c>
      <c r="C23" s="2">
        <v>14.5</v>
      </c>
      <c r="D23" s="2">
        <v>12.7</v>
      </c>
      <c r="E23" s="2">
        <v>11.7</v>
      </c>
      <c r="F23" s="2">
        <v>11.8</v>
      </c>
    </row>
    <row r="24" spans="1:6" x14ac:dyDescent="0.3">
      <c r="A24" t="s">
        <v>30</v>
      </c>
      <c r="B24" s="2">
        <v>107.3</v>
      </c>
      <c r="C24" s="2">
        <v>122.7</v>
      </c>
      <c r="D24" s="2">
        <v>171.6</v>
      </c>
      <c r="E24" s="2">
        <v>198.8</v>
      </c>
      <c r="F24" s="2">
        <v>199.7</v>
      </c>
    </row>
    <row r="25" spans="1:6" x14ac:dyDescent="0.3">
      <c r="A25" t="s">
        <v>31</v>
      </c>
      <c r="B25" s="2">
        <v>7.9</v>
      </c>
      <c r="C25" s="2">
        <v>8.1</v>
      </c>
      <c r="D25" s="2">
        <v>8.1</v>
      </c>
      <c r="E25" s="2">
        <v>8</v>
      </c>
      <c r="F25" s="2">
        <v>7.7</v>
      </c>
    </row>
    <row r="26" spans="1:6" x14ac:dyDescent="0.3">
      <c r="A26" t="s">
        <v>32</v>
      </c>
      <c r="B26" s="2">
        <v>6.4</v>
      </c>
      <c r="C26" s="2">
        <v>6.7</v>
      </c>
      <c r="D26" s="2">
        <v>6.3</v>
      </c>
      <c r="E26" s="2">
        <v>6.2</v>
      </c>
      <c r="F26" s="2">
        <v>5.9</v>
      </c>
    </row>
    <row r="27" spans="1:6" x14ac:dyDescent="0.3">
      <c r="A27" t="s">
        <v>33</v>
      </c>
      <c r="B27" s="2">
        <v>1.4</v>
      </c>
      <c r="C27" s="2">
        <v>1.4</v>
      </c>
      <c r="D27" s="2">
        <v>1.8</v>
      </c>
      <c r="E27" s="2">
        <v>1.8</v>
      </c>
      <c r="F27" s="2">
        <v>1.8</v>
      </c>
    </row>
    <row r="28" spans="1:6" x14ac:dyDescent="0.3">
      <c r="A28" t="s">
        <v>34</v>
      </c>
      <c r="B28" s="2">
        <v>0.6</v>
      </c>
      <c r="C28" s="2">
        <v>0.9</v>
      </c>
      <c r="D28" s="2">
        <v>0.9</v>
      </c>
      <c r="E28" s="2">
        <v>0.9</v>
      </c>
      <c r="F28" s="2">
        <v>0.9</v>
      </c>
    </row>
    <row r="29" spans="1:6" x14ac:dyDescent="0.3">
      <c r="A29" t="s">
        <v>35</v>
      </c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11</v>
      </c>
    </row>
    <row r="30" spans="1:6" x14ac:dyDescent="0.3">
      <c r="A30" t="s">
        <v>36</v>
      </c>
      <c r="B30" s="2">
        <v>0.6</v>
      </c>
      <c r="C30" s="2">
        <v>0.9</v>
      </c>
      <c r="D30" s="2">
        <v>0.9</v>
      </c>
      <c r="E30" s="2">
        <v>0.9</v>
      </c>
      <c r="F30" s="2">
        <v>0.9</v>
      </c>
    </row>
    <row r="31" spans="1:6" x14ac:dyDescent="0.3">
      <c r="A31" t="s">
        <v>18</v>
      </c>
      <c r="B31" s="2">
        <v>3.7</v>
      </c>
      <c r="C31" s="2">
        <v>3.7</v>
      </c>
      <c r="D31" s="2">
        <v>2.5</v>
      </c>
      <c r="E31" s="2">
        <v>2.2000000000000002</v>
      </c>
      <c r="F31" s="2">
        <v>5.2</v>
      </c>
    </row>
    <row r="32" spans="1:6" x14ac:dyDescent="0.3">
      <c r="A32" t="s">
        <v>37</v>
      </c>
      <c r="B32" s="2">
        <v>20.8</v>
      </c>
      <c r="C32" s="2">
        <v>22.1</v>
      </c>
      <c r="D32" s="2">
        <v>24.5</v>
      </c>
      <c r="E32" s="2">
        <v>24.9</v>
      </c>
      <c r="F32" s="2">
        <v>28.2</v>
      </c>
    </row>
    <row r="33" spans="1:6" x14ac:dyDescent="0.3">
      <c r="A33" t="s">
        <v>38</v>
      </c>
      <c r="B33" s="2">
        <v>16.899999999999999</v>
      </c>
      <c r="C33" s="2">
        <v>25.1</v>
      </c>
      <c r="D33" s="2">
        <v>51.6</v>
      </c>
      <c r="E33" s="2">
        <v>30.2</v>
      </c>
      <c r="F33" s="2">
        <v>29.7</v>
      </c>
    </row>
    <row r="34" spans="1:6" x14ac:dyDescent="0.3">
      <c r="A34" t="s">
        <v>39</v>
      </c>
      <c r="B34" s="2">
        <v>76.099999999999994</v>
      </c>
      <c r="C34" s="2">
        <v>98.1</v>
      </c>
      <c r="D34" s="2">
        <v>133.30000000000001</v>
      </c>
      <c r="E34" s="2">
        <v>154</v>
      </c>
      <c r="F34" s="2">
        <v>146.1</v>
      </c>
    </row>
    <row r="35" spans="1:6" x14ac:dyDescent="0.3">
      <c r="A35" t="s">
        <v>40</v>
      </c>
      <c r="B35" s="2">
        <v>62.4</v>
      </c>
      <c r="C35" s="2">
        <v>101.9</v>
      </c>
      <c r="D35" s="2">
        <v>146.6</v>
      </c>
      <c r="E35" s="2">
        <v>154.9</v>
      </c>
      <c r="F35" s="2">
        <v>194.8</v>
      </c>
    </row>
    <row r="36" spans="1:6" x14ac:dyDescent="0.3">
      <c r="A36" t="s">
        <v>41</v>
      </c>
      <c r="B36" s="2">
        <v>62.3</v>
      </c>
      <c r="C36" s="2">
        <v>101.8</v>
      </c>
      <c r="D36" s="2">
        <v>146.4</v>
      </c>
      <c r="E36" s="2">
        <v>154.69999999999999</v>
      </c>
      <c r="F36" s="2">
        <v>194.6</v>
      </c>
    </row>
    <row r="37" spans="1:6" x14ac:dyDescent="0.3">
      <c r="A37" t="s">
        <v>42</v>
      </c>
      <c r="B37" s="2">
        <v>41.1</v>
      </c>
      <c r="C37" s="2">
        <v>71</v>
      </c>
      <c r="D37" s="2">
        <v>92.6</v>
      </c>
      <c r="E37" s="2">
        <v>67.2</v>
      </c>
      <c r="F37" s="2">
        <v>98.8</v>
      </c>
    </row>
    <row r="38" spans="1:6" x14ac:dyDescent="0.3">
      <c r="A38" t="s">
        <v>43</v>
      </c>
      <c r="B38" s="2">
        <v>14.8</v>
      </c>
      <c r="C38" s="2">
        <v>25.5</v>
      </c>
      <c r="D38" s="2">
        <v>42.5</v>
      </c>
      <c r="E38" s="2">
        <v>44.6</v>
      </c>
      <c r="F38" s="2">
        <v>38.700000000000003</v>
      </c>
    </row>
    <row r="39" spans="1:6" x14ac:dyDescent="0.3">
      <c r="A39" t="s">
        <v>44</v>
      </c>
      <c r="B39" s="2">
        <v>6.4</v>
      </c>
      <c r="C39" s="2">
        <v>5.3</v>
      </c>
      <c r="D39" s="2">
        <v>11.3</v>
      </c>
      <c r="E39" s="2">
        <v>43</v>
      </c>
      <c r="F39" s="2">
        <v>57.1</v>
      </c>
    </row>
    <row r="40" spans="1:6" x14ac:dyDescent="0.3">
      <c r="A40" t="s">
        <v>45</v>
      </c>
      <c r="B40" s="2">
        <v>0.1</v>
      </c>
      <c r="C40" s="2">
        <v>0.1</v>
      </c>
      <c r="D40" s="2">
        <v>0.2</v>
      </c>
      <c r="E40" s="2">
        <v>0.2</v>
      </c>
      <c r="F40" s="2">
        <v>0.2</v>
      </c>
    </row>
    <row r="41" spans="1:6" x14ac:dyDescent="0.3">
      <c r="A41" t="s">
        <v>46</v>
      </c>
      <c r="B41" s="2">
        <v>0.1</v>
      </c>
      <c r="C41" s="2">
        <v>0.1</v>
      </c>
      <c r="D41" s="2">
        <v>0.2</v>
      </c>
      <c r="E41" s="2">
        <v>0.2</v>
      </c>
      <c r="F41" s="2">
        <v>0.2</v>
      </c>
    </row>
    <row r="42" spans="1:6" x14ac:dyDescent="0.3">
      <c r="A42" t="s">
        <v>47</v>
      </c>
      <c r="B42" s="2">
        <v>13.7</v>
      </c>
      <c r="C42" s="2">
        <v>-3.9</v>
      </c>
      <c r="D42" s="2">
        <v>-13.4</v>
      </c>
      <c r="E42" s="2">
        <v>-0.9</v>
      </c>
      <c r="F42" s="2">
        <v>-48.7</v>
      </c>
    </row>
    <row r="43" spans="1:6" x14ac:dyDescent="0.3">
      <c r="A43" t="s">
        <v>60</v>
      </c>
      <c r="B43" s="2">
        <v>13.7</v>
      </c>
      <c r="C43" s="2">
        <v>-3.9</v>
      </c>
      <c r="D43" s="2">
        <v>-13.4</v>
      </c>
      <c r="E43" s="2">
        <v>-0.9</v>
      </c>
      <c r="F43" s="2">
        <v>-48.7</v>
      </c>
    </row>
    <row r="44" spans="1:6" x14ac:dyDescent="0.3">
      <c r="A44" t="s">
        <v>48</v>
      </c>
      <c r="B44" s="2">
        <v>28</v>
      </c>
      <c r="C44" s="2">
        <v>3.3</v>
      </c>
      <c r="D44" s="2">
        <v>15.2</v>
      </c>
      <c r="E44" s="2">
        <v>16.600000000000001</v>
      </c>
      <c r="F44" s="2">
        <v>-2.5</v>
      </c>
    </row>
    <row r="45" spans="1:6" x14ac:dyDescent="0.3">
      <c r="A45" t="s">
        <v>49</v>
      </c>
      <c r="B45" s="2">
        <v>28</v>
      </c>
      <c r="C45" s="2">
        <v>3.3</v>
      </c>
      <c r="D45" s="2">
        <v>15.2</v>
      </c>
      <c r="E45" s="2">
        <v>16.600000000000001</v>
      </c>
      <c r="F45" s="2">
        <v>-2.5</v>
      </c>
    </row>
    <row r="46" spans="1:6" x14ac:dyDescent="0.3">
      <c r="A46" t="s">
        <v>50</v>
      </c>
      <c r="B46" s="2">
        <v>22.8</v>
      </c>
      <c r="C46" s="2">
        <v>1.1000000000000001</v>
      </c>
      <c r="D46" s="2">
        <v>0.6</v>
      </c>
      <c r="E46" s="2">
        <v>6</v>
      </c>
      <c r="F46" s="2">
        <v>-2.4</v>
      </c>
    </row>
    <row r="47" spans="1:6" x14ac:dyDescent="0.3">
      <c r="A47" t="s">
        <v>51</v>
      </c>
      <c r="B47" s="2">
        <v>4.3</v>
      </c>
      <c r="C47" s="2">
        <v>1.8</v>
      </c>
      <c r="D47" s="2">
        <v>14.2</v>
      </c>
      <c r="E47" s="2">
        <v>10.1</v>
      </c>
      <c r="F47" s="2">
        <v>-0.5</v>
      </c>
    </row>
    <row r="48" spans="1:6" x14ac:dyDescent="0.3">
      <c r="A48" t="s">
        <v>52</v>
      </c>
      <c r="B48" s="2">
        <v>0.9</v>
      </c>
      <c r="C48" s="2">
        <v>0.4</v>
      </c>
      <c r="D48" s="2">
        <v>0.4</v>
      </c>
      <c r="E48" s="2">
        <v>0.4</v>
      </c>
      <c r="F48" s="2">
        <v>0.4</v>
      </c>
    </row>
    <row r="49" spans="1:6" x14ac:dyDescent="0.3">
      <c r="A49" t="s">
        <v>53</v>
      </c>
      <c r="B49" s="2">
        <v>14.3</v>
      </c>
      <c r="C49" s="2">
        <v>7.1</v>
      </c>
      <c r="D49" s="2">
        <v>28.6</v>
      </c>
      <c r="E49" s="2">
        <v>17.399999999999999</v>
      </c>
      <c r="F49" s="2">
        <v>46.2</v>
      </c>
    </row>
    <row r="50" spans="1:6" x14ac:dyDescent="0.3">
      <c r="A50" t="s">
        <v>49</v>
      </c>
      <c r="B50" s="2">
        <v>12.7</v>
      </c>
      <c r="C50" s="2">
        <v>4.7</v>
      </c>
      <c r="D50" s="2">
        <v>1.9</v>
      </c>
      <c r="E50" s="2">
        <v>-0.7</v>
      </c>
      <c r="F50" s="2">
        <v>2</v>
      </c>
    </row>
    <row r="51" spans="1:6" x14ac:dyDescent="0.3">
      <c r="A51" t="s">
        <v>54</v>
      </c>
      <c r="B51" s="2">
        <v>1.6</v>
      </c>
      <c r="C51" s="2">
        <v>2.4</v>
      </c>
      <c r="D51" s="2">
        <v>26.6</v>
      </c>
      <c r="E51" s="2">
        <v>18.100000000000001</v>
      </c>
      <c r="F51" s="2">
        <v>44.2</v>
      </c>
    </row>
    <row r="52" spans="1:6" x14ac:dyDescent="0.3">
      <c r="B52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0BFD-AA0C-494A-AF43-CA824C5CC416}">
  <dimension ref="A1:F58"/>
  <sheetViews>
    <sheetView workbookViewId="0">
      <selection activeCell="F1" sqref="F1:F1048576"/>
    </sheetView>
  </sheetViews>
  <sheetFormatPr defaultRowHeight="14.4" x14ac:dyDescent="0.3"/>
  <cols>
    <col min="1" max="1" width="60.6640625" bestFit="1" customWidth="1"/>
    <col min="2" max="2" width="13.77734375" bestFit="1" customWidth="1"/>
    <col min="3" max="3" width="23" bestFit="1" customWidth="1"/>
    <col min="4" max="4" width="22.33203125" bestFit="1" customWidth="1"/>
    <col min="5" max="5" width="16.88671875" bestFit="1" customWidth="1"/>
    <col min="6" max="6" width="18.21875" customWidth="1"/>
  </cols>
  <sheetData>
    <row r="1" spans="1:6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3">
      <c r="A2" t="s">
        <v>68</v>
      </c>
    </row>
    <row r="3" spans="1:6" x14ac:dyDescent="0.3">
      <c r="B3" t="s">
        <v>120</v>
      </c>
      <c r="C3" t="s">
        <v>153</v>
      </c>
      <c r="D3" t="s">
        <v>122</v>
      </c>
      <c r="E3" t="s">
        <v>154</v>
      </c>
      <c r="F3" t="s">
        <v>154</v>
      </c>
    </row>
    <row r="4" spans="1:6" x14ac:dyDescent="0.3">
      <c r="A4" t="s">
        <v>14</v>
      </c>
      <c r="B4">
        <v>439.8</v>
      </c>
      <c r="C4">
        <v>447.6</v>
      </c>
      <c r="D4">
        <v>615.20000000000005</v>
      </c>
      <c r="E4">
        <v>624.1</v>
      </c>
      <c r="F4">
        <v>562.20000000000005</v>
      </c>
    </row>
    <row r="5" spans="1:6" x14ac:dyDescent="0.3">
      <c r="A5" t="s">
        <v>15</v>
      </c>
      <c r="B5">
        <v>213.3</v>
      </c>
      <c r="C5">
        <v>221.4</v>
      </c>
      <c r="D5">
        <v>247.8</v>
      </c>
      <c r="E5">
        <v>248.1</v>
      </c>
      <c r="F5">
        <v>256</v>
      </c>
    </row>
    <row r="6" spans="1:6" x14ac:dyDescent="0.3">
      <c r="A6" t="s">
        <v>16</v>
      </c>
      <c r="B6">
        <v>46.1</v>
      </c>
      <c r="C6">
        <v>40</v>
      </c>
      <c r="D6">
        <v>45.4</v>
      </c>
      <c r="E6">
        <v>43.4</v>
      </c>
      <c r="F6">
        <v>45.4</v>
      </c>
    </row>
    <row r="7" spans="1:6" x14ac:dyDescent="0.3">
      <c r="A7" t="s">
        <v>8</v>
      </c>
      <c r="B7">
        <v>0.3</v>
      </c>
      <c r="C7">
        <v>0.8</v>
      </c>
      <c r="D7">
        <v>1.1000000000000001</v>
      </c>
      <c r="E7">
        <v>0.9</v>
      </c>
      <c r="F7">
        <v>1.1000000000000001</v>
      </c>
    </row>
    <row r="8" spans="1:6" x14ac:dyDescent="0.3">
      <c r="A8" t="s">
        <v>17</v>
      </c>
      <c r="B8">
        <v>142.9</v>
      </c>
      <c r="C8">
        <v>155.19999999999999</v>
      </c>
      <c r="D8">
        <v>166.5</v>
      </c>
      <c r="E8">
        <v>168.4</v>
      </c>
      <c r="F8">
        <v>173.1</v>
      </c>
    </row>
    <row r="9" spans="1:6" x14ac:dyDescent="0.3">
      <c r="A9" t="s">
        <v>10</v>
      </c>
      <c r="B9">
        <v>24</v>
      </c>
      <c r="C9">
        <v>25.3</v>
      </c>
      <c r="D9">
        <v>34.799999999999997</v>
      </c>
      <c r="E9">
        <v>35.5</v>
      </c>
      <c r="F9">
        <v>36.5</v>
      </c>
    </row>
    <row r="10" spans="1:6" x14ac:dyDescent="0.3">
      <c r="A10" t="s">
        <v>9</v>
      </c>
      <c r="B10" t="s">
        <v>11</v>
      </c>
      <c r="C10" t="s">
        <v>11</v>
      </c>
      <c r="D10" t="s">
        <v>11</v>
      </c>
      <c r="E10" t="s">
        <v>11</v>
      </c>
      <c r="F10" t="s">
        <v>11</v>
      </c>
    </row>
    <row r="11" spans="1:6" x14ac:dyDescent="0.3">
      <c r="A11" t="s">
        <v>18</v>
      </c>
      <c r="B11">
        <v>196.4</v>
      </c>
      <c r="C11">
        <v>185.9</v>
      </c>
      <c r="D11">
        <v>323.3</v>
      </c>
      <c r="E11">
        <v>331.6</v>
      </c>
      <c r="F11">
        <v>255.4</v>
      </c>
    </row>
    <row r="12" spans="1:6" x14ac:dyDescent="0.3">
      <c r="A12" t="s">
        <v>19</v>
      </c>
      <c r="B12">
        <v>97.7</v>
      </c>
      <c r="C12">
        <v>100.4</v>
      </c>
      <c r="D12">
        <v>139.4</v>
      </c>
      <c r="E12">
        <v>142.6</v>
      </c>
      <c r="F12">
        <v>129.19999999999999</v>
      </c>
    </row>
    <row r="13" spans="1:6" x14ac:dyDescent="0.3">
      <c r="A13" t="s">
        <v>20</v>
      </c>
      <c r="B13">
        <v>98.7</v>
      </c>
      <c r="C13">
        <v>85.5</v>
      </c>
      <c r="D13">
        <v>183.9</v>
      </c>
      <c r="E13">
        <v>189.1</v>
      </c>
      <c r="F13">
        <v>126.2</v>
      </c>
    </row>
    <row r="14" spans="1:6" x14ac:dyDescent="0.3">
      <c r="A14" t="s">
        <v>21</v>
      </c>
      <c r="B14">
        <v>30.1</v>
      </c>
      <c r="C14">
        <v>40.200000000000003</v>
      </c>
      <c r="D14">
        <v>44.2</v>
      </c>
      <c r="E14">
        <v>44.4</v>
      </c>
      <c r="F14">
        <v>50.7</v>
      </c>
    </row>
    <row r="15" spans="1:6" x14ac:dyDescent="0.3">
      <c r="A15" t="s">
        <v>22</v>
      </c>
      <c r="B15">
        <v>11.2</v>
      </c>
      <c r="C15">
        <v>19.3</v>
      </c>
      <c r="D15">
        <v>21.8</v>
      </c>
      <c r="E15">
        <v>20.7</v>
      </c>
      <c r="F15">
        <v>22.2</v>
      </c>
    </row>
    <row r="16" spans="1:6" x14ac:dyDescent="0.3">
      <c r="A16" t="s">
        <v>23</v>
      </c>
      <c r="B16">
        <v>14.1</v>
      </c>
      <c r="C16">
        <v>15.6</v>
      </c>
      <c r="D16">
        <v>17.7</v>
      </c>
      <c r="E16">
        <v>17.5</v>
      </c>
      <c r="F16">
        <v>19.2</v>
      </c>
    </row>
    <row r="17" spans="1:6" x14ac:dyDescent="0.3">
      <c r="A17" t="s">
        <v>24</v>
      </c>
      <c r="B17">
        <v>0.7</v>
      </c>
      <c r="C17">
        <v>1</v>
      </c>
      <c r="D17">
        <v>1.2</v>
      </c>
      <c r="E17">
        <v>1.2</v>
      </c>
      <c r="F17">
        <v>1.3</v>
      </c>
    </row>
    <row r="18" spans="1:6" x14ac:dyDescent="0.3">
      <c r="A18" t="s">
        <v>25</v>
      </c>
      <c r="B18">
        <v>0.1</v>
      </c>
      <c r="C18">
        <v>0</v>
      </c>
      <c r="D18" t="s">
        <v>11</v>
      </c>
      <c r="E18" t="s">
        <v>11</v>
      </c>
      <c r="F18" t="s">
        <v>11</v>
      </c>
    </row>
    <row r="19" spans="1:6" x14ac:dyDescent="0.3">
      <c r="A19" t="s">
        <v>26</v>
      </c>
      <c r="B19">
        <v>4.0999999999999996</v>
      </c>
      <c r="C19">
        <v>4.3</v>
      </c>
      <c r="D19">
        <v>3.4</v>
      </c>
      <c r="E19">
        <v>4.9000000000000004</v>
      </c>
      <c r="F19">
        <v>8</v>
      </c>
    </row>
    <row r="20" spans="1:6" x14ac:dyDescent="0.3">
      <c r="A20" t="s">
        <v>27</v>
      </c>
      <c r="B20">
        <v>298.60000000000002</v>
      </c>
      <c r="C20">
        <v>335</v>
      </c>
      <c r="D20">
        <v>422</v>
      </c>
      <c r="E20">
        <v>417.9</v>
      </c>
      <c r="F20">
        <v>404.8</v>
      </c>
    </row>
    <row r="21" spans="1:6" x14ac:dyDescent="0.3">
      <c r="A21" t="s">
        <v>28</v>
      </c>
      <c r="B21">
        <v>129.6</v>
      </c>
      <c r="C21">
        <v>137.80000000000001</v>
      </c>
      <c r="D21">
        <v>154.69999999999999</v>
      </c>
      <c r="E21">
        <v>154.5</v>
      </c>
      <c r="F21">
        <v>154</v>
      </c>
    </row>
    <row r="22" spans="1:6" x14ac:dyDescent="0.3">
      <c r="A22" t="s">
        <v>12</v>
      </c>
      <c r="B22">
        <v>115</v>
      </c>
      <c r="C22">
        <v>126.5</v>
      </c>
      <c r="D22">
        <v>142.1</v>
      </c>
      <c r="E22">
        <v>141.6</v>
      </c>
      <c r="F22">
        <v>141</v>
      </c>
    </row>
    <row r="23" spans="1:6" x14ac:dyDescent="0.3">
      <c r="A23" t="s">
        <v>29</v>
      </c>
      <c r="B23">
        <v>14.6</v>
      </c>
      <c r="C23">
        <v>11.3</v>
      </c>
      <c r="D23">
        <v>12.6</v>
      </c>
      <c r="E23">
        <v>12.9</v>
      </c>
      <c r="F23">
        <v>12.9</v>
      </c>
    </row>
    <row r="24" spans="1:6" x14ac:dyDescent="0.3">
      <c r="A24" t="s">
        <v>30</v>
      </c>
      <c r="B24">
        <v>116.9</v>
      </c>
      <c r="C24">
        <v>146.5</v>
      </c>
      <c r="D24">
        <v>194.9</v>
      </c>
      <c r="E24">
        <v>194.3</v>
      </c>
      <c r="F24">
        <v>185.6</v>
      </c>
    </row>
    <row r="25" spans="1:6" x14ac:dyDescent="0.3">
      <c r="A25" t="s">
        <v>31</v>
      </c>
      <c r="B25">
        <v>8.3000000000000007</v>
      </c>
      <c r="C25">
        <v>7.8</v>
      </c>
      <c r="D25">
        <v>8.1</v>
      </c>
      <c r="E25">
        <v>8.1</v>
      </c>
      <c r="F25">
        <v>8.1</v>
      </c>
    </row>
    <row r="26" spans="1:6" x14ac:dyDescent="0.3">
      <c r="A26" t="s">
        <v>32</v>
      </c>
      <c r="B26">
        <v>6.5</v>
      </c>
      <c r="C26">
        <v>6.1</v>
      </c>
      <c r="D26">
        <v>6.3</v>
      </c>
      <c r="E26">
        <v>6.3</v>
      </c>
      <c r="F26">
        <v>6.3</v>
      </c>
    </row>
    <row r="27" spans="1:6" x14ac:dyDescent="0.3">
      <c r="A27" t="s">
        <v>33</v>
      </c>
      <c r="B27">
        <v>1.8</v>
      </c>
      <c r="C27">
        <v>1.7</v>
      </c>
      <c r="D27">
        <v>1.8</v>
      </c>
      <c r="E27">
        <v>1.8</v>
      </c>
      <c r="F27">
        <v>1.8</v>
      </c>
    </row>
    <row r="28" spans="1:6" x14ac:dyDescent="0.3">
      <c r="A28" t="s">
        <v>34</v>
      </c>
      <c r="B28">
        <v>0.8</v>
      </c>
      <c r="C28">
        <v>0.7</v>
      </c>
      <c r="D28">
        <v>0.9</v>
      </c>
      <c r="E28">
        <v>0.9</v>
      </c>
      <c r="F28">
        <v>0.9</v>
      </c>
    </row>
    <row r="29" spans="1:6" x14ac:dyDescent="0.3">
      <c r="A29" t="s">
        <v>35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</row>
    <row r="30" spans="1:6" x14ac:dyDescent="0.3">
      <c r="A30" t="s">
        <v>36</v>
      </c>
      <c r="B30">
        <v>0.8</v>
      </c>
      <c r="C30">
        <v>0.7</v>
      </c>
      <c r="D30">
        <v>0.9</v>
      </c>
      <c r="E30">
        <v>0.9</v>
      </c>
      <c r="F30">
        <v>0.9</v>
      </c>
    </row>
    <row r="31" spans="1:6" x14ac:dyDescent="0.3">
      <c r="A31" t="s">
        <v>18</v>
      </c>
      <c r="B31">
        <v>3.2</v>
      </c>
      <c r="C31">
        <v>2.9</v>
      </c>
      <c r="D31">
        <v>2.5</v>
      </c>
      <c r="E31">
        <v>3.7</v>
      </c>
      <c r="F31">
        <v>3.7</v>
      </c>
    </row>
    <row r="32" spans="1:6" x14ac:dyDescent="0.3">
      <c r="A32" t="s">
        <v>37</v>
      </c>
      <c r="B32">
        <v>21.8</v>
      </c>
      <c r="C32">
        <v>20.9</v>
      </c>
      <c r="D32">
        <v>26.9</v>
      </c>
      <c r="E32">
        <v>26</v>
      </c>
      <c r="F32">
        <v>24.3</v>
      </c>
    </row>
    <row r="33" spans="1:6" x14ac:dyDescent="0.3">
      <c r="A33" t="s">
        <v>38</v>
      </c>
      <c r="B33">
        <v>18</v>
      </c>
      <c r="C33">
        <v>18.5</v>
      </c>
      <c r="D33">
        <v>34.1</v>
      </c>
      <c r="E33">
        <v>30.4</v>
      </c>
      <c r="F33">
        <v>28.3</v>
      </c>
    </row>
    <row r="34" spans="1:6" x14ac:dyDescent="0.3">
      <c r="A34" t="s">
        <v>39</v>
      </c>
      <c r="B34">
        <v>141.19999999999999</v>
      </c>
      <c r="C34">
        <v>112.6</v>
      </c>
      <c r="D34">
        <v>193.3</v>
      </c>
      <c r="E34">
        <v>206.3</v>
      </c>
      <c r="F34">
        <v>157.4</v>
      </c>
    </row>
    <row r="35" spans="1:6" x14ac:dyDescent="0.3">
      <c r="A35" t="s">
        <v>40</v>
      </c>
      <c r="B35">
        <v>104.9</v>
      </c>
      <c r="C35">
        <v>96.6</v>
      </c>
      <c r="D35">
        <v>191.9</v>
      </c>
      <c r="E35">
        <v>196.7</v>
      </c>
      <c r="F35">
        <v>133.6</v>
      </c>
    </row>
    <row r="36" spans="1:6" x14ac:dyDescent="0.3">
      <c r="A36" t="s">
        <v>41</v>
      </c>
      <c r="B36">
        <v>104.7</v>
      </c>
      <c r="C36">
        <v>96.5</v>
      </c>
      <c r="D36">
        <v>194</v>
      </c>
      <c r="E36">
        <v>198.9</v>
      </c>
      <c r="F36">
        <v>136</v>
      </c>
    </row>
    <row r="37" spans="1:6" x14ac:dyDescent="0.3">
      <c r="A37" t="s">
        <v>42</v>
      </c>
      <c r="B37">
        <v>69.5</v>
      </c>
      <c r="C37">
        <v>61.5</v>
      </c>
      <c r="D37">
        <v>88</v>
      </c>
      <c r="E37">
        <v>66.5</v>
      </c>
      <c r="F37">
        <v>41.8</v>
      </c>
    </row>
    <row r="38" spans="1:6" x14ac:dyDescent="0.3">
      <c r="A38" t="s">
        <v>43</v>
      </c>
      <c r="B38">
        <v>28.8</v>
      </c>
      <c r="C38">
        <v>25.7</v>
      </c>
      <c r="D38">
        <v>90.3</v>
      </c>
      <c r="E38">
        <v>79.400000000000006</v>
      </c>
      <c r="F38">
        <v>38.5</v>
      </c>
    </row>
    <row r="39" spans="1:6" x14ac:dyDescent="0.3">
      <c r="A39" t="s">
        <v>44</v>
      </c>
      <c r="B39">
        <v>6.4</v>
      </c>
      <c r="C39">
        <v>9.3000000000000007</v>
      </c>
      <c r="D39">
        <v>15.7</v>
      </c>
      <c r="E39">
        <v>53</v>
      </c>
      <c r="F39">
        <v>55.8</v>
      </c>
    </row>
    <row r="40" spans="1:6" x14ac:dyDescent="0.3">
      <c r="A40" t="s">
        <v>45</v>
      </c>
      <c r="B40">
        <v>0.2</v>
      </c>
      <c r="C40">
        <v>0.1</v>
      </c>
      <c r="D40">
        <v>-2.1</v>
      </c>
      <c r="E40">
        <v>-2.1</v>
      </c>
      <c r="F40">
        <v>-2.4</v>
      </c>
    </row>
    <row r="41" spans="1:6" x14ac:dyDescent="0.3">
      <c r="A41" t="s">
        <v>46</v>
      </c>
      <c r="B41">
        <v>0.2</v>
      </c>
      <c r="C41">
        <v>0.1</v>
      </c>
      <c r="D41">
        <v>0.4</v>
      </c>
      <c r="E41">
        <v>0.4</v>
      </c>
      <c r="F41">
        <v>0.4</v>
      </c>
    </row>
    <row r="42" spans="1:6" x14ac:dyDescent="0.3">
      <c r="A42" t="s">
        <v>47</v>
      </c>
      <c r="B42">
        <v>36.299999999999997</v>
      </c>
      <c r="C42">
        <v>16</v>
      </c>
      <c r="D42">
        <v>1.3</v>
      </c>
      <c r="E42">
        <v>9.5</v>
      </c>
      <c r="F42">
        <v>23.7</v>
      </c>
    </row>
    <row r="43" spans="1:6" x14ac:dyDescent="0.3">
      <c r="A43" t="s">
        <v>60</v>
      </c>
      <c r="B43">
        <v>36.299999999999997</v>
      </c>
      <c r="C43">
        <v>16</v>
      </c>
      <c r="D43">
        <v>1.3</v>
      </c>
      <c r="E43">
        <v>9.5</v>
      </c>
      <c r="F43">
        <v>23.7</v>
      </c>
    </row>
    <row r="44" spans="1:6" x14ac:dyDescent="0.3">
      <c r="A44" t="s">
        <v>48</v>
      </c>
      <c r="B44">
        <v>48.9</v>
      </c>
      <c r="C44">
        <v>24.5</v>
      </c>
      <c r="D44">
        <v>-2.6</v>
      </c>
      <c r="E44">
        <v>-5.2</v>
      </c>
      <c r="F44">
        <v>0.5</v>
      </c>
    </row>
    <row r="45" spans="1:6" x14ac:dyDescent="0.3">
      <c r="A45" t="s">
        <v>49</v>
      </c>
      <c r="B45">
        <v>48.9</v>
      </c>
      <c r="C45">
        <v>24.5</v>
      </c>
      <c r="D45">
        <v>-2.6</v>
      </c>
      <c r="E45">
        <v>-5.2</v>
      </c>
      <c r="F45">
        <v>0.5</v>
      </c>
    </row>
    <row r="46" spans="1:6" x14ac:dyDescent="0.3">
      <c r="A46" t="s">
        <v>50</v>
      </c>
      <c r="B46">
        <v>40.1</v>
      </c>
      <c r="C46">
        <v>7.6</v>
      </c>
      <c r="D46">
        <v>-10.8</v>
      </c>
      <c r="E46">
        <v>-6.9</v>
      </c>
      <c r="F46">
        <v>0.8</v>
      </c>
    </row>
    <row r="47" spans="1:6" x14ac:dyDescent="0.3">
      <c r="A47" t="s">
        <v>51</v>
      </c>
      <c r="B47">
        <v>8.6</v>
      </c>
      <c r="C47">
        <v>16.5</v>
      </c>
      <c r="D47">
        <v>7.9</v>
      </c>
      <c r="E47">
        <v>1.3</v>
      </c>
      <c r="F47">
        <v>-0.7</v>
      </c>
    </row>
    <row r="48" spans="1:6" x14ac:dyDescent="0.3">
      <c r="A48" t="s">
        <v>52</v>
      </c>
      <c r="B48">
        <v>0.2</v>
      </c>
      <c r="C48">
        <v>0.4</v>
      </c>
      <c r="D48">
        <v>0.4</v>
      </c>
      <c r="E48">
        <v>0.4</v>
      </c>
      <c r="F48">
        <v>0.4</v>
      </c>
    </row>
    <row r="49" spans="1:6" x14ac:dyDescent="0.3">
      <c r="A49" t="s">
        <v>53</v>
      </c>
      <c r="B49">
        <v>12.6</v>
      </c>
      <c r="C49">
        <v>8.5</v>
      </c>
      <c r="D49">
        <v>-3.9</v>
      </c>
      <c r="E49">
        <v>-14.8</v>
      </c>
      <c r="F49">
        <v>-23.3</v>
      </c>
    </row>
    <row r="50" spans="1:6" x14ac:dyDescent="0.3">
      <c r="A50" t="s">
        <v>49</v>
      </c>
      <c r="B50">
        <v>2.7</v>
      </c>
      <c r="C50">
        <v>1</v>
      </c>
      <c r="D50">
        <v>0.9</v>
      </c>
      <c r="E50">
        <v>-3.2</v>
      </c>
      <c r="F50">
        <v>-8</v>
      </c>
    </row>
    <row r="51" spans="1:6" x14ac:dyDescent="0.3">
      <c r="A51" t="s">
        <v>54</v>
      </c>
      <c r="B51">
        <v>9.9</v>
      </c>
      <c r="C51">
        <v>7.5</v>
      </c>
      <c r="D51">
        <v>-4.8</v>
      </c>
      <c r="E51">
        <v>-11.6</v>
      </c>
      <c r="F51">
        <v>-15.2</v>
      </c>
    </row>
    <row r="52" spans="1:6" x14ac:dyDescent="0.3">
      <c r="B52">
        <v>2018</v>
      </c>
      <c r="C52" t="s">
        <v>69</v>
      </c>
      <c r="D52" t="s">
        <v>70</v>
      </c>
      <c r="E52" s="3">
        <v>16</v>
      </c>
      <c r="F52" t="s">
        <v>71</v>
      </c>
    </row>
    <row r="53" spans="1:6" x14ac:dyDescent="0.3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</row>
    <row r="54" spans="1:6" x14ac:dyDescent="0.3">
      <c r="F54" t="s">
        <v>78</v>
      </c>
    </row>
    <row r="55" spans="1:6" x14ac:dyDescent="0.3">
      <c r="A55" t="s">
        <v>79</v>
      </c>
    </row>
    <row r="56" spans="1:6" x14ac:dyDescent="0.3">
      <c r="F56" t="s">
        <v>80</v>
      </c>
    </row>
    <row r="57" spans="1:6" x14ac:dyDescent="0.3">
      <c r="F57" t="s">
        <v>81</v>
      </c>
    </row>
    <row r="58" spans="1:6" x14ac:dyDescent="0.3">
      <c r="F58">
        <v>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39BB-5C77-44BB-9B12-9BA58C8FBD56}">
  <dimension ref="A1:F46"/>
  <sheetViews>
    <sheetView workbookViewId="0">
      <selection activeCell="C5" sqref="C5"/>
    </sheetView>
  </sheetViews>
  <sheetFormatPr defaultRowHeight="14.4" x14ac:dyDescent="0.3"/>
  <cols>
    <col min="1" max="1" width="36.44140625" bestFit="1" customWidth="1"/>
    <col min="2" max="2" width="16.109375" bestFit="1" customWidth="1"/>
    <col min="3" max="3" width="25.77734375" bestFit="1" customWidth="1"/>
    <col min="4" max="4" width="25" bestFit="1" customWidth="1"/>
    <col min="5" max="6" width="19.44140625" bestFit="1" customWidth="1"/>
  </cols>
  <sheetData>
    <row r="1" spans="1:6" x14ac:dyDescent="0.3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3">
      <c r="A2" t="s">
        <v>14</v>
      </c>
      <c r="B2">
        <v>457.2</v>
      </c>
      <c r="C2">
        <v>514.79999999999995</v>
      </c>
      <c r="D2">
        <v>578.20000000000005</v>
      </c>
      <c r="E2">
        <v>554.20000000000005</v>
      </c>
      <c r="F2">
        <v>529.79999999999995</v>
      </c>
    </row>
    <row r="3" spans="1:6" x14ac:dyDescent="0.3">
      <c r="A3" t="s">
        <v>15</v>
      </c>
      <c r="B3">
        <v>235.4</v>
      </c>
      <c r="C3">
        <v>245.1</v>
      </c>
      <c r="D3">
        <v>257.10000000000002</v>
      </c>
      <c r="E3">
        <v>262.89999999999998</v>
      </c>
      <c r="F3">
        <v>269.89999999999998</v>
      </c>
    </row>
    <row r="4" spans="1:6" x14ac:dyDescent="0.3">
      <c r="A4" t="s">
        <v>16</v>
      </c>
      <c r="B4">
        <v>48.8</v>
      </c>
      <c r="C4">
        <v>51.6</v>
      </c>
      <c r="D4">
        <v>57.5</v>
      </c>
      <c r="E4">
        <v>57.5</v>
      </c>
      <c r="F4">
        <v>57.5</v>
      </c>
    </row>
    <row r="5" spans="1:6" x14ac:dyDescent="0.3">
      <c r="A5" t="s">
        <v>8</v>
      </c>
      <c r="B5">
        <v>0.3</v>
      </c>
      <c r="C5">
        <v>0.3</v>
      </c>
      <c r="D5">
        <v>0.4</v>
      </c>
      <c r="E5">
        <v>0.4</v>
      </c>
      <c r="F5">
        <v>0.4</v>
      </c>
    </row>
    <row r="6" spans="1:6" x14ac:dyDescent="0.3">
      <c r="A6" t="s">
        <v>17</v>
      </c>
      <c r="B6">
        <v>157.6</v>
      </c>
      <c r="C6">
        <v>161.4</v>
      </c>
      <c r="D6">
        <v>170.7</v>
      </c>
      <c r="E6">
        <v>175.6</v>
      </c>
      <c r="F6">
        <v>181.6</v>
      </c>
    </row>
    <row r="7" spans="1:6" x14ac:dyDescent="0.3">
      <c r="A7" t="s">
        <v>87</v>
      </c>
      <c r="B7">
        <v>28.7</v>
      </c>
      <c r="C7">
        <v>31.8</v>
      </c>
      <c r="D7">
        <v>28.5</v>
      </c>
      <c r="E7">
        <v>29.4</v>
      </c>
      <c r="F7">
        <v>30.5</v>
      </c>
    </row>
    <row r="8" spans="1:6" x14ac:dyDescent="0.3">
      <c r="A8" t="s">
        <v>9</v>
      </c>
    </row>
    <row r="9" spans="1:6" x14ac:dyDescent="0.3">
      <c r="A9" t="s">
        <v>18</v>
      </c>
      <c r="B9">
        <v>190.8</v>
      </c>
      <c r="C9">
        <v>236.8</v>
      </c>
      <c r="D9">
        <v>272.60000000000002</v>
      </c>
      <c r="E9">
        <v>242.8</v>
      </c>
      <c r="F9">
        <v>212.7</v>
      </c>
    </row>
    <row r="10" spans="1:6" x14ac:dyDescent="0.3">
      <c r="A10" t="s">
        <v>19</v>
      </c>
      <c r="B10">
        <v>14.4</v>
      </c>
      <c r="C10">
        <v>41.3</v>
      </c>
      <c r="D10">
        <v>38.5</v>
      </c>
      <c r="E10">
        <v>39.299999999999997</v>
      </c>
      <c r="F10">
        <v>39.299999999999997</v>
      </c>
    </row>
    <row r="11" spans="1:6" x14ac:dyDescent="0.3">
      <c r="A11" t="s">
        <v>20</v>
      </c>
      <c r="B11">
        <v>176.4</v>
      </c>
      <c r="C11">
        <v>195.5</v>
      </c>
      <c r="D11">
        <v>234.1</v>
      </c>
      <c r="E11">
        <v>203.5</v>
      </c>
      <c r="F11">
        <v>173.4</v>
      </c>
    </row>
    <row r="12" spans="1:6" x14ac:dyDescent="0.3">
      <c r="A12" t="s">
        <v>21</v>
      </c>
      <c r="B12">
        <v>31</v>
      </c>
      <c r="C12">
        <v>32.799999999999997</v>
      </c>
      <c r="D12">
        <v>48.5</v>
      </c>
      <c r="E12">
        <v>48.5</v>
      </c>
      <c r="F12">
        <v>47.2</v>
      </c>
    </row>
    <row r="13" spans="1:6" x14ac:dyDescent="0.3">
      <c r="A13" t="s">
        <v>22</v>
      </c>
      <c r="B13">
        <v>10.8</v>
      </c>
      <c r="C13">
        <v>14.8</v>
      </c>
      <c r="D13">
        <v>20.5</v>
      </c>
      <c r="E13">
        <v>24.5</v>
      </c>
      <c r="F13">
        <v>23</v>
      </c>
    </row>
    <row r="14" spans="1:6" x14ac:dyDescent="0.3">
      <c r="A14" t="s">
        <v>23</v>
      </c>
      <c r="B14">
        <v>13.8</v>
      </c>
      <c r="C14">
        <v>14.6</v>
      </c>
      <c r="D14">
        <v>17.3</v>
      </c>
      <c r="E14">
        <v>17.3</v>
      </c>
      <c r="F14">
        <v>17.3</v>
      </c>
    </row>
    <row r="15" spans="1:6" x14ac:dyDescent="0.3">
      <c r="A15" t="s">
        <v>24</v>
      </c>
      <c r="B15">
        <v>0.8</v>
      </c>
      <c r="C15">
        <v>0.8</v>
      </c>
      <c r="D15">
        <v>1.2</v>
      </c>
      <c r="E15">
        <v>1.2</v>
      </c>
      <c r="F15">
        <v>1.2</v>
      </c>
    </row>
    <row r="16" spans="1:6" x14ac:dyDescent="0.3">
      <c r="A16" t="s">
        <v>25</v>
      </c>
      <c r="B16">
        <v>0</v>
      </c>
      <c r="C16">
        <v>0</v>
      </c>
      <c r="D16">
        <v>1.8</v>
      </c>
      <c r="E16">
        <v>1</v>
      </c>
      <c r="F16">
        <v>1</v>
      </c>
    </row>
    <row r="17" spans="1:6" x14ac:dyDescent="0.3">
      <c r="A17" t="s">
        <v>26</v>
      </c>
      <c r="B17">
        <v>5.6</v>
      </c>
      <c r="C17">
        <v>2.6</v>
      </c>
      <c r="D17">
        <v>7.7</v>
      </c>
      <c r="E17">
        <v>4.4000000000000004</v>
      </c>
      <c r="F17">
        <v>4.7</v>
      </c>
    </row>
    <row r="18" spans="1:6" x14ac:dyDescent="0.3">
      <c r="A18" t="s">
        <v>27</v>
      </c>
      <c r="B18">
        <v>336.5</v>
      </c>
      <c r="C18">
        <v>413</v>
      </c>
      <c r="D18">
        <v>456.3</v>
      </c>
      <c r="E18">
        <v>433.8</v>
      </c>
      <c r="F18">
        <v>433.8</v>
      </c>
    </row>
    <row r="19" spans="1:6" x14ac:dyDescent="0.3">
      <c r="A19" t="s">
        <v>28</v>
      </c>
      <c r="B19">
        <v>127.5</v>
      </c>
      <c r="C19">
        <v>143.5</v>
      </c>
      <c r="D19">
        <v>162.19999999999999</v>
      </c>
      <c r="E19">
        <v>162.4</v>
      </c>
      <c r="F19">
        <v>162.4</v>
      </c>
    </row>
    <row r="20" spans="1:6" x14ac:dyDescent="0.3">
      <c r="A20" t="s">
        <v>12</v>
      </c>
      <c r="B20">
        <v>116.9</v>
      </c>
      <c r="C20">
        <v>132.30000000000001</v>
      </c>
      <c r="D20">
        <v>149.30000000000001</v>
      </c>
      <c r="E20">
        <v>149.5</v>
      </c>
      <c r="F20">
        <v>149.5</v>
      </c>
    </row>
    <row r="21" spans="1:6" x14ac:dyDescent="0.3">
      <c r="A21" t="s">
        <v>29</v>
      </c>
      <c r="B21">
        <v>10.7</v>
      </c>
      <c r="C21">
        <v>11.2</v>
      </c>
      <c r="D21">
        <v>12.9</v>
      </c>
      <c r="E21">
        <v>12.9</v>
      </c>
      <c r="F21">
        <v>12.9</v>
      </c>
    </row>
    <row r="22" spans="1:6" x14ac:dyDescent="0.3">
      <c r="A22" t="s">
        <v>30</v>
      </c>
      <c r="B22">
        <v>152.30000000000001</v>
      </c>
      <c r="C22">
        <v>211.6</v>
      </c>
      <c r="D22">
        <v>228.1</v>
      </c>
      <c r="E22">
        <v>206</v>
      </c>
      <c r="F22">
        <v>201.7</v>
      </c>
    </row>
    <row r="23" spans="1:6" x14ac:dyDescent="0.3">
      <c r="A23" t="s">
        <v>31</v>
      </c>
      <c r="B23">
        <v>8.3000000000000007</v>
      </c>
      <c r="C23">
        <v>6.8</v>
      </c>
      <c r="D23">
        <v>7.9</v>
      </c>
      <c r="E23">
        <v>7.5</v>
      </c>
      <c r="F23">
        <v>7.7</v>
      </c>
    </row>
    <row r="24" spans="1:6" x14ac:dyDescent="0.3">
      <c r="A24" t="s">
        <v>32</v>
      </c>
      <c r="B24">
        <v>6.5</v>
      </c>
      <c r="C24">
        <v>5.9</v>
      </c>
      <c r="D24">
        <v>6.1</v>
      </c>
      <c r="E24">
        <v>5.6</v>
      </c>
      <c r="F24">
        <v>5.9</v>
      </c>
    </row>
    <row r="25" spans="1:6" x14ac:dyDescent="0.3">
      <c r="A25" t="s">
        <v>33</v>
      </c>
      <c r="B25">
        <v>1.8</v>
      </c>
      <c r="C25">
        <v>0.9</v>
      </c>
      <c r="D25">
        <v>1.8</v>
      </c>
      <c r="E25">
        <v>1.8</v>
      </c>
      <c r="F25">
        <v>1.8</v>
      </c>
    </row>
    <row r="26" spans="1:6" x14ac:dyDescent="0.3">
      <c r="A26" t="s">
        <v>34</v>
      </c>
      <c r="B26">
        <v>0.8</v>
      </c>
      <c r="C26">
        <v>0.8</v>
      </c>
      <c r="D26">
        <v>0.9</v>
      </c>
      <c r="E26">
        <v>0.9</v>
      </c>
      <c r="F26">
        <v>0.9</v>
      </c>
    </row>
    <row r="27" spans="1:6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36</v>
      </c>
      <c r="B28">
        <v>0.8</v>
      </c>
      <c r="C28">
        <v>0.8</v>
      </c>
      <c r="D28">
        <v>0.9</v>
      </c>
      <c r="E28">
        <v>0.9</v>
      </c>
      <c r="F28">
        <v>0.9</v>
      </c>
    </row>
    <row r="29" spans="1:6" x14ac:dyDescent="0.3">
      <c r="A29" t="s">
        <v>18</v>
      </c>
      <c r="B29">
        <v>5.0999999999999996</v>
      </c>
      <c r="C29">
        <v>2.5</v>
      </c>
      <c r="D29">
        <v>4.3</v>
      </c>
      <c r="E29">
        <v>4.2</v>
      </c>
      <c r="F29">
        <v>5.2</v>
      </c>
    </row>
    <row r="30" spans="1:6" x14ac:dyDescent="0.3">
      <c r="A30" t="s">
        <v>37</v>
      </c>
      <c r="B30">
        <v>23</v>
      </c>
      <c r="C30">
        <v>25.7</v>
      </c>
      <c r="D30">
        <v>26.8</v>
      </c>
      <c r="E30">
        <v>26.8</v>
      </c>
      <c r="F30">
        <v>27.9</v>
      </c>
    </row>
    <row r="31" spans="1:6" x14ac:dyDescent="0.3">
      <c r="A31" t="s">
        <v>38</v>
      </c>
      <c r="B31">
        <v>19.399999999999999</v>
      </c>
      <c r="C31">
        <v>22</v>
      </c>
      <c r="D31">
        <v>26.1</v>
      </c>
      <c r="E31">
        <v>26.1</v>
      </c>
      <c r="F31">
        <v>28.1</v>
      </c>
    </row>
    <row r="32" spans="1:6" x14ac:dyDescent="0.3">
      <c r="A32" t="s">
        <v>39</v>
      </c>
      <c r="B32">
        <v>120.7</v>
      </c>
      <c r="C32">
        <v>101.8</v>
      </c>
      <c r="D32">
        <v>121.9</v>
      </c>
      <c r="E32">
        <v>120.4</v>
      </c>
      <c r="F32">
        <v>96.1</v>
      </c>
    </row>
    <row r="33" spans="1:6" x14ac:dyDescent="0.3">
      <c r="A33" t="s">
        <v>40</v>
      </c>
      <c r="B33">
        <v>89.4</v>
      </c>
      <c r="C33">
        <v>86.3</v>
      </c>
      <c r="D33">
        <v>111.7</v>
      </c>
      <c r="E33">
        <v>101.3</v>
      </c>
      <c r="F33">
        <v>81.099999999999994</v>
      </c>
    </row>
    <row r="34" spans="1:6" x14ac:dyDescent="0.3">
      <c r="A34" t="s">
        <v>41</v>
      </c>
      <c r="B34">
        <v>89.2</v>
      </c>
      <c r="C34">
        <v>85.9</v>
      </c>
      <c r="D34">
        <v>110.9</v>
      </c>
      <c r="E34">
        <v>100.8</v>
      </c>
      <c r="F34">
        <v>80.599999999999994</v>
      </c>
    </row>
    <row r="35" spans="1:6" x14ac:dyDescent="0.3">
      <c r="A35" t="s">
        <v>42</v>
      </c>
      <c r="B35">
        <v>55.6</v>
      </c>
      <c r="C35">
        <v>58.1</v>
      </c>
      <c r="D35">
        <v>65.599999999999994</v>
      </c>
      <c r="E35">
        <v>58.4</v>
      </c>
      <c r="F35">
        <v>34.9</v>
      </c>
    </row>
    <row r="36" spans="1:6" x14ac:dyDescent="0.3">
      <c r="A36" t="s">
        <v>43</v>
      </c>
      <c r="B36">
        <v>19.399999999999999</v>
      </c>
      <c r="C36">
        <v>20.9</v>
      </c>
      <c r="D36">
        <v>27.9</v>
      </c>
      <c r="E36">
        <v>30.8</v>
      </c>
      <c r="F36">
        <v>32.9</v>
      </c>
    </row>
    <row r="37" spans="1:6" x14ac:dyDescent="0.3">
      <c r="A37" t="s">
        <v>44</v>
      </c>
      <c r="B37">
        <v>14.2</v>
      </c>
      <c r="C37">
        <v>6.9</v>
      </c>
      <c r="D37">
        <v>17.5</v>
      </c>
      <c r="E37">
        <v>11.7</v>
      </c>
      <c r="F37">
        <v>12.9</v>
      </c>
    </row>
    <row r="38" spans="1:6" x14ac:dyDescent="0.3">
      <c r="A38" t="s">
        <v>45</v>
      </c>
      <c r="B38">
        <v>0.1</v>
      </c>
      <c r="C38">
        <v>0.4</v>
      </c>
      <c r="D38">
        <v>0.8</v>
      </c>
      <c r="E38">
        <v>0.5</v>
      </c>
      <c r="F38">
        <v>0.5</v>
      </c>
    </row>
    <row r="39" spans="1:6" x14ac:dyDescent="0.3">
      <c r="A39" t="s">
        <v>46</v>
      </c>
      <c r="B39">
        <v>0.1</v>
      </c>
      <c r="C39">
        <v>0.4</v>
      </c>
      <c r="D39">
        <v>0.8</v>
      </c>
      <c r="E39">
        <v>0.5</v>
      </c>
      <c r="F39">
        <v>0.5</v>
      </c>
    </row>
    <row r="40" spans="1:6" x14ac:dyDescent="0.3">
      <c r="A40" t="s">
        <v>47</v>
      </c>
      <c r="B40">
        <v>31.4</v>
      </c>
      <c r="C40">
        <v>15.4</v>
      </c>
      <c r="D40">
        <v>10.199999999999999</v>
      </c>
      <c r="E40">
        <v>19.100000000000001</v>
      </c>
      <c r="F40">
        <v>14.9</v>
      </c>
    </row>
    <row r="41" spans="1:6" x14ac:dyDescent="0.3">
      <c r="A41" t="s">
        <v>88</v>
      </c>
      <c r="B41">
        <v>11.8</v>
      </c>
      <c r="C41">
        <v>15.4</v>
      </c>
      <c r="D41">
        <v>10.199999999999999</v>
      </c>
      <c r="E41">
        <v>19.100000000000001</v>
      </c>
      <c r="F41">
        <v>14.9</v>
      </c>
    </row>
    <row r="42" spans="1:6" x14ac:dyDescent="0.3">
      <c r="A42" t="s">
        <v>48</v>
      </c>
      <c r="B42">
        <v>17.2</v>
      </c>
      <c r="C42">
        <v>28.5</v>
      </c>
      <c r="D42">
        <v>20.8</v>
      </c>
      <c r="E42">
        <v>38.6</v>
      </c>
      <c r="F42">
        <v>30.2</v>
      </c>
    </row>
    <row r="43" spans="1:6" x14ac:dyDescent="0.3">
      <c r="A43" t="s">
        <v>49</v>
      </c>
      <c r="B43">
        <v>17.2</v>
      </c>
      <c r="C43">
        <v>28.5</v>
      </c>
      <c r="D43">
        <v>20.8</v>
      </c>
      <c r="E43">
        <v>38.6</v>
      </c>
      <c r="F43">
        <v>30.2</v>
      </c>
    </row>
    <row r="44" spans="1:6" x14ac:dyDescent="0.3">
      <c r="A44" t="s">
        <v>53</v>
      </c>
      <c r="B44">
        <v>-5.4</v>
      </c>
      <c r="C44">
        <v>-13</v>
      </c>
      <c r="D44">
        <v>-10.6</v>
      </c>
      <c r="E44">
        <v>-19.399999999999999</v>
      </c>
      <c r="F44">
        <v>-15.3</v>
      </c>
    </row>
    <row r="45" spans="1:6" x14ac:dyDescent="0.3">
      <c r="A45" t="s">
        <v>49</v>
      </c>
      <c r="B45">
        <v>1.1000000000000001</v>
      </c>
      <c r="C45">
        <v>1.9</v>
      </c>
      <c r="D45">
        <v>0.9</v>
      </c>
      <c r="E45">
        <v>-3.2</v>
      </c>
      <c r="F45">
        <v>0.9</v>
      </c>
    </row>
    <row r="46" spans="1:6" x14ac:dyDescent="0.3">
      <c r="A46" t="s">
        <v>54</v>
      </c>
      <c r="B46">
        <v>-6.5</v>
      </c>
      <c r="C46">
        <v>-14.9</v>
      </c>
      <c r="D46">
        <v>-11.5</v>
      </c>
      <c r="E46">
        <v>-16.2</v>
      </c>
      <c r="F46">
        <v>-16.2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D887-EEC2-41A2-BDE5-C8880FE1E149}">
  <dimension ref="A1:F55"/>
  <sheetViews>
    <sheetView topLeftCell="A10" workbookViewId="0">
      <selection activeCell="C14" sqref="C14"/>
    </sheetView>
  </sheetViews>
  <sheetFormatPr defaultRowHeight="14.4" x14ac:dyDescent="0.3"/>
  <cols>
    <col min="1" max="1" width="39.21875" bestFit="1" customWidth="1"/>
    <col min="2" max="2" width="16.109375" bestFit="1" customWidth="1"/>
    <col min="3" max="3" width="25.5546875" bestFit="1" customWidth="1"/>
    <col min="4" max="4" width="25.33203125" bestFit="1" customWidth="1"/>
    <col min="5" max="6" width="19.44140625" bestFit="1" customWidth="1"/>
  </cols>
  <sheetData>
    <row r="1" spans="1:6" x14ac:dyDescent="0.3">
      <c r="A1" t="s">
        <v>0</v>
      </c>
      <c r="B1" t="s">
        <v>89</v>
      </c>
      <c r="C1" t="s">
        <v>90</v>
      </c>
      <c r="D1" t="s">
        <v>91</v>
      </c>
      <c r="E1" t="s">
        <v>86</v>
      </c>
      <c r="F1" t="s">
        <v>92</v>
      </c>
    </row>
    <row r="2" spans="1:6" x14ac:dyDescent="0.3">
      <c r="A2" t="s">
        <v>14</v>
      </c>
      <c r="B2">
        <v>485.2</v>
      </c>
      <c r="C2">
        <v>435.2</v>
      </c>
      <c r="D2">
        <v>512.9</v>
      </c>
      <c r="E2">
        <v>502.8</v>
      </c>
      <c r="F2">
        <v>556.5</v>
      </c>
    </row>
    <row r="3" spans="1:6" x14ac:dyDescent="0.3">
      <c r="A3" t="s">
        <v>15</v>
      </c>
      <c r="B3">
        <v>243</v>
      </c>
      <c r="C3">
        <v>220</v>
      </c>
      <c r="D3">
        <v>236.7</v>
      </c>
      <c r="E3">
        <v>257.8</v>
      </c>
      <c r="F3">
        <v>274.8</v>
      </c>
    </row>
    <row r="4" spans="1:6" x14ac:dyDescent="0.3">
      <c r="A4" t="s">
        <v>93</v>
      </c>
    </row>
    <row r="5" spans="1:6" x14ac:dyDescent="0.3">
      <c r="A5" t="s">
        <v>94</v>
      </c>
      <c r="B5">
        <v>55.2</v>
      </c>
      <c r="C5">
        <v>53</v>
      </c>
      <c r="D5">
        <v>54.6</v>
      </c>
      <c r="E5">
        <v>57.3</v>
      </c>
      <c r="F5">
        <v>58.1</v>
      </c>
    </row>
    <row r="6" spans="1:6" x14ac:dyDescent="0.3">
      <c r="A6" t="s">
        <v>8</v>
      </c>
      <c r="B6">
        <v>0.3</v>
      </c>
      <c r="C6">
        <v>0.3</v>
      </c>
      <c r="D6">
        <v>0.3</v>
      </c>
      <c r="E6">
        <v>0.3</v>
      </c>
      <c r="F6">
        <v>0.3</v>
      </c>
    </row>
    <row r="7" spans="1:6" x14ac:dyDescent="0.3">
      <c r="A7" t="s">
        <v>17</v>
      </c>
      <c r="B7">
        <v>155.30000000000001</v>
      </c>
      <c r="C7">
        <v>142.4</v>
      </c>
      <c r="D7">
        <v>157.9</v>
      </c>
      <c r="E7">
        <v>170.3</v>
      </c>
      <c r="F7">
        <v>183.7</v>
      </c>
    </row>
    <row r="8" spans="1:6" x14ac:dyDescent="0.3">
      <c r="A8" t="s">
        <v>95</v>
      </c>
    </row>
    <row r="9" spans="1:6" x14ac:dyDescent="0.3">
      <c r="A9" t="s">
        <v>96</v>
      </c>
      <c r="B9">
        <v>32.200000000000003</v>
      </c>
      <c r="C9">
        <v>24.3</v>
      </c>
      <c r="D9">
        <v>23.8</v>
      </c>
      <c r="E9">
        <v>29.9</v>
      </c>
      <c r="F9">
        <v>32.700000000000003</v>
      </c>
    </row>
    <row r="10" spans="1:6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18</v>
      </c>
      <c r="B11">
        <v>212.5</v>
      </c>
      <c r="C11">
        <v>186.6</v>
      </c>
      <c r="D11">
        <v>247.9</v>
      </c>
      <c r="E11">
        <v>209.6</v>
      </c>
      <c r="F11">
        <v>243.6</v>
      </c>
    </row>
    <row r="12" spans="1:6" x14ac:dyDescent="0.3">
      <c r="A12" t="s">
        <v>19</v>
      </c>
      <c r="B12">
        <v>34.9</v>
      </c>
      <c r="C12">
        <v>37.200000000000003</v>
      </c>
      <c r="D12">
        <v>38.5</v>
      </c>
      <c r="E12">
        <v>38.5</v>
      </c>
      <c r="F12">
        <v>38.5</v>
      </c>
    </row>
    <row r="13" spans="1:6" x14ac:dyDescent="0.3">
      <c r="A13" t="s">
        <v>20</v>
      </c>
      <c r="B13">
        <v>177.6</v>
      </c>
      <c r="C13">
        <v>149.4</v>
      </c>
      <c r="D13">
        <v>209.4</v>
      </c>
      <c r="E13">
        <v>171.1</v>
      </c>
      <c r="F13">
        <v>205.1</v>
      </c>
    </row>
    <row r="14" spans="1:6" x14ac:dyDescent="0.3">
      <c r="A14" t="s">
        <v>21</v>
      </c>
      <c r="B14">
        <v>29.6</v>
      </c>
      <c r="C14">
        <v>28.7</v>
      </c>
      <c r="D14">
        <v>28.3</v>
      </c>
      <c r="E14">
        <v>35.4</v>
      </c>
      <c r="F14">
        <v>38.1</v>
      </c>
    </row>
    <row r="15" spans="1:6" x14ac:dyDescent="0.3">
      <c r="A15" t="s">
        <v>22</v>
      </c>
      <c r="B15">
        <v>10.1</v>
      </c>
      <c r="C15">
        <v>10.1</v>
      </c>
      <c r="D15">
        <v>9.3000000000000007</v>
      </c>
      <c r="E15">
        <v>13.4</v>
      </c>
      <c r="F15">
        <v>14.9</v>
      </c>
    </row>
    <row r="16" spans="1:6" x14ac:dyDescent="0.3">
      <c r="A16" t="s">
        <v>23</v>
      </c>
      <c r="B16">
        <v>15.3</v>
      </c>
      <c r="C16">
        <v>11</v>
      </c>
      <c r="D16">
        <v>14.9</v>
      </c>
      <c r="E16">
        <v>16</v>
      </c>
      <c r="F16">
        <v>17.100000000000001</v>
      </c>
    </row>
    <row r="17" spans="1:6" x14ac:dyDescent="0.3">
      <c r="A17" t="s">
        <v>24</v>
      </c>
      <c r="B17">
        <v>0.7</v>
      </c>
      <c r="C17">
        <v>0.5</v>
      </c>
      <c r="D17">
        <v>1.2</v>
      </c>
      <c r="E17">
        <v>1.2</v>
      </c>
      <c r="F17">
        <v>1.2</v>
      </c>
    </row>
    <row r="18" spans="1:6" x14ac:dyDescent="0.3">
      <c r="A18" t="s">
        <v>25</v>
      </c>
      <c r="B18">
        <v>0</v>
      </c>
      <c r="C18">
        <v>0.1</v>
      </c>
      <c r="D18">
        <v>0.1</v>
      </c>
      <c r="E18">
        <v>0.1</v>
      </c>
      <c r="F18">
        <v>0.1</v>
      </c>
    </row>
    <row r="19" spans="1:6" x14ac:dyDescent="0.3">
      <c r="A19" t="s">
        <v>26</v>
      </c>
      <c r="B19">
        <v>3.4</v>
      </c>
      <c r="C19">
        <v>6.9</v>
      </c>
      <c r="D19">
        <v>2.8</v>
      </c>
      <c r="E19">
        <v>4.7</v>
      </c>
      <c r="F19">
        <v>4.7</v>
      </c>
    </row>
    <row r="20" spans="1:6" x14ac:dyDescent="0.3">
      <c r="A20" t="s">
        <v>27</v>
      </c>
      <c r="B20">
        <v>352.2</v>
      </c>
      <c r="C20">
        <v>396.9</v>
      </c>
      <c r="D20">
        <v>495.8</v>
      </c>
      <c r="E20">
        <v>423.5</v>
      </c>
      <c r="F20">
        <v>431.5</v>
      </c>
    </row>
    <row r="21" spans="1:6" x14ac:dyDescent="0.3">
      <c r="A21" t="s">
        <v>28</v>
      </c>
      <c r="B21">
        <v>134.5</v>
      </c>
      <c r="C21">
        <v>152.4</v>
      </c>
      <c r="D21">
        <v>166.6</v>
      </c>
      <c r="E21">
        <v>167.2</v>
      </c>
      <c r="F21">
        <v>166.9</v>
      </c>
    </row>
    <row r="22" spans="1:6" x14ac:dyDescent="0.3">
      <c r="A22" t="s">
        <v>12</v>
      </c>
      <c r="B22">
        <v>123.4</v>
      </c>
      <c r="C22">
        <v>141.19999999999999</v>
      </c>
      <c r="D22">
        <v>153.80000000000001</v>
      </c>
      <c r="E22">
        <v>154.4</v>
      </c>
      <c r="F22">
        <v>154.1</v>
      </c>
    </row>
    <row r="23" spans="1:6" x14ac:dyDescent="0.3">
      <c r="A23" t="s">
        <v>29</v>
      </c>
      <c r="B23">
        <v>11.2</v>
      </c>
      <c r="C23">
        <v>11.2</v>
      </c>
      <c r="D23">
        <v>12.8</v>
      </c>
      <c r="E23">
        <v>12.8</v>
      </c>
      <c r="F23">
        <v>12.8</v>
      </c>
    </row>
    <row r="24" spans="1:6" x14ac:dyDescent="0.3">
      <c r="A24" t="s">
        <v>30</v>
      </c>
      <c r="B24">
        <v>151</v>
      </c>
      <c r="C24">
        <v>188.9</v>
      </c>
      <c r="D24">
        <v>261.39999999999998</v>
      </c>
      <c r="E24">
        <v>189.6</v>
      </c>
      <c r="F24">
        <v>197.2</v>
      </c>
    </row>
    <row r="25" spans="1:6" x14ac:dyDescent="0.3">
      <c r="A25" t="s">
        <v>31</v>
      </c>
      <c r="B25">
        <v>8</v>
      </c>
      <c r="C25">
        <v>7.9</v>
      </c>
      <c r="D25">
        <v>8.8000000000000007</v>
      </c>
      <c r="E25">
        <v>8.6</v>
      </c>
      <c r="F25">
        <v>8.3000000000000007</v>
      </c>
    </row>
    <row r="26" spans="1:6" x14ac:dyDescent="0.3">
      <c r="A26" t="s">
        <v>97</v>
      </c>
      <c r="B26">
        <v>6.3</v>
      </c>
      <c r="C26">
        <v>6.3</v>
      </c>
      <c r="D26">
        <v>6.4</v>
      </c>
      <c r="E26">
        <v>6.2</v>
      </c>
      <c r="F26">
        <v>5.9</v>
      </c>
    </row>
    <row r="27" spans="1:6" x14ac:dyDescent="0.3">
      <c r="A27" t="s">
        <v>98</v>
      </c>
      <c r="B27">
        <v>1.7</v>
      </c>
      <c r="C27">
        <v>1.6</v>
      </c>
      <c r="D27">
        <v>2.4</v>
      </c>
      <c r="E27">
        <v>2.4</v>
      </c>
      <c r="F27">
        <v>2.4</v>
      </c>
    </row>
    <row r="28" spans="1:6" x14ac:dyDescent="0.3">
      <c r="A28" t="s">
        <v>34</v>
      </c>
      <c r="B28">
        <v>0.9</v>
      </c>
      <c r="C28">
        <v>0.9</v>
      </c>
      <c r="D28">
        <v>0.9</v>
      </c>
      <c r="E28">
        <v>0.9</v>
      </c>
      <c r="F28">
        <v>0.9</v>
      </c>
    </row>
    <row r="29" spans="1:6" x14ac:dyDescent="0.3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36</v>
      </c>
      <c r="B30">
        <v>0.9</v>
      </c>
      <c r="C30">
        <v>0.9</v>
      </c>
      <c r="D30">
        <v>0.9</v>
      </c>
      <c r="E30">
        <v>0.9</v>
      </c>
      <c r="F30">
        <v>0.9</v>
      </c>
    </row>
    <row r="31" spans="1:6" x14ac:dyDescent="0.3">
      <c r="A31" t="s">
        <v>18</v>
      </c>
      <c r="B31">
        <v>2.9</v>
      </c>
      <c r="C31">
        <v>4.4000000000000004</v>
      </c>
      <c r="D31">
        <v>4.3</v>
      </c>
      <c r="E31">
        <v>4.3</v>
      </c>
      <c r="F31">
        <v>4.3</v>
      </c>
    </row>
    <row r="32" spans="1:6" x14ac:dyDescent="0.3">
      <c r="A32" t="s">
        <v>37</v>
      </c>
      <c r="B32">
        <v>25.3</v>
      </c>
      <c r="C32">
        <v>22.1</v>
      </c>
      <c r="D32">
        <v>28</v>
      </c>
      <c r="E32">
        <v>27.8</v>
      </c>
      <c r="F32">
        <v>28.8</v>
      </c>
    </row>
    <row r="33" spans="1:6" x14ac:dyDescent="0.3">
      <c r="A33" t="s">
        <v>38</v>
      </c>
      <c r="B33">
        <v>29.6</v>
      </c>
      <c r="C33">
        <v>20.399999999999999</v>
      </c>
      <c r="D33">
        <v>25.8</v>
      </c>
      <c r="E33">
        <v>25.1</v>
      </c>
      <c r="F33">
        <v>25.1</v>
      </c>
    </row>
    <row r="34" spans="1:6" x14ac:dyDescent="0.3">
      <c r="A34" t="s">
        <v>39</v>
      </c>
      <c r="B34">
        <v>132.9</v>
      </c>
      <c r="C34">
        <v>38.299999999999997</v>
      </c>
      <c r="D34">
        <v>17.100000000000001</v>
      </c>
      <c r="E34">
        <v>79.3</v>
      </c>
      <c r="F34">
        <v>125</v>
      </c>
    </row>
    <row r="35" spans="1:6" x14ac:dyDescent="0.3">
      <c r="A35" t="s">
        <v>40</v>
      </c>
      <c r="B35">
        <v>96.6</v>
      </c>
      <c r="C35">
        <v>55.2</v>
      </c>
      <c r="D35">
        <v>54.5</v>
      </c>
      <c r="E35">
        <v>71.900000000000006</v>
      </c>
      <c r="F35">
        <v>97.1</v>
      </c>
    </row>
    <row r="36" spans="1:6" x14ac:dyDescent="0.3">
      <c r="A36" t="s">
        <v>41</v>
      </c>
      <c r="B36">
        <v>96.1</v>
      </c>
      <c r="C36">
        <v>54.7</v>
      </c>
      <c r="D36">
        <v>53.1</v>
      </c>
      <c r="E36">
        <v>70.900000000000006</v>
      </c>
      <c r="F36">
        <v>96.1</v>
      </c>
    </row>
    <row r="37" spans="1:6" x14ac:dyDescent="0.3">
      <c r="A37" t="s">
        <v>42</v>
      </c>
      <c r="B37">
        <v>26.6</v>
      </c>
      <c r="C37">
        <v>29.5</v>
      </c>
      <c r="D37">
        <v>30</v>
      </c>
      <c r="E37">
        <v>35.200000000000003</v>
      </c>
      <c r="F37">
        <v>47.8</v>
      </c>
    </row>
    <row r="38" spans="1:6" x14ac:dyDescent="0.3">
      <c r="A38" t="s">
        <v>43</v>
      </c>
      <c r="B38">
        <v>63.8</v>
      </c>
      <c r="C38">
        <v>20.3</v>
      </c>
      <c r="D38">
        <v>16.7</v>
      </c>
      <c r="E38">
        <v>16.7</v>
      </c>
      <c r="F38">
        <v>17.5</v>
      </c>
    </row>
    <row r="39" spans="1:6" x14ac:dyDescent="0.3">
      <c r="A39" t="s">
        <v>44</v>
      </c>
      <c r="B39">
        <v>29.6</v>
      </c>
      <c r="C39">
        <v>4.4000000000000004</v>
      </c>
      <c r="D39">
        <v>9.8000000000000007</v>
      </c>
      <c r="E39">
        <v>17.899999999999999</v>
      </c>
      <c r="F39">
        <v>29.8</v>
      </c>
    </row>
    <row r="40" spans="1:6" x14ac:dyDescent="0.3">
      <c r="A40" t="s">
        <v>45</v>
      </c>
      <c r="B40">
        <v>0.5</v>
      </c>
      <c r="C40">
        <v>0.5</v>
      </c>
      <c r="D40">
        <v>1.3</v>
      </c>
      <c r="E40">
        <v>1</v>
      </c>
      <c r="F40">
        <v>1</v>
      </c>
    </row>
    <row r="41" spans="1:6" x14ac:dyDescent="0.3">
      <c r="A41" t="s">
        <v>47</v>
      </c>
      <c r="B41">
        <v>36.299999999999997</v>
      </c>
      <c r="C41">
        <v>-16.899999999999999</v>
      </c>
      <c r="D41">
        <v>-37.4</v>
      </c>
      <c r="E41">
        <v>7.4</v>
      </c>
      <c r="F41">
        <v>27.9</v>
      </c>
    </row>
    <row r="42" spans="1:6" x14ac:dyDescent="0.3">
      <c r="A42" t="s">
        <v>99</v>
      </c>
    </row>
    <row r="43" spans="1:6" x14ac:dyDescent="0.3">
      <c r="A43" t="s">
        <v>100</v>
      </c>
      <c r="B43">
        <v>36.299999999999997</v>
      </c>
      <c r="C43">
        <v>-16.899999999999999</v>
      </c>
      <c r="D43">
        <v>-37.4</v>
      </c>
      <c r="E43">
        <v>7.4</v>
      </c>
      <c r="F43">
        <v>27.9</v>
      </c>
    </row>
    <row r="44" spans="1:6" x14ac:dyDescent="0.3">
      <c r="A44" t="s">
        <v>48</v>
      </c>
      <c r="B44">
        <v>22.9</v>
      </c>
      <c r="C44">
        <v>-14.6</v>
      </c>
      <c r="D44">
        <v>-20.100000000000001</v>
      </c>
      <c r="E44">
        <v>5.7</v>
      </c>
      <c r="F44">
        <v>25.9</v>
      </c>
    </row>
    <row r="45" spans="1:6" x14ac:dyDescent="0.3">
      <c r="A45" t="s">
        <v>49</v>
      </c>
      <c r="B45">
        <v>22.9</v>
      </c>
      <c r="C45">
        <v>-14.6</v>
      </c>
      <c r="D45">
        <v>-20.100000000000001</v>
      </c>
      <c r="E45">
        <v>-5.7</v>
      </c>
      <c r="F45">
        <v>-25.9</v>
      </c>
    </row>
    <row r="46" spans="1:6" x14ac:dyDescent="0.3">
      <c r="A46" t="s">
        <v>50</v>
      </c>
      <c r="B46">
        <v>15.8</v>
      </c>
      <c r="C46">
        <v>-14.3</v>
      </c>
      <c r="D46">
        <v>-19.8</v>
      </c>
      <c r="E46">
        <v>-5.4</v>
      </c>
      <c r="F46">
        <v>-25.6</v>
      </c>
    </row>
    <row r="47" spans="1:6" x14ac:dyDescent="0.3">
      <c r="A47" t="s">
        <v>51</v>
      </c>
      <c r="B47">
        <v>7.1</v>
      </c>
      <c r="C47">
        <v>-0.3</v>
      </c>
      <c r="D47">
        <v>-0.7</v>
      </c>
      <c r="E47">
        <v>-0.7</v>
      </c>
      <c r="F47">
        <v>-0.7</v>
      </c>
    </row>
    <row r="48" spans="1:6" x14ac:dyDescent="0.3">
      <c r="A48" t="s">
        <v>52</v>
      </c>
      <c r="B48">
        <v>0</v>
      </c>
      <c r="C48">
        <v>0</v>
      </c>
      <c r="D48">
        <v>0.4</v>
      </c>
      <c r="E48">
        <v>0.4</v>
      </c>
      <c r="F48">
        <v>0.4</v>
      </c>
    </row>
    <row r="49" spans="1:6" x14ac:dyDescent="0.3">
      <c r="A49" t="s">
        <v>53</v>
      </c>
      <c r="B49">
        <v>13.4</v>
      </c>
      <c r="C49">
        <v>-2.2999999999999998</v>
      </c>
      <c r="D49">
        <v>-17.2</v>
      </c>
      <c r="E49">
        <v>1.7</v>
      </c>
      <c r="F49">
        <v>2</v>
      </c>
    </row>
    <row r="50" spans="1:6" x14ac:dyDescent="0.3">
      <c r="A50" t="s">
        <v>49</v>
      </c>
      <c r="B50">
        <v>0</v>
      </c>
      <c r="C50">
        <v>13.5</v>
      </c>
      <c r="D50">
        <v>20.9</v>
      </c>
      <c r="E50">
        <v>20.9</v>
      </c>
      <c r="F50">
        <v>20.9</v>
      </c>
    </row>
    <row r="51" spans="1:6" x14ac:dyDescent="0.3">
      <c r="A51" t="s">
        <v>51</v>
      </c>
      <c r="B51">
        <v>15.2</v>
      </c>
      <c r="C51">
        <v>32.5</v>
      </c>
      <c r="D51">
        <v>35.9</v>
      </c>
      <c r="E51">
        <v>31.8</v>
      </c>
      <c r="F51">
        <v>30.9</v>
      </c>
    </row>
    <row r="52" spans="1:6" x14ac:dyDescent="0.3">
      <c r="A52" t="s">
        <v>101</v>
      </c>
      <c r="B52">
        <v>15.2</v>
      </c>
      <c r="C52">
        <v>19</v>
      </c>
      <c r="D52">
        <v>15</v>
      </c>
      <c r="E52">
        <v>10.9</v>
      </c>
      <c r="F52">
        <v>10</v>
      </c>
    </row>
    <row r="53" spans="1:6" x14ac:dyDescent="0.3">
      <c r="A53" t="s">
        <v>54</v>
      </c>
      <c r="B53">
        <v>-13.4</v>
      </c>
      <c r="C53">
        <v>-11.2</v>
      </c>
      <c r="D53">
        <v>-3.7</v>
      </c>
      <c r="E53">
        <v>-22.6</v>
      </c>
      <c r="F53">
        <v>-22.9</v>
      </c>
    </row>
    <row r="54" spans="1:6" x14ac:dyDescent="0.3">
      <c r="A54" t="s">
        <v>51</v>
      </c>
      <c r="B54">
        <v>0</v>
      </c>
      <c r="C54">
        <v>0</v>
      </c>
      <c r="D54">
        <v>19</v>
      </c>
      <c r="E54">
        <v>0</v>
      </c>
      <c r="F54">
        <v>0</v>
      </c>
    </row>
    <row r="55" spans="1:6" x14ac:dyDescent="0.3">
      <c r="A55" t="s">
        <v>101</v>
      </c>
      <c r="B55">
        <v>-13.4</v>
      </c>
      <c r="C55">
        <v>-11.2</v>
      </c>
      <c r="D55">
        <v>-22.7</v>
      </c>
      <c r="E55">
        <v>-22.6</v>
      </c>
      <c r="F55">
        <v>-22.9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5D7C-FA84-48AF-8720-7D3874D1739E}">
  <dimension ref="A1:F60"/>
  <sheetViews>
    <sheetView topLeftCell="A40" workbookViewId="0">
      <selection activeCell="F54" sqref="F54:F60"/>
    </sheetView>
  </sheetViews>
  <sheetFormatPr defaultRowHeight="14.4" x14ac:dyDescent="0.3"/>
  <cols>
    <col min="1" max="1" width="32.6640625" bestFit="1" customWidth="1"/>
    <col min="2" max="2" width="16.109375" bestFit="1" customWidth="1"/>
    <col min="3" max="3" width="27" bestFit="1" customWidth="1"/>
    <col min="4" max="4" width="25" bestFit="1" customWidth="1"/>
    <col min="5" max="6" width="19.44140625" bestFit="1" customWidth="1"/>
  </cols>
  <sheetData>
    <row r="1" spans="1:6" x14ac:dyDescent="0.3">
      <c r="A1" t="s">
        <v>0</v>
      </c>
      <c r="B1" t="s">
        <v>155</v>
      </c>
      <c r="C1" t="s">
        <v>103</v>
      </c>
      <c r="D1" t="s">
        <v>104</v>
      </c>
      <c r="E1" t="s">
        <v>121</v>
      </c>
      <c r="F1" t="s">
        <v>124</v>
      </c>
    </row>
    <row r="2" spans="1:6" x14ac:dyDescent="0.3">
      <c r="A2" t="s">
        <v>14</v>
      </c>
      <c r="B2">
        <v>494.4</v>
      </c>
      <c r="C2">
        <v>469.7</v>
      </c>
      <c r="D2">
        <v>572.20000000000005</v>
      </c>
      <c r="E2">
        <v>496.7</v>
      </c>
      <c r="F2">
        <v>472</v>
      </c>
    </row>
    <row r="3" spans="1:6" x14ac:dyDescent="0.3">
      <c r="A3" t="s">
        <v>106</v>
      </c>
      <c r="B3">
        <v>280.8</v>
      </c>
      <c r="C3">
        <v>256.60000000000002</v>
      </c>
      <c r="D3">
        <v>277.8</v>
      </c>
      <c r="E3">
        <v>279.8</v>
      </c>
      <c r="F3">
        <v>281.39999999999998</v>
      </c>
    </row>
    <row r="4" spans="1:6" x14ac:dyDescent="0.3">
      <c r="A4" t="s">
        <v>18</v>
      </c>
      <c r="B4">
        <v>213.7</v>
      </c>
      <c r="C4">
        <v>213.1</v>
      </c>
      <c r="D4">
        <v>294.39999999999998</v>
      </c>
      <c r="E4">
        <v>216.8</v>
      </c>
      <c r="F4">
        <v>190.6</v>
      </c>
    </row>
    <row r="5" spans="1:6" x14ac:dyDescent="0.3">
      <c r="A5" t="s">
        <v>19</v>
      </c>
      <c r="B5">
        <v>37.6</v>
      </c>
      <c r="C5">
        <v>27.2</v>
      </c>
      <c r="D5">
        <v>45.5</v>
      </c>
      <c r="E5">
        <v>38.5</v>
      </c>
      <c r="F5">
        <v>38.5</v>
      </c>
    </row>
    <row r="6" spans="1:6" x14ac:dyDescent="0.3">
      <c r="A6" t="s">
        <v>20</v>
      </c>
      <c r="B6">
        <v>176.1</v>
      </c>
      <c r="C6">
        <v>186</v>
      </c>
      <c r="D6">
        <v>249</v>
      </c>
      <c r="E6">
        <v>178.4</v>
      </c>
      <c r="F6">
        <v>152.19999999999999</v>
      </c>
    </row>
    <row r="7" spans="1:6" x14ac:dyDescent="0.3">
      <c r="A7" t="s">
        <v>27</v>
      </c>
      <c r="B7">
        <v>376.9</v>
      </c>
      <c r="C7">
        <v>417.8</v>
      </c>
      <c r="D7">
        <v>515.9</v>
      </c>
      <c r="E7">
        <v>436.8</v>
      </c>
      <c r="F7">
        <v>432.3</v>
      </c>
    </row>
    <row r="8" spans="1:6" x14ac:dyDescent="0.3">
      <c r="A8" t="s">
        <v>28</v>
      </c>
      <c r="B8">
        <v>148.69999999999999</v>
      </c>
      <c r="C8">
        <v>155.4</v>
      </c>
      <c r="D8">
        <v>178.5</v>
      </c>
      <c r="E8">
        <v>176.9</v>
      </c>
      <c r="F8">
        <v>176.3</v>
      </c>
    </row>
    <row r="9" spans="1:6" x14ac:dyDescent="0.3">
      <c r="A9" t="s">
        <v>30</v>
      </c>
      <c r="B9">
        <v>169.7</v>
      </c>
      <c r="C9">
        <v>209.7</v>
      </c>
      <c r="D9">
        <v>263.60000000000002</v>
      </c>
      <c r="E9">
        <v>191.6</v>
      </c>
      <c r="F9">
        <v>188.1</v>
      </c>
    </row>
    <row r="10" spans="1:6" x14ac:dyDescent="0.3">
      <c r="A10" t="s">
        <v>31</v>
      </c>
      <c r="B10">
        <v>8.1999999999999993</v>
      </c>
      <c r="C10">
        <v>6.4</v>
      </c>
      <c r="D10">
        <v>8.8000000000000007</v>
      </c>
      <c r="E10">
        <v>8.5</v>
      </c>
      <c r="F10">
        <v>8</v>
      </c>
    </row>
    <row r="11" spans="1:6" x14ac:dyDescent="0.3">
      <c r="A11" t="s">
        <v>34</v>
      </c>
      <c r="B11">
        <v>0.8</v>
      </c>
      <c r="C11">
        <v>0.8</v>
      </c>
      <c r="D11">
        <v>1.3</v>
      </c>
      <c r="E11">
        <v>1</v>
      </c>
      <c r="F11">
        <v>1</v>
      </c>
    </row>
    <row r="12" spans="1:6" x14ac:dyDescent="0.3">
      <c r="A12" t="s">
        <v>18</v>
      </c>
      <c r="B12">
        <v>3.7</v>
      </c>
      <c r="C12">
        <v>4.7</v>
      </c>
      <c r="D12">
        <v>4.3</v>
      </c>
      <c r="E12">
        <v>4.3</v>
      </c>
      <c r="F12">
        <v>4.3</v>
      </c>
    </row>
    <row r="13" spans="1:6" x14ac:dyDescent="0.3">
      <c r="A13" t="s">
        <v>37</v>
      </c>
      <c r="B13">
        <v>22.3</v>
      </c>
      <c r="C13">
        <v>17</v>
      </c>
      <c r="D13">
        <v>28.8</v>
      </c>
      <c r="E13">
        <v>27.9</v>
      </c>
      <c r="F13">
        <v>27.9</v>
      </c>
    </row>
    <row r="14" spans="1:6" x14ac:dyDescent="0.3">
      <c r="A14" t="s">
        <v>38</v>
      </c>
      <c r="B14">
        <v>23.4</v>
      </c>
      <c r="C14">
        <v>23.8</v>
      </c>
      <c r="D14">
        <v>30.6</v>
      </c>
      <c r="E14">
        <v>26.8</v>
      </c>
      <c r="F14">
        <v>26.8</v>
      </c>
    </row>
    <row r="15" spans="1:6" x14ac:dyDescent="0.3">
      <c r="A15" t="s">
        <v>39</v>
      </c>
      <c r="B15">
        <v>117.5</v>
      </c>
      <c r="C15">
        <v>51.8</v>
      </c>
      <c r="D15">
        <v>56.3</v>
      </c>
      <c r="E15">
        <v>59.8</v>
      </c>
      <c r="F15">
        <v>39.700000000000003</v>
      </c>
    </row>
    <row r="16" spans="1:6" x14ac:dyDescent="0.3">
      <c r="A16" t="s">
        <v>40</v>
      </c>
      <c r="B16">
        <v>57.8</v>
      </c>
      <c r="C16">
        <v>63.1</v>
      </c>
      <c r="D16">
        <v>75.2</v>
      </c>
      <c r="E16">
        <v>95.1</v>
      </c>
      <c r="F16">
        <v>74.2</v>
      </c>
    </row>
    <row r="17" spans="1:6" x14ac:dyDescent="0.3">
      <c r="A17" t="s">
        <v>47</v>
      </c>
      <c r="B17">
        <v>59.7</v>
      </c>
      <c r="C17">
        <v>-11.2</v>
      </c>
      <c r="D17">
        <v>-18.8</v>
      </c>
      <c r="E17">
        <v>-35.200000000000003</v>
      </c>
      <c r="F17">
        <v>-34.5</v>
      </c>
    </row>
    <row r="18" spans="1:6" x14ac:dyDescent="0.3">
      <c r="A18" t="s">
        <v>99</v>
      </c>
    </row>
    <row r="19" spans="1:6" x14ac:dyDescent="0.3">
      <c r="A19" t="s">
        <v>100</v>
      </c>
      <c r="B19">
        <v>-59.7</v>
      </c>
      <c r="C19">
        <v>11.2</v>
      </c>
      <c r="D19">
        <v>18.8</v>
      </c>
      <c r="E19">
        <v>35.200000000000003</v>
      </c>
      <c r="F19">
        <v>34.5</v>
      </c>
    </row>
    <row r="20" spans="1:6" x14ac:dyDescent="0.3">
      <c r="A20" t="s">
        <v>48</v>
      </c>
      <c r="B20">
        <v>-61.5</v>
      </c>
      <c r="C20">
        <v>-4.8</v>
      </c>
      <c r="D20">
        <v>5.5</v>
      </c>
      <c r="E20">
        <v>54.9</v>
      </c>
      <c r="F20">
        <v>73.2</v>
      </c>
    </row>
    <row r="21" spans="1:6" x14ac:dyDescent="0.3">
      <c r="A21" t="s">
        <v>49</v>
      </c>
      <c r="B21">
        <v>-61.5</v>
      </c>
      <c r="C21">
        <v>-4.8</v>
      </c>
      <c r="D21">
        <v>5.5</v>
      </c>
      <c r="E21">
        <v>54.9</v>
      </c>
      <c r="F21">
        <v>73.2</v>
      </c>
    </row>
    <row r="22" spans="1:6" x14ac:dyDescent="0.3">
      <c r="A22" t="s">
        <v>50</v>
      </c>
      <c r="B22">
        <v>-61.7</v>
      </c>
      <c r="C22">
        <v>-5</v>
      </c>
      <c r="D22">
        <v>5.8</v>
      </c>
      <c r="E22">
        <v>55.2</v>
      </c>
      <c r="F22">
        <v>73.5</v>
      </c>
    </row>
    <row r="23" spans="1:6" x14ac:dyDescent="0.3">
      <c r="A23" t="s">
        <v>51</v>
      </c>
      <c r="B23">
        <v>0.2</v>
      </c>
      <c r="C23">
        <v>-0.2</v>
      </c>
      <c r="D23">
        <v>-0.7</v>
      </c>
      <c r="E23">
        <v>-0.7</v>
      </c>
      <c r="F23">
        <v>-0.7</v>
      </c>
    </row>
    <row r="24" spans="1:6" x14ac:dyDescent="0.3">
      <c r="A24" t="s">
        <v>52</v>
      </c>
      <c r="B24" t="s">
        <v>11</v>
      </c>
      <c r="C24">
        <v>0.4</v>
      </c>
      <c r="D24">
        <v>0.4</v>
      </c>
      <c r="E24">
        <v>0.4</v>
      </c>
      <c r="F24">
        <v>0.4</v>
      </c>
    </row>
    <row r="25" spans="1:6" x14ac:dyDescent="0.3">
      <c r="A25" t="s">
        <v>53</v>
      </c>
      <c r="B25">
        <v>1.9</v>
      </c>
      <c r="C25">
        <v>15.6</v>
      </c>
      <c r="D25">
        <v>13.3</v>
      </c>
      <c r="E25">
        <v>-19.600000000000001</v>
      </c>
      <c r="F25">
        <v>-38.700000000000003</v>
      </c>
    </row>
    <row r="26" spans="1:6" x14ac:dyDescent="0.3">
      <c r="A26" t="s">
        <v>49</v>
      </c>
      <c r="B26">
        <v>12.9</v>
      </c>
      <c r="C26">
        <v>0.1</v>
      </c>
      <c r="D26">
        <v>0.9</v>
      </c>
      <c r="E26">
        <v>0.9</v>
      </c>
      <c r="F26">
        <v>8.9</v>
      </c>
    </row>
    <row r="27" spans="1:6" x14ac:dyDescent="0.3">
      <c r="A27" t="s">
        <v>51</v>
      </c>
      <c r="B27">
        <v>31.9</v>
      </c>
      <c r="C27">
        <v>15.1</v>
      </c>
      <c r="D27">
        <v>15.9</v>
      </c>
      <c r="E27">
        <v>15.9</v>
      </c>
      <c r="F27">
        <v>15.9</v>
      </c>
    </row>
    <row r="28" spans="1:6" x14ac:dyDescent="0.3">
      <c r="A28" t="s">
        <v>101</v>
      </c>
      <c r="B28">
        <v>19</v>
      </c>
      <c r="C28">
        <v>15</v>
      </c>
      <c r="D28">
        <v>15</v>
      </c>
      <c r="E28">
        <v>15</v>
      </c>
      <c r="F28">
        <v>7</v>
      </c>
    </row>
    <row r="29" spans="1:6" x14ac:dyDescent="0.3">
      <c r="A29" t="s">
        <v>54</v>
      </c>
      <c r="B29">
        <v>-10.9</v>
      </c>
      <c r="C29">
        <v>15.5</v>
      </c>
      <c r="D29">
        <v>12.4</v>
      </c>
      <c r="E29">
        <v>-20.6</v>
      </c>
      <c r="F29">
        <v>-47.7</v>
      </c>
    </row>
    <row r="30" spans="1:6" x14ac:dyDescent="0.3">
      <c r="A30" t="s">
        <v>51</v>
      </c>
      <c r="B30" t="s">
        <v>11</v>
      </c>
      <c r="C30">
        <v>22.6</v>
      </c>
      <c r="D30">
        <v>30</v>
      </c>
      <c r="E30" t="s">
        <v>11</v>
      </c>
      <c r="F30" t="s">
        <v>11</v>
      </c>
    </row>
    <row r="31" spans="1:6" x14ac:dyDescent="0.3">
      <c r="A31" t="s">
        <v>101</v>
      </c>
      <c r="B31">
        <v>10.9</v>
      </c>
      <c r="C31">
        <v>7.1</v>
      </c>
      <c r="D31">
        <v>17.600000000000001</v>
      </c>
      <c r="E31">
        <v>20.6</v>
      </c>
      <c r="F31">
        <v>47.7</v>
      </c>
    </row>
    <row r="36" spans="1:6" x14ac:dyDescent="0.3">
      <c r="A36" t="s">
        <v>0</v>
      </c>
      <c r="B36" t="s">
        <v>2</v>
      </c>
      <c r="C36" t="s">
        <v>4</v>
      </c>
      <c r="D36" t="s">
        <v>5</v>
      </c>
      <c r="E36" t="s">
        <v>6</v>
      </c>
      <c r="F36" t="s">
        <v>7</v>
      </c>
    </row>
    <row r="37" spans="1:6" x14ac:dyDescent="0.3">
      <c r="A37" t="s">
        <v>177</v>
      </c>
    </row>
    <row r="38" spans="1:6" x14ac:dyDescent="0.3">
      <c r="B38" t="s">
        <v>155</v>
      </c>
      <c r="C38" t="s">
        <v>180</v>
      </c>
      <c r="D38" t="s">
        <v>122</v>
      </c>
      <c r="E38" t="s">
        <v>121</v>
      </c>
      <c r="F38" t="s">
        <v>124</v>
      </c>
    </row>
    <row r="40" spans="1:6" x14ac:dyDescent="0.3">
      <c r="A40" t="s">
        <v>178</v>
      </c>
      <c r="B40">
        <v>52.5</v>
      </c>
      <c r="C40">
        <v>45.6</v>
      </c>
      <c r="D40">
        <v>50.4</v>
      </c>
      <c r="E40">
        <v>52.3</v>
      </c>
      <c r="F40">
        <v>53.4</v>
      </c>
    </row>
    <row r="41" spans="1:6" x14ac:dyDescent="0.3">
      <c r="A41" t="s">
        <v>8</v>
      </c>
      <c r="B41">
        <v>0.4</v>
      </c>
      <c r="C41">
        <v>0.3</v>
      </c>
      <c r="D41">
        <v>0.3</v>
      </c>
      <c r="E41">
        <v>0.3</v>
      </c>
      <c r="F41">
        <v>0.3</v>
      </c>
    </row>
    <row r="42" spans="1:6" x14ac:dyDescent="0.3">
      <c r="A42" t="s">
        <v>17</v>
      </c>
      <c r="B42">
        <v>160.69999999999999</v>
      </c>
      <c r="C42">
        <v>156.1</v>
      </c>
      <c r="D42">
        <v>167.9</v>
      </c>
      <c r="E42">
        <v>171.1</v>
      </c>
      <c r="F42">
        <v>171.1</v>
      </c>
    </row>
    <row r="43" spans="1:6" x14ac:dyDescent="0.3">
      <c r="A43" t="s">
        <v>179</v>
      </c>
      <c r="B43">
        <v>25</v>
      </c>
      <c r="C43">
        <v>24.6</v>
      </c>
      <c r="D43">
        <v>25.7</v>
      </c>
      <c r="E43">
        <v>25.9</v>
      </c>
      <c r="F43">
        <v>26.1</v>
      </c>
    </row>
    <row r="44" spans="1:6" x14ac:dyDescent="0.3">
      <c r="A44" t="s">
        <v>9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15</v>
      </c>
      <c r="B45">
        <v>238.6</v>
      </c>
      <c r="C45">
        <v>226.6</v>
      </c>
      <c r="D45">
        <v>244.3</v>
      </c>
      <c r="E45">
        <v>249.6</v>
      </c>
      <c r="F45">
        <v>251</v>
      </c>
    </row>
    <row r="50" spans="1:6" x14ac:dyDescent="0.3">
      <c r="A50" t="s">
        <v>0</v>
      </c>
      <c r="B50" t="s">
        <v>2</v>
      </c>
      <c r="C50" t="s">
        <v>4</v>
      </c>
      <c r="D50" t="s">
        <v>5</v>
      </c>
      <c r="E50" t="s">
        <v>6</v>
      </c>
      <c r="F50" t="s">
        <v>7</v>
      </c>
    </row>
    <row r="51" spans="1:6" x14ac:dyDescent="0.3">
      <c r="A51" t="s">
        <v>210</v>
      </c>
    </row>
    <row r="52" spans="1:6" x14ac:dyDescent="0.3">
      <c r="B52" t="s">
        <v>102</v>
      </c>
      <c r="C52" t="s">
        <v>103</v>
      </c>
      <c r="D52" t="s">
        <v>104</v>
      </c>
      <c r="E52" t="s">
        <v>92</v>
      </c>
      <c r="F52" t="s">
        <v>105</v>
      </c>
    </row>
    <row r="54" spans="1:6" x14ac:dyDescent="0.3">
      <c r="A54" t="s">
        <v>22</v>
      </c>
      <c r="B54">
        <v>14.5</v>
      </c>
      <c r="C54">
        <v>12.3</v>
      </c>
      <c r="D54">
        <v>11.6</v>
      </c>
      <c r="E54">
        <v>10.199999999999999</v>
      </c>
      <c r="F54">
        <v>9.8000000000000007</v>
      </c>
    </row>
    <row r="55" spans="1:6" x14ac:dyDescent="0.3">
      <c r="A55" t="s">
        <v>23</v>
      </c>
      <c r="B55">
        <v>14.5</v>
      </c>
      <c r="C55">
        <v>12.4</v>
      </c>
      <c r="D55">
        <v>16.3</v>
      </c>
      <c r="E55">
        <v>15.8</v>
      </c>
      <c r="F55">
        <v>16.2</v>
      </c>
    </row>
    <row r="56" spans="1:6" x14ac:dyDescent="0.3">
      <c r="A56" t="s">
        <v>24</v>
      </c>
      <c r="B56">
        <v>0.8</v>
      </c>
      <c r="C56">
        <v>0.7</v>
      </c>
      <c r="D56">
        <v>1.2</v>
      </c>
      <c r="E56">
        <v>1.2</v>
      </c>
      <c r="F56">
        <v>1.2</v>
      </c>
    </row>
    <row r="57" spans="1:6" x14ac:dyDescent="0.3">
      <c r="A57" t="s">
        <v>25</v>
      </c>
      <c r="B57">
        <v>0.3</v>
      </c>
      <c r="C57">
        <v>0.1</v>
      </c>
      <c r="D57">
        <v>0</v>
      </c>
      <c r="E57">
        <v>0</v>
      </c>
      <c r="F57">
        <v>0</v>
      </c>
    </row>
    <row r="58" spans="1:6" x14ac:dyDescent="0.3">
      <c r="A58" t="s">
        <v>211</v>
      </c>
      <c r="B58">
        <v>12.1</v>
      </c>
      <c r="C58">
        <v>4.5</v>
      </c>
      <c r="D58">
        <v>4.4000000000000004</v>
      </c>
      <c r="E58">
        <v>3</v>
      </c>
      <c r="F58">
        <v>3.2</v>
      </c>
    </row>
    <row r="59" spans="1:6" x14ac:dyDescent="0.3">
      <c r="A59" t="s">
        <v>212</v>
      </c>
    </row>
    <row r="60" spans="1:6" x14ac:dyDescent="0.3">
      <c r="A60" t="s">
        <v>21</v>
      </c>
      <c r="B60">
        <v>42.2</v>
      </c>
      <c r="C60">
        <v>30</v>
      </c>
      <c r="D60">
        <v>33.5</v>
      </c>
      <c r="E60">
        <v>30.3</v>
      </c>
      <c r="F60">
        <v>30.4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0D47-CDE5-4010-940A-7EB1154E1AED}">
  <dimension ref="A1:F83"/>
  <sheetViews>
    <sheetView workbookViewId="0">
      <selection activeCell="A83" sqref="A83"/>
    </sheetView>
  </sheetViews>
  <sheetFormatPr defaultRowHeight="14.4" x14ac:dyDescent="0.3"/>
  <cols>
    <col min="1" max="1" width="32.6640625" bestFit="1" customWidth="1"/>
    <col min="2" max="2" width="16.109375" bestFit="1" customWidth="1"/>
    <col min="3" max="3" width="20.44140625" bestFit="1" customWidth="1"/>
    <col min="4" max="4" width="20.5546875" bestFit="1" customWidth="1"/>
    <col min="5" max="6" width="19.44140625" bestFit="1" customWidth="1"/>
  </cols>
  <sheetData>
    <row r="1" spans="1:6" x14ac:dyDescent="0.3">
      <c r="A1" t="s">
        <v>0</v>
      </c>
      <c r="B1" t="s">
        <v>156</v>
      </c>
      <c r="C1" t="s">
        <v>157</v>
      </c>
      <c r="D1" t="s">
        <v>108</v>
      </c>
      <c r="E1" t="s">
        <v>124</v>
      </c>
      <c r="F1" t="s">
        <v>158</v>
      </c>
    </row>
    <row r="2" spans="1:6" x14ac:dyDescent="0.3">
      <c r="A2" t="s">
        <v>14</v>
      </c>
      <c r="B2">
        <v>516.6</v>
      </c>
      <c r="C2">
        <v>531.70000000000005</v>
      </c>
      <c r="D2">
        <v>695.2</v>
      </c>
      <c r="E2">
        <v>604.1</v>
      </c>
      <c r="F2">
        <v>612.20000000000005</v>
      </c>
    </row>
    <row r="3" spans="1:6" x14ac:dyDescent="0.3">
      <c r="A3" t="s">
        <v>106</v>
      </c>
      <c r="B3">
        <v>277</v>
      </c>
      <c r="C3">
        <v>250</v>
      </c>
      <c r="D3">
        <v>286.3</v>
      </c>
      <c r="E3">
        <v>287</v>
      </c>
      <c r="F3">
        <v>294.5</v>
      </c>
    </row>
    <row r="4" spans="1:6" x14ac:dyDescent="0.3">
      <c r="A4" t="s">
        <v>18</v>
      </c>
      <c r="B4">
        <v>239.5</v>
      </c>
      <c r="C4">
        <v>281.8</v>
      </c>
      <c r="D4">
        <v>408.9</v>
      </c>
      <c r="E4">
        <v>317.2</v>
      </c>
      <c r="F4">
        <v>317.8</v>
      </c>
    </row>
    <row r="5" spans="1:6" x14ac:dyDescent="0.3">
      <c r="A5" t="s">
        <v>19</v>
      </c>
      <c r="B5">
        <v>27.2</v>
      </c>
      <c r="C5">
        <v>45.1</v>
      </c>
      <c r="D5">
        <v>81.5</v>
      </c>
      <c r="E5">
        <v>38.5</v>
      </c>
      <c r="F5">
        <v>38.5</v>
      </c>
    </row>
    <row r="6" spans="1:6" x14ac:dyDescent="0.3">
      <c r="A6" t="s">
        <v>20</v>
      </c>
      <c r="B6">
        <v>212.3</v>
      </c>
      <c r="C6">
        <v>236.7</v>
      </c>
      <c r="D6">
        <v>327.5</v>
      </c>
      <c r="E6">
        <v>278.7</v>
      </c>
      <c r="F6">
        <v>279.3</v>
      </c>
    </row>
    <row r="7" spans="1:6" x14ac:dyDescent="0.3">
      <c r="A7" t="s">
        <v>27</v>
      </c>
      <c r="B7">
        <v>446.7</v>
      </c>
      <c r="C7">
        <v>484.5</v>
      </c>
      <c r="D7">
        <v>604.4</v>
      </c>
      <c r="E7">
        <v>489</v>
      </c>
      <c r="F7">
        <v>470</v>
      </c>
    </row>
    <row r="8" spans="1:6" x14ac:dyDescent="0.3">
      <c r="A8" t="s">
        <v>39</v>
      </c>
      <c r="B8">
        <v>69.8</v>
      </c>
      <c r="C8">
        <v>47.2</v>
      </c>
      <c r="D8">
        <v>90.9</v>
      </c>
      <c r="E8">
        <v>115.1</v>
      </c>
      <c r="F8">
        <v>142.19999999999999</v>
      </c>
    </row>
    <row r="9" spans="1:6" x14ac:dyDescent="0.3">
      <c r="A9" t="s">
        <v>110</v>
      </c>
      <c r="B9">
        <v>80.099999999999994</v>
      </c>
      <c r="C9">
        <v>60.7</v>
      </c>
      <c r="D9">
        <v>113.7</v>
      </c>
      <c r="E9">
        <v>150.30000000000001</v>
      </c>
      <c r="F9">
        <v>163.19999999999999</v>
      </c>
    </row>
    <row r="10" spans="1:6" x14ac:dyDescent="0.3">
      <c r="A10" t="s">
        <v>111</v>
      </c>
    </row>
    <row r="11" spans="1:6" x14ac:dyDescent="0.3">
      <c r="A11" t="s">
        <v>47</v>
      </c>
      <c r="B11">
        <v>-10.3</v>
      </c>
      <c r="C11">
        <v>-13.5</v>
      </c>
      <c r="D11">
        <v>-22.9</v>
      </c>
      <c r="E11">
        <v>-35.200000000000003</v>
      </c>
      <c r="F11">
        <v>-21</v>
      </c>
    </row>
    <row r="12" spans="1:6" x14ac:dyDescent="0.3">
      <c r="A12" t="s">
        <v>99</v>
      </c>
    </row>
    <row r="13" spans="1:6" x14ac:dyDescent="0.3">
      <c r="A13" t="s">
        <v>100</v>
      </c>
      <c r="B13">
        <v>10.3</v>
      </c>
      <c r="C13">
        <v>13.5</v>
      </c>
      <c r="D13">
        <v>22.9</v>
      </c>
      <c r="E13">
        <v>35.200000000000003</v>
      </c>
      <c r="F13">
        <v>21</v>
      </c>
    </row>
    <row r="14" spans="1:6" x14ac:dyDescent="0.3">
      <c r="A14" t="s">
        <v>48</v>
      </c>
      <c r="B14">
        <v>-4.0999999999999996</v>
      </c>
      <c r="C14">
        <v>7.6</v>
      </c>
      <c r="D14">
        <v>20</v>
      </c>
      <c r="E14">
        <v>74.3</v>
      </c>
      <c r="F14">
        <v>58.2</v>
      </c>
    </row>
    <row r="15" spans="1:6" x14ac:dyDescent="0.3">
      <c r="A15" t="s">
        <v>49</v>
      </c>
      <c r="B15">
        <v>-4.0999999999999996</v>
      </c>
      <c r="C15">
        <v>7.6</v>
      </c>
      <c r="D15">
        <v>20</v>
      </c>
      <c r="E15">
        <v>74.3</v>
      </c>
      <c r="F15">
        <v>58.2</v>
      </c>
    </row>
    <row r="16" spans="1:6" x14ac:dyDescent="0.3">
      <c r="A16" t="s">
        <v>50</v>
      </c>
      <c r="B16">
        <v>-3.9</v>
      </c>
      <c r="C16">
        <v>7.6</v>
      </c>
      <c r="D16">
        <v>19.7</v>
      </c>
      <c r="E16">
        <v>74</v>
      </c>
      <c r="F16">
        <v>57.9</v>
      </c>
    </row>
    <row r="17" spans="1:6" x14ac:dyDescent="0.3">
      <c r="A17" t="s">
        <v>51</v>
      </c>
      <c r="B17">
        <v>-0.2</v>
      </c>
      <c r="C17" t="s">
        <v>11</v>
      </c>
      <c r="D17">
        <v>-0.7</v>
      </c>
      <c r="E17">
        <v>-0.7</v>
      </c>
      <c r="F17">
        <v>-0.7</v>
      </c>
    </row>
    <row r="18" spans="1:6" x14ac:dyDescent="0.3">
      <c r="A18" t="s">
        <v>52</v>
      </c>
      <c r="B18" t="s">
        <v>11</v>
      </c>
      <c r="C18" t="s">
        <v>11</v>
      </c>
      <c r="D18">
        <v>1</v>
      </c>
      <c r="E18">
        <v>1</v>
      </c>
      <c r="F18">
        <v>1</v>
      </c>
    </row>
    <row r="19" spans="1:6" x14ac:dyDescent="0.3">
      <c r="A19" t="s">
        <v>53</v>
      </c>
      <c r="B19">
        <v>14.4</v>
      </c>
      <c r="C19">
        <v>5.9</v>
      </c>
      <c r="D19">
        <v>2.9</v>
      </c>
      <c r="E19">
        <v>-39.200000000000003</v>
      </c>
      <c r="F19">
        <v>-37.299999999999997</v>
      </c>
    </row>
    <row r="20" spans="1:6" x14ac:dyDescent="0.3">
      <c r="A20" t="s">
        <v>49</v>
      </c>
      <c r="B20">
        <v>-2.2999999999999998</v>
      </c>
      <c r="C20">
        <v>9.6</v>
      </c>
      <c r="D20">
        <v>0.9</v>
      </c>
      <c r="E20">
        <v>8.9</v>
      </c>
      <c r="F20">
        <v>0.1</v>
      </c>
    </row>
    <row r="21" spans="1:6" x14ac:dyDescent="0.3">
      <c r="A21" t="s">
        <v>51</v>
      </c>
      <c r="B21">
        <v>12.7</v>
      </c>
      <c r="C21">
        <v>21.1</v>
      </c>
      <c r="D21">
        <v>16</v>
      </c>
      <c r="E21">
        <v>15.9</v>
      </c>
      <c r="F21">
        <v>15.9</v>
      </c>
    </row>
    <row r="22" spans="1:6" x14ac:dyDescent="0.3">
      <c r="A22" t="s">
        <v>101</v>
      </c>
      <c r="B22">
        <v>15</v>
      </c>
      <c r="C22">
        <v>11.6</v>
      </c>
      <c r="D22">
        <v>15.1</v>
      </c>
      <c r="E22">
        <v>7</v>
      </c>
      <c r="F22">
        <v>15.8</v>
      </c>
    </row>
    <row r="23" spans="1:6" x14ac:dyDescent="0.3">
      <c r="A23" t="s">
        <v>54</v>
      </c>
      <c r="B23">
        <v>16.7</v>
      </c>
      <c r="C23">
        <v>-3.7</v>
      </c>
      <c r="D23">
        <v>2</v>
      </c>
      <c r="E23">
        <v>-48.1</v>
      </c>
      <c r="F23">
        <v>-37.4</v>
      </c>
    </row>
    <row r="24" spans="1:6" x14ac:dyDescent="0.3">
      <c r="A24" t="s">
        <v>51</v>
      </c>
      <c r="B24">
        <v>22.9</v>
      </c>
      <c r="C24" t="s">
        <v>11</v>
      </c>
      <c r="D24">
        <v>22</v>
      </c>
      <c r="E24" t="s">
        <v>11</v>
      </c>
      <c r="F24" t="s">
        <v>11</v>
      </c>
    </row>
    <row r="25" spans="1:6" x14ac:dyDescent="0.3">
      <c r="A25" t="s">
        <v>101</v>
      </c>
      <c r="B25">
        <v>6.3</v>
      </c>
      <c r="C25">
        <v>3.7</v>
      </c>
      <c r="D25">
        <v>20</v>
      </c>
      <c r="E25">
        <v>48.1</v>
      </c>
      <c r="F25">
        <v>37.4</v>
      </c>
    </row>
    <row r="26" spans="1:6" x14ac:dyDescent="0.3">
      <c r="A26" t="s">
        <v>112</v>
      </c>
    </row>
    <row r="34" spans="1:6" x14ac:dyDescent="0.3">
      <c r="A34" t="s">
        <v>0</v>
      </c>
      <c r="B34" t="s">
        <v>160</v>
      </c>
      <c r="C34" t="s">
        <v>161</v>
      </c>
      <c r="D34" t="s">
        <v>162</v>
      </c>
      <c r="E34" t="s">
        <v>124</v>
      </c>
      <c r="F34" t="s">
        <v>158</v>
      </c>
    </row>
    <row r="35" spans="1:6" x14ac:dyDescent="0.3">
      <c r="A35" t="s">
        <v>163</v>
      </c>
      <c r="B35">
        <v>48.6</v>
      </c>
      <c r="C35">
        <v>42.8</v>
      </c>
      <c r="D35">
        <v>48.2</v>
      </c>
      <c r="E35">
        <v>49.2</v>
      </c>
      <c r="F35">
        <v>52</v>
      </c>
    </row>
    <row r="36" spans="1:6" x14ac:dyDescent="0.3">
      <c r="A36" t="s">
        <v>164</v>
      </c>
    </row>
    <row r="37" spans="1:6" x14ac:dyDescent="0.3">
      <c r="A37" t="s">
        <v>8</v>
      </c>
      <c r="B37">
        <v>0.3</v>
      </c>
      <c r="C37">
        <v>0.3</v>
      </c>
      <c r="D37">
        <v>0.3</v>
      </c>
      <c r="E37">
        <v>0.3</v>
      </c>
      <c r="F37">
        <v>0.3</v>
      </c>
    </row>
    <row r="38" spans="1:6" x14ac:dyDescent="0.3">
      <c r="A38" t="s">
        <v>17</v>
      </c>
      <c r="B38">
        <v>173.4</v>
      </c>
      <c r="C38">
        <v>159.6</v>
      </c>
      <c r="D38">
        <v>176.4</v>
      </c>
      <c r="E38">
        <v>177</v>
      </c>
      <c r="F38">
        <v>181.7</v>
      </c>
    </row>
    <row r="39" spans="1:6" x14ac:dyDescent="0.3">
      <c r="A39" t="s">
        <v>165</v>
      </c>
      <c r="B39">
        <v>22.6</v>
      </c>
      <c r="C39">
        <v>24.8</v>
      </c>
      <c r="D39">
        <v>28.5</v>
      </c>
      <c r="E39">
        <v>28.7</v>
      </c>
      <c r="F39">
        <v>28.7</v>
      </c>
    </row>
    <row r="40" spans="1:6" x14ac:dyDescent="0.3">
      <c r="A40" t="s">
        <v>166</v>
      </c>
    </row>
    <row r="41" spans="1:6" x14ac:dyDescent="0.3">
      <c r="A41" t="s">
        <v>9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167</v>
      </c>
      <c r="B42">
        <v>244.8</v>
      </c>
      <c r="C42">
        <v>227.4</v>
      </c>
      <c r="D42">
        <v>253.3</v>
      </c>
      <c r="E42">
        <v>255.2</v>
      </c>
      <c r="F42">
        <v>262.60000000000002</v>
      </c>
    </row>
    <row r="44" spans="1:6" x14ac:dyDescent="0.3">
      <c r="A44" t="s">
        <v>0</v>
      </c>
      <c r="B44" t="s">
        <v>107</v>
      </c>
      <c r="C44" t="s">
        <v>168</v>
      </c>
      <c r="D44" t="s">
        <v>169</v>
      </c>
      <c r="E44" t="s">
        <v>105</v>
      </c>
      <c r="F44" t="s">
        <v>109</v>
      </c>
    </row>
    <row r="45" spans="1:6" x14ac:dyDescent="0.3">
      <c r="A45" t="s">
        <v>27</v>
      </c>
    </row>
    <row r="46" spans="1:6" x14ac:dyDescent="0.3">
      <c r="A46" t="s">
        <v>28</v>
      </c>
      <c r="B46">
        <v>160.19999999999999</v>
      </c>
      <c r="C46">
        <v>166.1</v>
      </c>
      <c r="D46">
        <v>177.3</v>
      </c>
      <c r="E46">
        <v>177.2</v>
      </c>
      <c r="F46">
        <v>176.5</v>
      </c>
    </row>
    <row r="47" spans="1:6" x14ac:dyDescent="0.3">
      <c r="A47" t="s">
        <v>30</v>
      </c>
      <c r="B47">
        <v>233.6</v>
      </c>
      <c r="C47">
        <v>251.9</v>
      </c>
      <c r="D47">
        <v>356</v>
      </c>
      <c r="E47">
        <v>253.7</v>
      </c>
      <c r="F47">
        <v>236.3</v>
      </c>
    </row>
    <row r="48" spans="1:6" x14ac:dyDescent="0.3">
      <c r="A48" t="s">
        <v>31</v>
      </c>
      <c r="B48">
        <v>4.0999999999999996</v>
      </c>
      <c r="C48">
        <v>7.2</v>
      </c>
      <c r="D48">
        <v>7.9</v>
      </c>
      <c r="E48">
        <v>7.6</v>
      </c>
      <c r="F48">
        <v>6.8</v>
      </c>
    </row>
    <row r="49" spans="1:6" x14ac:dyDescent="0.3">
      <c r="A49" t="s">
        <v>34</v>
      </c>
      <c r="B49">
        <v>0.8</v>
      </c>
      <c r="C49">
        <v>0.7</v>
      </c>
      <c r="D49">
        <v>1.3</v>
      </c>
      <c r="E49">
        <v>1.3</v>
      </c>
      <c r="F49">
        <v>1.3</v>
      </c>
    </row>
    <row r="50" spans="1:6" x14ac:dyDescent="0.3">
      <c r="A50" t="s">
        <v>18</v>
      </c>
      <c r="B50">
        <v>3.9</v>
      </c>
      <c r="C50">
        <v>4.4000000000000004</v>
      </c>
      <c r="D50">
        <v>4.3</v>
      </c>
      <c r="E50">
        <v>4.3</v>
      </c>
      <c r="F50">
        <v>4.3</v>
      </c>
    </row>
    <row r="51" spans="1:6" x14ac:dyDescent="0.3">
      <c r="A51" t="s">
        <v>37</v>
      </c>
      <c r="B51">
        <v>20.2</v>
      </c>
      <c r="C51">
        <v>30.6</v>
      </c>
      <c r="D51">
        <v>27.2</v>
      </c>
      <c r="E51">
        <v>21.2</v>
      </c>
      <c r="F51">
        <v>22</v>
      </c>
    </row>
    <row r="52" spans="1:6" x14ac:dyDescent="0.3">
      <c r="A52" t="s">
        <v>38</v>
      </c>
      <c r="B52">
        <v>23.8</v>
      </c>
      <c r="C52">
        <v>23.6</v>
      </c>
      <c r="D52">
        <v>30.3</v>
      </c>
      <c r="E52">
        <v>23.8</v>
      </c>
      <c r="F52">
        <v>22.8</v>
      </c>
    </row>
    <row r="53" spans="1:6" x14ac:dyDescent="0.3">
      <c r="A53" t="s">
        <v>167</v>
      </c>
      <c r="B53">
        <v>446.7</v>
      </c>
      <c r="C53">
        <v>484.5</v>
      </c>
      <c r="D53">
        <v>604.4</v>
      </c>
      <c r="E53">
        <v>489</v>
      </c>
      <c r="F53">
        <v>470</v>
      </c>
    </row>
    <row r="55" spans="1:6" x14ac:dyDescent="0.3">
      <c r="A55" t="s">
        <v>0</v>
      </c>
      <c r="B55" t="s">
        <v>107</v>
      </c>
      <c r="C55" t="s">
        <v>170</v>
      </c>
      <c r="D55" t="s">
        <v>171</v>
      </c>
      <c r="E55" t="s">
        <v>105</v>
      </c>
      <c r="F55" t="s">
        <v>109</v>
      </c>
    </row>
    <row r="57" spans="1:6" x14ac:dyDescent="0.3">
      <c r="A57" t="s">
        <v>42</v>
      </c>
      <c r="B57">
        <v>60.8</v>
      </c>
      <c r="C57">
        <v>30.6</v>
      </c>
      <c r="D57">
        <v>78.2</v>
      </c>
      <c r="E57">
        <v>116.6</v>
      </c>
      <c r="F57">
        <v>128.19999999999999</v>
      </c>
    </row>
    <row r="58" spans="1:6" x14ac:dyDescent="0.3">
      <c r="A58" t="s">
        <v>43</v>
      </c>
      <c r="B58">
        <v>13.4</v>
      </c>
      <c r="C58">
        <v>16.5</v>
      </c>
      <c r="D58">
        <v>13.6</v>
      </c>
      <c r="E58">
        <v>12.5</v>
      </c>
      <c r="F58">
        <v>15.7</v>
      </c>
    </row>
    <row r="59" spans="1:6" x14ac:dyDescent="0.3">
      <c r="A59" t="s">
        <v>44</v>
      </c>
      <c r="B59">
        <v>4.9000000000000004</v>
      </c>
      <c r="C59">
        <v>13.3</v>
      </c>
      <c r="D59">
        <v>20.5</v>
      </c>
      <c r="E59">
        <v>20.3</v>
      </c>
      <c r="F59">
        <v>18.3</v>
      </c>
    </row>
    <row r="60" spans="1:6" x14ac:dyDescent="0.3">
      <c r="A60" t="s">
        <v>46</v>
      </c>
      <c r="B60">
        <v>1</v>
      </c>
      <c r="C60">
        <v>0.3</v>
      </c>
      <c r="D60">
        <v>1.5</v>
      </c>
      <c r="E60">
        <v>0.9</v>
      </c>
      <c r="F60">
        <v>0.9</v>
      </c>
    </row>
    <row r="61" spans="1:6" x14ac:dyDescent="0.3">
      <c r="A61" t="s">
        <v>40</v>
      </c>
      <c r="B61">
        <v>80.099999999999994</v>
      </c>
      <c r="C61">
        <v>60.7</v>
      </c>
      <c r="D61">
        <v>113.7</v>
      </c>
      <c r="E61">
        <v>150.30000000000001</v>
      </c>
      <c r="F61">
        <v>163.19999999999999</v>
      </c>
    </row>
    <row r="65" spans="1:6" x14ac:dyDescent="0.3">
      <c r="A65" t="s">
        <v>0</v>
      </c>
      <c r="B65" t="s">
        <v>4</v>
      </c>
      <c r="C65" t="s">
        <v>6</v>
      </c>
      <c r="D65" t="s">
        <v>7</v>
      </c>
      <c r="E65" t="s">
        <v>57</v>
      </c>
      <c r="F65" t="s">
        <v>58</v>
      </c>
    </row>
    <row r="66" spans="1:6" x14ac:dyDescent="0.3">
      <c r="A66" t="s">
        <v>163</v>
      </c>
      <c r="B66">
        <v>48.6</v>
      </c>
      <c r="C66">
        <v>42.8</v>
      </c>
      <c r="D66">
        <v>48.2</v>
      </c>
      <c r="E66">
        <v>49.2</v>
      </c>
      <c r="F66">
        <v>52</v>
      </c>
    </row>
    <row r="67" spans="1:6" x14ac:dyDescent="0.3">
      <c r="A67" t="s">
        <v>164</v>
      </c>
    </row>
    <row r="68" spans="1:6" x14ac:dyDescent="0.3">
      <c r="A68" t="s">
        <v>8</v>
      </c>
      <c r="B68">
        <v>0.3</v>
      </c>
      <c r="C68">
        <v>0.3</v>
      </c>
      <c r="D68">
        <v>0.3</v>
      </c>
      <c r="E68">
        <v>0.3</v>
      </c>
      <c r="F68">
        <v>0.3</v>
      </c>
    </row>
    <row r="69" spans="1:6" x14ac:dyDescent="0.3">
      <c r="A69" t="s">
        <v>17</v>
      </c>
      <c r="B69">
        <v>173.4</v>
      </c>
      <c r="C69">
        <v>159.6</v>
      </c>
      <c r="D69">
        <v>176.4</v>
      </c>
      <c r="E69">
        <v>177</v>
      </c>
      <c r="F69">
        <v>181.7</v>
      </c>
    </row>
    <row r="70" spans="1:6" x14ac:dyDescent="0.3">
      <c r="A70" t="s">
        <v>165</v>
      </c>
      <c r="B70">
        <v>22.6</v>
      </c>
      <c r="C70">
        <v>24.8</v>
      </c>
      <c r="D70">
        <v>28.5</v>
      </c>
      <c r="E70">
        <v>28.7</v>
      </c>
      <c r="F70">
        <v>28.7</v>
      </c>
    </row>
    <row r="71" spans="1:6" x14ac:dyDescent="0.3">
      <c r="A71" t="s">
        <v>166</v>
      </c>
    </row>
    <row r="72" spans="1:6" x14ac:dyDescent="0.3">
      <c r="A72" t="s">
        <v>9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 t="s">
        <v>15</v>
      </c>
      <c r="B73">
        <v>244.8</v>
      </c>
      <c r="C73">
        <v>227.4</v>
      </c>
      <c r="D73">
        <v>253.3</v>
      </c>
      <c r="E73">
        <v>255.2</v>
      </c>
      <c r="F73">
        <v>262.60000000000002</v>
      </c>
    </row>
    <row r="76" spans="1:6" x14ac:dyDescent="0.3">
      <c r="A76" t="s">
        <v>0</v>
      </c>
      <c r="B76" t="s">
        <v>107</v>
      </c>
      <c r="C76" t="s">
        <v>157</v>
      </c>
      <c r="D76" t="s">
        <v>213</v>
      </c>
      <c r="E76" t="s">
        <v>105</v>
      </c>
      <c r="F76" t="s">
        <v>109</v>
      </c>
    </row>
    <row r="77" spans="1:6" x14ac:dyDescent="0.3">
      <c r="C77" t="s">
        <v>214</v>
      </c>
      <c r="D77" t="s">
        <v>157</v>
      </c>
    </row>
    <row r="78" spans="1:6" x14ac:dyDescent="0.3">
      <c r="C78" t="s">
        <v>176</v>
      </c>
      <c r="D78" t="s">
        <v>121</v>
      </c>
    </row>
    <row r="79" spans="1:6" x14ac:dyDescent="0.3">
      <c r="A79" t="s">
        <v>14</v>
      </c>
    </row>
    <row r="80" spans="1:6" x14ac:dyDescent="0.3">
      <c r="A80" t="s">
        <v>15</v>
      </c>
      <c r="B80">
        <v>244.8</v>
      </c>
      <c r="C80">
        <v>227.4</v>
      </c>
      <c r="D80">
        <v>253.3</v>
      </c>
      <c r="E80">
        <v>255.2</v>
      </c>
      <c r="F80">
        <v>262.60000000000002</v>
      </c>
    </row>
    <row r="81" spans="1:6" x14ac:dyDescent="0.3">
      <c r="A81" t="s">
        <v>18</v>
      </c>
      <c r="B81">
        <v>239.5</v>
      </c>
      <c r="C81">
        <v>281.8</v>
      </c>
      <c r="D81">
        <v>408.9</v>
      </c>
      <c r="E81">
        <v>317.2</v>
      </c>
      <c r="F81">
        <v>317.8</v>
      </c>
    </row>
    <row r="82" spans="1:6" x14ac:dyDescent="0.3">
      <c r="A82" t="s">
        <v>21</v>
      </c>
      <c r="B82">
        <v>32.200000000000003</v>
      </c>
      <c r="C82">
        <v>22.5</v>
      </c>
      <c r="D82">
        <v>33</v>
      </c>
      <c r="E82">
        <v>31.8</v>
      </c>
      <c r="F82">
        <v>31.8</v>
      </c>
    </row>
    <row r="83" spans="1:6" x14ac:dyDescent="0.3">
      <c r="A83" t="s">
        <v>167</v>
      </c>
      <c r="B83">
        <v>516.6</v>
      </c>
      <c r="C83">
        <v>531.70000000000005</v>
      </c>
      <c r="D83">
        <v>695.2</v>
      </c>
      <c r="E83">
        <v>604.1</v>
      </c>
      <c r="F83">
        <v>612.20000000000005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0DF-76DC-43E4-A30B-D25BB58579C9}">
  <dimension ref="A1:F67"/>
  <sheetViews>
    <sheetView workbookViewId="0">
      <selection activeCell="A67" sqref="A67"/>
    </sheetView>
  </sheetViews>
  <sheetFormatPr defaultRowHeight="14.4" x14ac:dyDescent="0.3"/>
  <cols>
    <col min="1" max="1" width="32.6640625" bestFit="1" customWidth="1"/>
    <col min="2" max="2" width="25" bestFit="1" customWidth="1"/>
    <col min="3" max="3" width="25.5546875" bestFit="1" customWidth="1"/>
    <col min="4" max="4" width="25" bestFit="1" customWidth="1"/>
    <col min="5" max="6" width="18.21875" bestFit="1" customWidth="1"/>
  </cols>
  <sheetData>
    <row r="1" spans="1:6" x14ac:dyDescent="0.3">
      <c r="A1" t="s">
        <v>0</v>
      </c>
      <c r="B1" t="s">
        <v>176</v>
      </c>
      <c r="C1" t="s">
        <v>114</v>
      </c>
      <c r="D1" t="s">
        <v>122</v>
      </c>
      <c r="E1" t="s">
        <v>158</v>
      </c>
      <c r="F1" t="s">
        <v>159</v>
      </c>
    </row>
    <row r="2" spans="1:6" x14ac:dyDescent="0.3">
      <c r="A2" t="s">
        <v>14</v>
      </c>
      <c r="B2">
        <v>562</v>
      </c>
      <c r="C2">
        <v>612.6</v>
      </c>
      <c r="D2">
        <v>741.9</v>
      </c>
      <c r="E2">
        <v>699.6</v>
      </c>
      <c r="F2">
        <v>714</v>
      </c>
    </row>
    <row r="3" spans="1:6" x14ac:dyDescent="0.3">
      <c r="A3" t="s">
        <v>106</v>
      </c>
      <c r="B3">
        <v>282.2</v>
      </c>
      <c r="C3">
        <v>299.39999999999998</v>
      </c>
      <c r="D3">
        <v>326.5</v>
      </c>
      <c r="E3">
        <v>333.2</v>
      </c>
      <c r="F3">
        <v>344.4</v>
      </c>
    </row>
    <row r="4" spans="1:6" x14ac:dyDescent="0.3">
      <c r="A4" t="s">
        <v>18</v>
      </c>
      <c r="B4">
        <v>279.8</v>
      </c>
      <c r="C4">
        <v>313.2</v>
      </c>
      <c r="D4">
        <v>415.4</v>
      </c>
      <c r="E4">
        <v>366.4</v>
      </c>
      <c r="F4">
        <v>369.5</v>
      </c>
    </row>
    <row r="5" spans="1:6" x14ac:dyDescent="0.3">
      <c r="A5" t="s">
        <v>19</v>
      </c>
      <c r="B5">
        <v>52.1</v>
      </c>
      <c r="C5">
        <v>58.2</v>
      </c>
      <c r="D5">
        <v>50.5</v>
      </c>
      <c r="E5">
        <v>38.5</v>
      </c>
      <c r="F5">
        <v>38.5</v>
      </c>
    </row>
    <row r="6" spans="1:6" x14ac:dyDescent="0.3">
      <c r="A6" t="s">
        <v>20</v>
      </c>
      <c r="B6">
        <v>227.7</v>
      </c>
      <c r="C6">
        <v>255</v>
      </c>
      <c r="D6">
        <v>364.9</v>
      </c>
      <c r="E6">
        <v>327.9</v>
      </c>
      <c r="F6">
        <v>331.1</v>
      </c>
    </row>
    <row r="7" spans="1:6" x14ac:dyDescent="0.3">
      <c r="A7" t="s">
        <v>27</v>
      </c>
      <c r="B7">
        <v>505.1</v>
      </c>
      <c r="C7">
        <v>514.5</v>
      </c>
      <c r="D7">
        <v>514.79999999999995</v>
      </c>
      <c r="E7">
        <v>444.9</v>
      </c>
      <c r="F7">
        <v>435.3</v>
      </c>
    </row>
    <row r="8" spans="1:6" x14ac:dyDescent="0.3">
      <c r="A8" t="s">
        <v>39</v>
      </c>
      <c r="B8">
        <v>56.8</v>
      </c>
      <c r="C8">
        <v>98</v>
      </c>
      <c r="D8">
        <v>227.1</v>
      </c>
      <c r="E8">
        <v>254.7</v>
      </c>
      <c r="F8">
        <v>278.7</v>
      </c>
    </row>
    <row r="9" spans="1:6" x14ac:dyDescent="0.3">
      <c r="A9" t="s">
        <v>40</v>
      </c>
      <c r="B9">
        <v>67.2</v>
      </c>
      <c r="C9">
        <v>92.9</v>
      </c>
      <c r="D9">
        <v>201.8</v>
      </c>
      <c r="E9">
        <v>233</v>
      </c>
      <c r="F9">
        <v>244</v>
      </c>
    </row>
    <row r="10" spans="1:6" x14ac:dyDescent="0.3">
      <c r="A10" t="s">
        <v>47</v>
      </c>
      <c r="B10">
        <v>-10.3</v>
      </c>
      <c r="C10">
        <v>5.0999999999999996</v>
      </c>
      <c r="D10">
        <v>25.3</v>
      </c>
      <c r="E10">
        <v>21.7</v>
      </c>
      <c r="F10">
        <v>34.700000000000003</v>
      </c>
    </row>
    <row r="11" spans="1:6" x14ac:dyDescent="0.3">
      <c r="A11" t="s">
        <v>99</v>
      </c>
    </row>
    <row r="12" spans="1:6" x14ac:dyDescent="0.3">
      <c r="A12" t="s">
        <v>100</v>
      </c>
      <c r="B12">
        <v>10.3</v>
      </c>
      <c r="C12">
        <v>-5.0999999999999996</v>
      </c>
      <c r="D12">
        <v>-25.3</v>
      </c>
      <c r="E12">
        <v>-21.7</v>
      </c>
      <c r="F12">
        <v>-34.700000000000003</v>
      </c>
    </row>
    <row r="13" spans="1:6" x14ac:dyDescent="0.3">
      <c r="A13" t="s">
        <v>48</v>
      </c>
      <c r="B13">
        <v>22.7</v>
      </c>
      <c r="C13">
        <v>-6.8</v>
      </c>
      <c r="D13">
        <v>19</v>
      </c>
      <c r="E13">
        <v>20.9</v>
      </c>
      <c r="F13">
        <v>11.5</v>
      </c>
    </row>
    <row r="14" spans="1:6" x14ac:dyDescent="0.3">
      <c r="A14" t="s">
        <v>49</v>
      </c>
      <c r="B14">
        <v>22.7</v>
      </c>
      <c r="C14">
        <v>-6.8</v>
      </c>
      <c r="D14">
        <v>19</v>
      </c>
      <c r="E14">
        <v>20.9</v>
      </c>
      <c r="F14">
        <v>11.5</v>
      </c>
    </row>
    <row r="15" spans="1:6" x14ac:dyDescent="0.3">
      <c r="A15" t="s">
        <v>50</v>
      </c>
      <c r="B15">
        <v>22.9</v>
      </c>
      <c r="C15">
        <v>-7.6</v>
      </c>
      <c r="D15">
        <v>27</v>
      </c>
      <c r="E15">
        <v>21</v>
      </c>
      <c r="F15">
        <v>11.5</v>
      </c>
    </row>
    <row r="16" spans="1:6" x14ac:dyDescent="0.3">
      <c r="A16" t="s">
        <v>51</v>
      </c>
      <c r="B16">
        <v>-0.2</v>
      </c>
      <c r="C16">
        <v>-0.2</v>
      </c>
      <c r="D16">
        <v>0.3</v>
      </c>
      <c r="E16">
        <v>-0.3</v>
      </c>
      <c r="F16">
        <v>-0.3</v>
      </c>
    </row>
    <row r="17" spans="1:6" x14ac:dyDescent="0.3">
      <c r="A17" t="s">
        <v>52</v>
      </c>
      <c r="B17" t="s">
        <v>11</v>
      </c>
      <c r="C17">
        <v>1</v>
      </c>
      <c r="D17">
        <v>-8.1999999999999993</v>
      </c>
      <c r="E17">
        <v>0.2</v>
      </c>
      <c r="F17">
        <v>0.2</v>
      </c>
    </row>
    <row r="18" spans="1:6" x14ac:dyDescent="0.3">
      <c r="A18" t="s">
        <v>53</v>
      </c>
      <c r="B18">
        <v>-12.4</v>
      </c>
      <c r="C18">
        <v>1.7</v>
      </c>
      <c r="D18">
        <v>-44.3</v>
      </c>
      <c r="E18">
        <v>-42.5</v>
      </c>
      <c r="F18">
        <v>-46.2</v>
      </c>
    </row>
    <row r="19" spans="1:6" x14ac:dyDescent="0.3">
      <c r="A19" t="s">
        <v>49</v>
      </c>
      <c r="B19">
        <v>0.1</v>
      </c>
      <c r="C19">
        <v>0.1</v>
      </c>
      <c r="D19">
        <v>3.1</v>
      </c>
      <c r="E19">
        <v>4.8</v>
      </c>
      <c r="F19">
        <v>5</v>
      </c>
    </row>
    <row r="20" spans="1:6" x14ac:dyDescent="0.3">
      <c r="A20" t="s">
        <v>51</v>
      </c>
      <c r="B20">
        <v>15.9</v>
      </c>
      <c r="C20">
        <v>15.2</v>
      </c>
      <c r="D20">
        <v>15.1</v>
      </c>
      <c r="E20">
        <v>20.100000000000001</v>
      </c>
      <c r="F20">
        <v>20.100000000000001</v>
      </c>
    </row>
    <row r="21" spans="1:6" x14ac:dyDescent="0.3">
      <c r="A21" t="s">
        <v>101</v>
      </c>
      <c r="B21">
        <v>15.8</v>
      </c>
      <c r="C21">
        <v>15.1</v>
      </c>
      <c r="D21">
        <v>12</v>
      </c>
      <c r="E21">
        <v>15.3</v>
      </c>
      <c r="F21">
        <v>15.1</v>
      </c>
    </row>
    <row r="22" spans="1:6" x14ac:dyDescent="0.3">
      <c r="A22" t="s">
        <v>54</v>
      </c>
      <c r="B22">
        <v>-12.5</v>
      </c>
      <c r="C22">
        <v>1.6</v>
      </c>
      <c r="D22">
        <v>-47.3</v>
      </c>
      <c r="E22">
        <v>-47.3</v>
      </c>
      <c r="F22">
        <v>-51.2</v>
      </c>
    </row>
    <row r="23" spans="1:6" x14ac:dyDescent="0.3">
      <c r="A23" t="s">
        <v>51</v>
      </c>
      <c r="B23" t="s">
        <v>11</v>
      </c>
      <c r="C23">
        <v>21</v>
      </c>
      <c r="D23" t="s">
        <v>11</v>
      </c>
      <c r="E23" t="s">
        <v>11</v>
      </c>
      <c r="F23" t="s">
        <v>11</v>
      </c>
    </row>
    <row r="24" spans="1:6" x14ac:dyDescent="0.3">
      <c r="A24" t="s">
        <v>101</v>
      </c>
      <c r="B24">
        <v>12.5</v>
      </c>
      <c r="C24">
        <v>19.399999999999999</v>
      </c>
      <c r="D24">
        <v>47.3</v>
      </c>
      <c r="E24">
        <v>47.3</v>
      </c>
      <c r="F24">
        <v>51.2</v>
      </c>
    </row>
    <row r="30" spans="1:6" x14ac:dyDescent="0.3">
      <c r="A30" t="s">
        <v>0</v>
      </c>
      <c r="B30" t="s">
        <v>176</v>
      </c>
      <c r="C30" t="s">
        <v>114</v>
      </c>
      <c r="D30" t="s">
        <v>115</v>
      </c>
      <c r="E30" t="s">
        <v>158</v>
      </c>
      <c r="F30" t="s">
        <v>159</v>
      </c>
    </row>
    <row r="31" spans="1:6" x14ac:dyDescent="0.3">
      <c r="A31" t="s">
        <v>27</v>
      </c>
    </row>
    <row r="32" spans="1:6" x14ac:dyDescent="0.3">
      <c r="A32" t="s">
        <v>28</v>
      </c>
      <c r="B32">
        <v>189.3</v>
      </c>
      <c r="C32">
        <v>162.80000000000001</v>
      </c>
      <c r="D32">
        <v>173.4</v>
      </c>
      <c r="E32">
        <v>173.3</v>
      </c>
      <c r="F32">
        <v>171.1</v>
      </c>
    </row>
    <row r="33" spans="1:6" x14ac:dyDescent="0.3">
      <c r="A33" t="s">
        <v>30</v>
      </c>
      <c r="B33">
        <v>221.5</v>
      </c>
      <c r="C33">
        <v>249</v>
      </c>
      <c r="D33">
        <v>239.5</v>
      </c>
      <c r="E33">
        <v>189.6</v>
      </c>
      <c r="F33">
        <v>183</v>
      </c>
    </row>
    <row r="34" spans="1:6" x14ac:dyDescent="0.3">
      <c r="A34" t="s">
        <v>31</v>
      </c>
      <c r="B34">
        <v>6.3</v>
      </c>
      <c r="C34">
        <v>7.8</v>
      </c>
      <c r="D34">
        <v>7.5</v>
      </c>
      <c r="E34">
        <v>6.9</v>
      </c>
      <c r="F34">
        <v>6.3</v>
      </c>
    </row>
    <row r="35" spans="1:6" x14ac:dyDescent="0.3">
      <c r="A35" t="s">
        <v>34</v>
      </c>
      <c r="B35">
        <v>1</v>
      </c>
      <c r="C35">
        <v>1.3</v>
      </c>
      <c r="D35">
        <v>1.3</v>
      </c>
      <c r="E35">
        <v>1.3</v>
      </c>
      <c r="F35">
        <v>1.3</v>
      </c>
    </row>
    <row r="36" spans="1:6" x14ac:dyDescent="0.3">
      <c r="A36" t="s">
        <v>18</v>
      </c>
      <c r="B36">
        <v>34.6</v>
      </c>
      <c r="C36">
        <v>22.6</v>
      </c>
      <c r="D36">
        <v>36.9</v>
      </c>
      <c r="E36">
        <v>18.8</v>
      </c>
      <c r="F36">
        <v>18.7</v>
      </c>
    </row>
    <row r="37" spans="1:6" x14ac:dyDescent="0.3">
      <c r="A37" t="s">
        <v>37</v>
      </c>
      <c r="B37">
        <v>25.8</v>
      </c>
      <c r="C37">
        <v>31.5</v>
      </c>
      <c r="D37">
        <v>26.5</v>
      </c>
      <c r="E37">
        <v>25.4</v>
      </c>
      <c r="F37">
        <v>25.4</v>
      </c>
    </row>
    <row r="38" spans="1:6" x14ac:dyDescent="0.3">
      <c r="A38" t="s">
        <v>38</v>
      </c>
      <c r="B38">
        <v>26.6</v>
      </c>
      <c r="C38">
        <v>39.700000000000003</v>
      </c>
      <c r="D38">
        <v>29.6</v>
      </c>
      <c r="E38">
        <v>29.6</v>
      </c>
      <c r="F38">
        <v>29.5</v>
      </c>
    </row>
    <row r="39" spans="1:6" x14ac:dyDescent="0.3">
      <c r="A39" t="s">
        <v>167</v>
      </c>
      <c r="B39">
        <v>505.1</v>
      </c>
      <c r="C39">
        <v>514.5</v>
      </c>
      <c r="D39">
        <v>514.79999999999995</v>
      </c>
      <c r="E39">
        <v>444.9</v>
      </c>
      <c r="F39">
        <v>435.3</v>
      </c>
    </row>
    <row r="40" spans="1:6" x14ac:dyDescent="0.3">
      <c r="A40" t="s">
        <v>119</v>
      </c>
    </row>
    <row r="41" spans="1:6" x14ac:dyDescent="0.3">
      <c r="A41" t="s">
        <v>172</v>
      </c>
      <c r="B41" t="s">
        <v>173</v>
      </c>
      <c r="D41" t="s">
        <v>174</v>
      </c>
      <c r="E41" t="s">
        <v>175</v>
      </c>
      <c r="F41" t="e" cm="1">
        <f t="array" ref="F41">-largest</f>
        <v>#NAME?</v>
      </c>
    </row>
    <row r="45" spans="1:6" x14ac:dyDescent="0.3">
      <c r="A45" t="s">
        <v>0</v>
      </c>
      <c r="B45" t="s">
        <v>1</v>
      </c>
      <c r="C45" t="s">
        <v>3</v>
      </c>
      <c r="D45" t="s">
        <v>4</v>
      </c>
      <c r="E45" t="s">
        <v>5</v>
      </c>
      <c r="F45" t="s">
        <v>6</v>
      </c>
    </row>
    <row r="46" spans="1:6" x14ac:dyDescent="0.3">
      <c r="A46" t="s">
        <v>181</v>
      </c>
    </row>
    <row r="47" spans="1:6" x14ac:dyDescent="0.3">
      <c r="B47" t="s">
        <v>176</v>
      </c>
      <c r="C47" t="s">
        <v>123</v>
      </c>
      <c r="D47" s="4" t="s">
        <v>122</v>
      </c>
      <c r="E47" t="s">
        <v>158</v>
      </c>
      <c r="F47" t="s">
        <v>159</v>
      </c>
    </row>
    <row r="49" spans="1:6" x14ac:dyDescent="0.3">
      <c r="A49" t="s">
        <v>93</v>
      </c>
      <c r="B49">
        <v>55.6</v>
      </c>
      <c r="C49">
        <v>51.1</v>
      </c>
      <c r="D49">
        <v>55.4</v>
      </c>
      <c r="E49">
        <v>56.5</v>
      </c>
      <c r="F49">
        <v>58.6</v>
      </c>
    </row>
    <row r="50" spans="1:6" x14ac:dyDescent="0.3">
      <c r="A50" t="s">
        <v>94</v>
      </c>
    </row>
    <row r="51" spans="1:6" x14ac:dyDescent="0.3">
      <c r="A51" t="s">
        <v>8</v>
      </c>
      <c r="B51">
        <v>0.3</v>
      </c>
      <c r="C51">
        <v>0.3</v>
      </c>
      <c r="D51">
        <v>0.4</v>
      </c>
      <c r="E51">
        <v>0.4</v>
      </c>
      <c r="F51">
        <v>0.5</v>
      </c>
    </row>
    <row r="52" spans="1:6" x14ac:dyDescent="0.3">
      <c r="A52" t="s">
        <v>17</v>
      </c>
      <c r="B52">
        <v>177.2</v>
      </c>
      <c r="C52">
        <v>189.9</v>
      </c>
      <c r="D52">
        <v>196.7</v>
      </c>
      <c r="E52">
        <v>207.8</v>
      </c>
      <c r="F52">
        <v>213.3</v>
      </c>
    </row>
    <row r="53" spans="1:6" x14ac:dyDescent="0.3">
      <c r="A53" t="s">
        <v>95</v>
      </c>
      <c r="B53">
        <v>24.9</v>
      </c>
      <c r="C53">
        <v>29.4</v>
      </c>
      <c r="D53">
        <v>30.6</v>
      </c>
      <c r="E53">
        <v>32.6</v>
      </c>
      <c r="F53">
        <v>34.4</v>
      </c>
    </row>
    <row r="54" spans="1:6" x14ac:dyDescent="0.3">
      <c r="A54" t="s">
        <v>96</v>
      </c>
    </row>
    <row r="55" spans="1:6" x14ac:dyDescent="0.3">
      <c r="A55" t="s">
        <v>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15</v>
      </c>
      <c r="B56">
        <v>257.89999999999998</v>
      </c>
      <c r="C56">
        <v>270.7</v>
      </c>
      <c r="D56">
        <v>283</v>
      </c>
      <c r="E56">
        <v>297.3</v>
      </c>
      <c r="F56">
        <v>306.7</v>
      </c>
    </row>
    <row r="60" spans="1:6" x14ac:dyDescent="0.3">
      <c r="A60" t="s">
        <v>0</v>
      </c>
      <c r="B60" t="s">
        <v>1</v>
      </c>
      <c r="C60" t="s">
        <v>3</v>
      </c>
      <c r="D60" t="s">
        <v>4</v>
      </c>
      <c r="E60" t="s">
        <v>5</v>
      </c>
      <c r="F60" t="s">
        <v>6</v>
      </c>
    </row>
    <row r="61" spans="1:6" x14ac:dyDescent="0.3">
      <c r="A61" t="s">
        <v>215</v>
      </c>
    </row>
    <row r="62" spans="1:6" ht="43.2" x14ac:dyDescent="0.3">
      <c r="B62" t="s">
        <v>113</v>
      </c>
      <c r="C62" t="s">
        <v>114</v>
      </c>
      <c r="D62" s="4" t="s">
        <v>115</v>
      </c>
      <c r="E62" t="s">
        <v>116</v>
      </c>
      <c r="F62" t="s">
        <v>117</v>
      </c>
    </row>
    <row r="63" spans="1:6" x14ac:dyDescent="0.3">
      <c r="A63" t="s">
        <v>14</v>
      </c>
    </row>
    <row r="64" spans="1:6" x14ac:dyDescent="0.3">
      <c r="A64" t="s">
        <v>15</v>
      </c>
      <c r="B64">
        <v>257.89999999999998</v>
      </c>
      <c r="C64">
        <v>270.7</v>
      </c>
      <c r="D64">
        <v>283</v>
      </c>
      <c r="E64">
        <v>297.3</v>
      </c>
      <c r="F64">
        <v>306.7</v>
      </c>
    </row>
    <row r="65" spans="1:6" x14ac:dyDescent="0.3">
      <c r="A65" t="s">
        <v>18</v>
      </c>
      <c r="B65">
        <v>279.8</v>
      </c>
      <c r="C65">
        <v>313.2</v>
      </c>
      <c r="D65">
        <v>415.4</v>
      </c>
      <c r="E65">
        <v>366.4</v>
      </c>
      <c r="F65">
        <v>369.5</v>
      </c>
    </row>
    <row r="66" spans="1:6" x14ac:dyDescent="0.3">
      <c r="A66" t="s">
        <v>21</v>
      </c>
      <c r="B66">
        <v>24.3</v>
      </c>
      <c r="C66">
        <v>28.7</v>
      </c>
      <c r="D66">
        <v>43.4</v>
      </c>
      <c r="E66">
        <v>35.799999999999997</v>
      </c>
      <c r="F66">
        <v>37.700000000000003</v>
      </c>
    </row>
    <row r="67" spans="1:6" x14ac:dyDescent="0.3">
      <c r="A67" t="s">
        <v>167</v>
      </c>
      <c r="B67">
        <v>562</v>
      </c>
      <c r="C67">
        <v>612.6</v>
      </c>
      <c r="D67">
        <v>741.9</v>
      </c>
      <c r="E67">
        <v>699.6</v>
      </c>
      <c r="F67">
        <v>714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7ED6-C1FA-4B23-8317-1F9EAF4EBEA7}">
  <dimension ref="A1:F53"/>
  <sheetViews>
    <sheetView topLeftCell="A10" workbookViewId="0">
      <selection activeCell="K30" sqref="K30"/>
    </sheetView>
  </sheetViews>
  <sheetFormatPr defaultRowHeight="14.4" x14ac:dyDescent="0.3"/>
  <cols>
    <col min="1" max="1" width="50.33203125" bestFit="1" customWidth="1"/>
  </cols>
  <sheetData>
    <row r="1" spans="1:6" x14ac:dyDescent="0.3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</row>
    <row r="2" spans="1:6" x14ac:dyDescent="0.3">
      <c r="A2" t="s">
        <v>14</v>
      </c>
      <c r="B2">
        <v>652.5</v>
      </c>
      <c r="C2">
        <v>681.4</v>
      </c>
      <c r="D2">
        <v>870.7</v>
      </c>
      <c r="E2">
        <v>820.1</v>
      </c>
      <c r="F2">
        <v>787.5</v>
      </c>
    </row>
    <row r="3" spans="1:6" x14ac:dyDescent="0.3">
      <c r="A3" t="s">
        <v>15</v>
      </c>
      <c r="B3">
        <v>285.5</v>
      </c>
      <c r="C3">
        <v>291.8</v>
      </c>
      <c r="D3">
        <v>327.7</v>
      </c>
      <c r="E3">
        <v>333.3</v>
      </c>
      <c r="F3">
        <v>335.6</v>
      </c>
    </row>
    <row r="4" spans="1:6" x14ac:dyDescent="0.3">
      <c r="A4" t="s">
        <v>16</v>
      </c>
      <c r="B4">
        <v>58</v>
      </c>
      <c r="C4">
        <v>63.8</v>
      </c>
      <c r="D4">
        <v>68.8</v>
      </c>
      <c r="E4">
        <v>72.900000000000006</v>
      </c>
      <c r="F4">
        <v>71.900000000000006</v>
      </c>
    </row>
    <row r="5" spans="1:6" x14ac:dyDescent="0.3">
      <c r="A5" t="s">
        <v>8</v>
      </c>
      <c r="B5">
        <v>0.4</v>
      </c>
      <c r="C5">
        <v>0.5</v>
      </c>
      <c r="D5">
        <v>0.5</v>
      </c>
      <c r="E5">
        <v>0.5</v>
      </c>
      <c r="F5">
        <v>0.6</v>
      </c>
    </row>
    <row r="6" spans="1:6" x14ac:dyDescent="0.3">
      <c r="A6" t="s">
        <v>17</v>
      </c>
      <c r="B6">
        <v>195.6</v>
      </c>
      <c r="C6">
        <v>196.6</v>
      </c>
      <c r="D6">
        <v>215.7</v>
      </c>
      <c r="E6">
        <v>223.4</v>
      </c>
      <c r="F6">
        <v>225</v>
      </c>
    </row>
    <row r="7" spans="1:6" x14ac:dyDescent="0.3">
      <c r="A7" t="s">
        <v>10</v>
      </c>
      <c r="B7">
        <v>31.6</v>
      </c>
      <c r="C7">
        <v>31</v>
      </c>
      <c r="D7">
        <v>42.7</v>
      </c>
      <c r="E7">
        <v>36.5</v>
      </c>
      <c r="F7">
        <v>38.200000000000003</v>
      </c>
    </row>
    <row r="8" spans="1:6" x14ac:dyDescent="0.3">
      <c r="A8" t="s">
        <v>9</v>
      </c>
      <c r="B8">
        <v>0</v>
      </c>
      <c r="C8" t="s">
        <v>11</v>
      </c>
      <c r="D8" t="s">
        <v>11</v>
      </c>
      <c r="E8" t="s">
        <v>11</v>
      </c>
      <c r="F8" t="s">
        <v>11</v>
      </c>
    </row>
    <row r="9" spans="1:6" x14ac:dyDescent="0.3">
      <c r="A9" t="s">
        <v>18</v>
      </c>
      <c r="B9">
        <v>336.4</v>
      </c>
      <c r="C9">
        <v>347.2</v>
      </c>
      <c r="D9">
        <v>488.5</v>
      </c>
      <c r="E9">
        <v>425.8</v>
      </c>
      <c r="F9">
        <v>391.9</v>
      </c>
    </row>
    <row r="10" spans="1:6" x14ac:dyDescent="0.3">
      <c r="A10" t="s">
        <v>19</v>
      </c>
      <c r="B10">
        <v>53.7</v>
      </c>
      <c r="C10">
        <v>48.2</v>
      </c>
      <c r="D10">
        <v>72.349999999999994</v>
      </c>
      <c r="E10">
        <v>63.5</v>
      </c>
      <c r="F10">
        <v>67.5</v>
      </c>
    </row>
    <row r="11" spans="1:6" x14ac:dyDescent="0.3">
      <c r="A11" t="s">
        <v>20</v>
      </c>
      <c r="B11">
        <v>282.7</v>
      </c>
      <c r="C11">
        <v>299</v>
      </c>
      <c r="D11">
        <v>416.1</v>
      </c>
      <c r="E11">
        <v>362.3</v>
      </c>
      <c r="F11">
        <v>324.39999999999998</v>
      </c>
    </row>
    <row r="12" spans="1:6" x14ac:dyDescent="0.3">
      <c r="A12" t="s">
        <v>21</v>
      </c>
      <c r="B12">
        <v>30.5</v>
      </c>
      <c r="C12">
        <v>42.3</v>
      </c>
      <c r="D12">
        <v>54.5</v>
      </c>
      <c r="E12">
        <v>61</v>
      </c>
      <c r="F12">
        <v>60</v>
      </c>
    </row>
    <row r="13" spans="1:6" x14ac:dyDescent="0.3">
      <c r="A13" t="s">
        <v>22</v>
      </c>
      <c r="B13">
        <v>11.4</v>
      </c>
      <c r="C13">
        <v>9.8000000000000007</v>
      </c>
      <c r="D13">
        <v>12.7</v>
      </c>
      <c r="E13">
        <v>15.1</v>
      </c>
      <c r="F13">
        <v>14.5</v>
      </c>
    </row>
    <row r="14" spans="1:6" x14ac:dyDescent="0.3">
      <c r="A14" t="s">
        <v>23</v>
      </c>
      <c r="B14">
        <v>16.399999999999999</v>
      </c>
      <c r="C14">
        <v>15.6</v>
      </c>
      <c r="D14">
        <v>21.2</v>
      </c>
      <c r="E14">
        <v>23.1</v>
      </c>
      <c r="F14">
        <v>24</v>
      </c>
    </row>
    <row r="15" spans="1:6" x14ac:dyDescent="0.3">
      <c r="A15" t="s">
        <v>24</v>
      </c>
      <c r="B15">
        <v>0.8</v>
      </c>
      <c r="C15">
        <v>0.9</v>
      </c>
      <c r="D15">
        <v>1.1000000000000001</v>
      </c>
      <c r="E15">
        <v>1.2</v>
      </c>
      <c r="F15">
        <v>1.3</v>
      </c>
    </row>
    <row r="16" spans="1:6" x14ac:dyDescent="0.3">
      <c r="A16" t="s">
        <v>25</v>
      </c>
      <c r="B16">
        <v>0.1</v>
      </c>
      <c r="C16">
        <v>0.4</v>
      </c>
      <c r="D16">
        <v>0</v>
      </c>
      <c r="E16" t="s">
        <v>11</v>
      </c>
      <c r="F16" t="s">
        <v>11</v>
      </c>
    </row>
    <row r="17" spans="1:6" x14ac:dyDescent="0.3">
      <c r="A17" t="s">
        <v>26</v>
      </c>
      <c r="B17">
        <v>1.9</v>
      </c>
      <c r="C17">
        <v>15.6</v>
      </c>
      <c r="D17">
        <v>19.600000000000001</v>
      </c>
      <c r="E17">
        <v>21.6</v>
      </c>
      <c r="F17">
        <v>20.100000000000001</v>
      </c>
    </row>
    <row r="18" spans="1:6" x14ac:dyDescent="0.3">
      <c r="A18" t="s">
        <v>27</v>
      </c>
      <c r="B18">
        <v>483.8</v>
      </c>
      <c r="C18">
        <v>484.3</v>
      </c>
      <c r="D18">
        <v>595.20000000000005</v>
      </c>
      <c r="E18">
        <v>515.20000000000005</v>
      </c>
      <c r="F18">
        <v>500.7</v>
      </c>
    </row>
    <row r="19" spans="1:6" x14ac:dyDescent="0.3">
      <c r="A19" t="s">
        <v>28</v>
      </c>
      <c r="B19">
        <v>163.5</v>
      </c>
      <c r="C19">
        <v>164.6</v>
      </c>
      <c r="D19">
        <v>189.4</v>
      </c>
      <c r="E19">
        <v>188.4</v>
      </c>
      <c r="F19">
        <v>187.8</v>
      </c>
    </row>
    <row r="20" spans="1:6" x14ac:dyDescent="0.3">
      <c r="A20" t="s">
        <v>12</v>
      </c>
      <c r="B20">
        <v>151.4</v>
      </c>
      <c r="C20">
        <v>152.9</v>
      </c>
      <c r="D20">
        <v>175.1</v>
      </c>
      <c r="E20">
        <v>174.1</v>
      </c>
      <c r="F20">
        <v>173.6</v>
      </c>
    </row>
    <row r="21" spans="1:6" x14ac:dyDescent="0.3">
      <c r="A21" t="s">
        <v>29</v>
      </c>
      <c r="B21">
        <v>12.1</v>
      </c>
      <c r="C21">
        <v>11.7</v>
      </c>
      <c r="D21">
        <v>14.3</v>
      </c>
      <c r="E21">
        <v>14.3</v>
      </c>
      <c r="F21">
        <v>14.3</v>
      </c>
    </row>
    <row r="22" spans="1:6" x14ac:dyDescent="0.3">
      <c r="A22" t="s">
        <v>30</v>
      </c>
      <c r="B22">
        <v>225.1</v>
      </c>
      <c r="C22">
        <v>224.9</v>
      </c>
      <c r="D22">
        <v>278.7</v>
      </c>
      <c r="E22">
        <v>233.2</v>
      </c>
      <c r="F22">
        <v>217.3</v>
      </c>
    </row>
    <row r="23" spans="1:6" x14ac:dyDescent="0.3">
      <c r="A23" t="s">
        <v>31</v>
      </c>
      <c r="B23">
        <v>8.1999999999999993</v>
      </c>
      <c r="C23">
        <v>7.4</v>
      </c>
      <c r="D23">
        <v>6.9</v>
      </c>
      <c r="E23">
        <v>6.1</v>
      </c>
      <c r="F23">
        <v>5.4</v>
      </c>
    </row>
    <row r="24" spans="1:6" x14ac:dyDescent="0.3">
      <c r="A24" t="s">
        <v>32</v>
      </c>
      <c r="B24">
        <v>6.2</v>
      </c>
      <c r="C24">
        <v>5.7</v>
      </c>
      <c r="D24">
        <v>4.8</v>
      </c>
      <c r="E24">
        <v>3.9</v>
      </c>
      <c r="F24">
        <v>3.2</v>
      </c>
    </row>
    <row r="25" spans="1:6" x14ac:dyDescent="0.3">
      <c r="A25" t="s">
        <v>33</v>
      </c>
      <c r="B25">
        <v>2</v>
      </c>
      <c r="C25">
        <v>1.7</v>
      </c>
      <c r="D25">
        <v>2.1</v>
      </c>
      <c r="E25">
        <v>2.1</v>
      </c>
      <c r="F25">
        <v>2.1</v>
      </c>
    </row>
    <row r="26" spans="1:6" x14ac:dyDescent="0.3">
      <c r="A26" t="s">
        <v>34</v>
      </c>
      <c r="B26">
        <v>1.2</v>
      </c>
      <c r="C26">
        <v>1.1000000000000001</v>
      </c>
      <c r="D26">
        <v>1.3</v>
      </c>
      <c r="E26">
        <v>1.3</v>
      </c>
      <c r="F26">
        <v>1.3</v>
      </c>
    </row>
    <row r="27" spans="1:6" x14ac:dyDescent="0.3">
      <c r="A27" t="s">
        <v>35</v>
      </c>
      <c r="B27">
        <v>0</v>
      </c>
      <c r="C27" t="s">
        <v>11</v>
      </c>
      <c r="D27" t="s">
        <v>11</v>
      </c>
      <c r="E27" t="s">
        <v>11</v>
      </c>
      <c r="F27" t="s">
        <v>11</v>
      </c>
    </row>
    <row r="28" spans="1:6" x14ac:dyDescent="0.3">
      <c r="A28" t="s">
        <v>36</v>
      </c>
      <c r="B28">
        <v>1.2</v>
      </c>
      <c r="C28">
        <v>1.1000000000000001</v>
      </c>
      <c r="D28">
        <v>1.3</v>
      </c>
      <c r="E28">
        <v>1.3</v>
      </c>
      <c r="F28">
        <v>1.3</v>
      </c>
    </row>
    <row r="29" spans="1:6" x14ac:dyDescent="0.3">
      <c r="A29" t="s">
        <v>18</v>
      </c>
      <c r="B29">
        <v>21.9</v>
      </c>
      <c r="C29">
        <v>29.9</v>
      </c>
      <c r="D29">
        <v>43.1</v>
      </c>
      <c r="E29">
        <v>21.8</v>
      </c>
      <c r="F29">
        <v>24.1</v>
      </c>
    </row>
    <row r="30" spans="1:6" x14ac:dyDescent="0.3">
      <c r="A30" t="s">
        <v>37</v>
      </c>
      <c r="B30">
        <v>28.2</v>
      </c>
      <c r="C30">
        <v>26.2</v>
      </c>
      <c r="D30">
        <v>28.4</v>
      </c>
      <c r="E30">
        <v>29.3</v>
      </c>
      <c r="F30">
        <v>30.3</v>
      </c>
    </row>
    <row r="31" spans="1:6" x14ac:dyDescent="0.3">
      <c r="A31" t="s">
        <v>38</v>
      </c>
      <c r="B31">
        <v>35.700000000000003</v>
      </c>
      <c r="C31">
        <v>30.2</v>
      </c>
      <c r="D31">
        <v>47.4</v>
      </c>
      <c r="E31">
        <v>35.200000000000003</v>
      </c>
      <c r="F31">
        <v>34.5</v>
      </c>
    </row>
    <row r="32" spans="1:6" x14ac:dyDescent="0.3">
      <c r="A32" t="s">
        <v>39</v>
      </c>
      <c r="B32">
        <v>168.7</v>
      </c>
      <c r="C32">
        <v>197.1</v>
      </c>
      <c r="D32">
        <v>275.5</v>
      </c>
      <c r="E32">
        <v>304.89999999999998</v>
      </c>
      <c r="F32">
        <v>286.89999999999998</v>
      </c>
    </row>
    <row r="33" spans="1:6" x14ac:dyDescent="0.3">
      <c r="A33" t="s">
        <v>40</v>
      </c>
      <c r="B33">
        <v>95.3</v>
      </c>
      <c r="C33">
        <v>153.6</v>
      </c>
      <c r="D33">
        <v>232.8</v>
      </c>
      <c r="E33">
        <v>250.2</v>
      </c>
      <c r="F33">
        <v>224.6</v>
      </c>
    </row>
    <row r="34" spans="1:6" x14ac:dyDescent="0.3">
      <c r="A34" t="s">
        <v>41</v>
      </c>
      <c r="B34">
        <v>95.1</v>
      </c>
      <c r="C34">
        <v>152</v>
      </c>
      <c r="D34">
        <v>229.3</v>
      </c>
      <c r="E34">
        <v>248.5</v>
      </c>
      <c r="F34">
        <v>222.9</v>
      </c>
    </row>
    <row r="35" spans="1:6" x14ac:dyDescent="0.3">
      <c r="A35" t="s">
        <v>42</v>
      </c>
      <c r="B35">
        <v>47.6</v>
      </c>
      <c r="C35">
        <v>107.7</v>
      </c>
      <c r="D35">
        <v>162.9</v>
      </c>
      <c r="E35">
        <v>203.1</v>
      </c>
      <c r="F35">
        <v>186.1</v>
      </c>
    </row>
    <row r="36" spans="1:6" x14ac:dyDescent="0.3">
      <c r="A36" t="s">
        <v>43</v>
      </c>
      <c r="B36">
        <v>43.7</v>
      </c>
      <c r="C36">
        <v>37.799999999999997</v>
      </c>
      <c r="D36">
        <v>33</v>
      </c>
      <c r="E36">
        <v>33.9</v>
      </c>
      <c r="F36">
        <v>26.3</v>
      </c>
    </row>
    <row r="37" spans="1:6" x14ac:dyDescent="0.3">
      <c r="A37" t="s">
        <v>44</v>
      </c>
      <c r="B37">
        <v>3.7</v>
      </c>
      <c r="C37">
        <v>6.5</v>
      </c>
      <c r="D37">
        <v>33.4</v>
      </c>
      <c r="E37">
        <v>11.4</v>
      </c>
      <c r="F37">
        <v>10.4</v>
      </c>
    </row>
    <row r="38" spans="1:6" x14ac:dyDescent="0.3">
      <c r="A38" t="s">
        <v>45</v>
      </c>
      <c r="B38">
        <v>0.2</v>
      </c>
      <c r="C38">
        <v>1.6</v>
      </c>
      <c r="D38">
        <v>3.5</v>
      </c>
      <c r="E38">
        <v>1.7</v>
      </c>
      <c r="F38">
        <v>1.7</v>
      </c>
    </row>
    <row r="39" spans="1:6" x14ac:dyDescent="0.3">
      <c r="A39" t="s">
        <v>46</v>
      </c>
      <c r="B39">
        <v>0.2</v>
      </c>
      <c r="C39">
        <v>1.6</v>
      </c>
      <c r="D39">
        <v>3.5</v>
      </c>
      <c r="E39">
        <v>1.7</v>
      </c>
      <c r="F39">
        <v>1.7</v>
      </c>
    </row>
    <row r="40" spans="1:6" x14ac:dyDescent="0.3">
      <c r="A40" t="s">
        <v>47</v>
      </c>
      <c r="B40">
        <v>73.400000000000006</v>
      </c>
      <c r="C40">
        <v>43.6</v>
      </c>
      <c r="D40">
        <v>42.8</v>
      </c>
      <c r="E40">
        <v>54.9</v>
      </c>
      <c r="F40">
        <v>62.4</v>
      </c>
    </row>
    <row r="41" spans="1:6" x14ac:dyDescent="0.3">
      <c r="A41" t="s">
        <v>60</v>
      </c>
      <c r="B41">
        <v>-73.400000000000006</v>
      </c>
      <c r="C41">
        <v>-43.6</v>
      </c>
      <c r="D41">
        <v>-42.8</v>
      </c>
      <c r="E41">
        <v>-54.9</v>
      </c>
      <c r="F41">
        <v>-62.4</v>
      </c>
    </row>
    <row r="42" spans="1:6" x14ac:dyDescent="0.3">
      <c r="A42" t="s">
        <v>48</v>
      </c>
      <c r="B42">
        <v>-74.099999999999994</v>
      </c>
      <c r="C42">
        <v>1.2</v>
      </c>
      <c r="D42">
        <v>4.2</v>
      </c>
      <c r="E42">
        <v>-6.2</v>
      </c>
      <c r="F42">
        <v>-13.4</v>
      </c>
    </row>
    <row r="43" spans="1:6" x14ac:dyDescent="0.3">
      <c r="A43" t="s">
        <v>49</v>
      </c>
      <c r="B43">
        <v>-74.099999999999994</v>
      </c>
      <c r="C43">
        <v>1.2</v>
      </c>
      <c r="D43">
        <v>4.2</v>
      </c>
      <c r="E43">
        <v>-6.2</v>
      </c>
      <c r="F43">
        <v>-13.4</v>
      </c>
    </row>
    <row r="44" spans="1:6" x14ac:dyDescent="0.3">
      <c r="A44" t="s">
        <v>50</v>
      </c>
      <c r="B44">
        <v>-65.3</v>
      </c>
      <c r="C44">
        <v>-0.8</v>
      </c>
      <c r="D44">
        <v>0</v>
      </c>
      <c r="E44">
        <v>0</v>
      </c>
      <c r="F44">
        <v>-7.2</v>
      </c>
    </row>
    <row r="45" spans="1:6" x14ac:dyDescent="0.3">
      <c r="A45" t="s">
        <v>51</v>
      </c>
      <c r="B45">
        <v>0.4</v>
      </c>
      <c r="C45">
        <v>8</v>
      </c>
      <c r="D45">
        <v>13.4</v>
      </c>
      <c r="E45">
        <v>3</v>
      </c>
      <c r="F45">
        <v>3</v>
      </c>
    </row>
    <row r="46" spans="1:6" x14ac:dyDescent="0.3">
      <c r="A46" t="s">
        <v>52</v>
      </c>
      <c r="B46">
        <v>-9.3000000000000007</v>
      </c>
      <c r="C46">
        <v>-5.9</v>
      </c>
      <c r="D46">
        <v>-9.1999999999999993</v>
      </c>
      <c r="E46">
        <v>-9.1999999999999993</v>
      </c>
      <c r="F46">
        <v>-9.1999999999999993</v>
      </c>
    </row>
    <row r="47" spans="1:6" x14ac:dyDescent="0.3">
      <c r="A47" t="s">
        <v>53</v>
      </c>
      <c r="B47">
        <v>0.7</v>
      </c>
      <c r="C47">
        <v>-44.8</v>
      </c>
      <c r="D47">
        <v>-46.9</v>
      </c>
      <c r="E47">
        <v>-48.7</v>
      </c>
      <c r="F47">
        <v>-49</v>
      </c>
    </row>
    <row r="48" spans="1:6" x14ac:dyDescent="0.3">
      <c r="A48" t="s">
        <v>49</v>
      </c>
      <c r="B48">
        <v>0</v>
      </c>
      <c r="C48">
        <v>3</v>
      </c>
      <c r="D48">
        <v>-0.8</v>
      </c>
      <c r="E48">
        <v>1.4</v>
      </c>
      <c r="F48">
        <v>1.2</v>
      </c>
    </row>
    <row r="49" spans="1:6" x14ac:dyDescent="0.3">
      <c r="A49" t="s">
        <v>51</v>
      </c>
      <c r="B49">
        <v>15.1</v>
      </c>
      <c r="C49">
        <v>15</v>
      </c>
      <c r="D49">
        <v>15</v>
      </c>
      <c r="E49">
        <v>15</v>
      </c>
      <c r="F49">
        <v>15</v>
      </c>
    </row>
    <row r="50" spans="1:6" x14ac:dyDescent="0.3">
      <c r="A50" t="s">
        <v>101</v>
      </c>
      <c r="B50">
        <v>15.1</v>
      </c>
      <c r="C50">
        <v>12</v>
      </c>
      <c r="D50">
        <v>15.8</v>
      </c>
      <c r="E50">
        <v>13.6</v>
      </c>
      <c r="F50">
        <v>13.8</v>
      </c>
    </row>
    <row r="51" spans="1:6" x14ac:dyDescent="0.3">
      <c r="A51" t="s">
        <v>54</v>
      </c>
      <c r="B51">
        <v>0.7</v>
      </c>
      <c r="C51">
        <v>-47.8</v>
      </c>
      <c r="D51">
        <v>-46.1</v>
      </c>
      <c r="E51">
        <v>-50.1</v>
      </c>
      <c r="F51">
        <v>-50.1</v>
      </c>
    </row>
    <row r="52" spans="1:6" x14ac:dyDescent="0.3">
      <c r="A52" t="s">
        <v>51</v>
      </c>
      <c r="B52">
        <v>21</v>
      </c>
      <c r="C52" t="s">
        <v>11</v>
      </c>
      <c r="D52" t="s">
        <v>11</v>
      </c>
      <c r="E52" t="s">
        <v>11</v>
      </c>
      <c r="F52" t="s">
        <v>11</v>
      </c>
    </row>
    <row r="53" spans="1:6" x14ac:dyDescent="0.3">
      <c r="A53" t="s">
        <v>101</v>
      </c>
      <c r="B53">
        <v>20.3</v>
      </c>
      <c r="C53">
        <v>47.8</v>
      </c>
      <c r="D53">
        <v>46.1</v>
      </c>
      <c r="E53">
        <v>50.1</v>
      </c>
      <c r="F53">
        <v>50.1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64BF-20C6-43EF-997B-0098EDF871D9}">
  <dimension ref="A1:K48"/>
  <sheetViews>
    <sheetView topLeftCell="A2" workbookViewId="0">
      <selection activeCell="A2" sqref="A2:A48"/>
    </sheetView>
  </sheetViews>
  <sheetFormatPr defaultRowHeight="14.4" x14ac:dyDescent="0.3"/>
  <cols>
    <col min="1" max="1" width="50.88671875" bestFit="1" customWidth="1"/>
    <col min="2" max="6" width="10.6640625" bestFit="1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11" x14ac:dyDescent="0.3">
      <c r="A2" t="s">
        <v>14</v>
      </c>
      <c r="B2">
        <v>735.1</v>
      </c>
      <c r="C2">
        <v>840</v>
      </c>
      <c r="D2">
        <v>929.7</v>
      </c>
      <c r="E2">
        <v>911.5</v>
      </c>
      <c r="F2">
        <v>900.4</v>
      </c>
      <c r="H2" s="1">
        <f>Table140__Page_96[[#This Row],[Column4]]/Table140__Page_96[[#This Row],[Column2]]-1</f>
        <v>0.14270167324173588</v>
      </c>
      <c r="I2" s="1">
        <f>Table140__Page_96[[#This Row],[Column5]]/Table140__Page_96[[#This Row],[Column4]]-1</f>
        <v>0.10678571428571426</v>
      </c>
      <c r="J2" s="1">
        <f>Table140__Page_96[[#This Row],[Column6]]/Table140__Page_96[[#This Row],[Column5]]-1</f>
        <v>-1.9576207378724342E-2</v>
      </c>
      <c r="K2" s="1">
        <f>Table140__Page_96[[#This Row],[Column7]]/Table140__Page_96[[#This Row],[Column6]]-1</f>
        <v>-1.2177729018102101E-2</v>
      </c>
    </row>
    <row r="3" spans="1:11" x14ac:dyDescent="0.3">
      <c r="A3" t="s">
        <v>15</v>
      </c>
      <c r="B3">
        <v>300</v>
      </c>
      <c r="C3">
        <v>335.2</v>
      </c>
      <c r="D3">
        <v>347.1</v>
      </c>
      <c r="E3">
        <v>379.3</v>
      </c>
      <c r="F3">
        <v>390.9</v>
      </c>
      <c r="H3" s="1">
        <f>Table140__Page_96[[#This Row],[Column4]]/Table140__Page_96[[#This Row],[Column2]]-1</f>
        <v>0.11733333333333329</v>
      </c>
      <c r="I3" s="1">
        <f>Table140__Page_96[[#This Row],[Column5]]/Table140__Page_96[[#This Row],[Column4]]-1</f>
        <v>3.5501193317422519E-2</v>
      </c>
      <c r="J3" s="1">
        <f>Table140__Page_96[[#This Row],[Column6]]/Table140__Page_96[[#This Row],[Column5]]-1</f>
        <v>9.276865456640726E-2</v>
      </c>
      <c r="K3" s="1">
        <f>Table140__Page_96[[#This Row],[Column7]]/Table140__Page_96[[#This Row],[Column6]]-1</f>
        <v>3.0582652254152354E-2</v>
      </c>
    </row>
    <row r="4" spans="1:11" x14ac:dyDescent="0.3">
      <c r="A4" t="s">
        <v>16</v>
      </c>
      <c r="B4">
        <v>66.3</v>
      </c>
      <c r="C4">
        <v>76.599999999999994</v>
      </c>
      <c r="D4">
        <v>78.7</v>
      </c>
      <c r="E4">
        <v>92.7</v>
      </c>
      <c r="F4">
        <v>97.5</v>
      </c>
      <c r="H4" s="1">
        <f>Table140__Page_96[[#This Row],[Column4]]/Table140__Page_96[[#This Row],[Column2]]-1</f>
        <v>0.15535444947209642</v>
      </c>
      <c r="I4" s="1">
        <f>Table140__Page_96[[#This Row],[Column5]]/Table140__Page_96[[#This Row],[Column4]]-1</f>
        <v>2.7415143603133352E-2</v>
      </c>
      <c r="J4" s="1">
        <f>Table140__Page_96[[#This Row],[Column6]]/Table140__Page_96[[#This Row],[Column5]]-1</f>
        <v>0.17789072426937746</v>
      </c>
      <c r="K4" s="1">
        <f>Table140__Page_96[[#This Row],[Column7]]/Table140__Page_96[[#This Row],[Column6]]-1</f>
        <v>5.1779935275080957E-2</v>
      </c>
    </row>
    <row r="5" spans="1:11" x14ac:dyDescent="0.3">
      <c r="A5" t="s">
        <v>8</v>
      </c>
      <c r="B5">
        <v>0.5</v>
      </c>
      <c r="C5">
        <v>0.4</v>
      </c>
      <c r="D5">
        <v>0.4</v>
      </c>
      <c r="E5">
        <v>0.5</v>
      </c>
      <c r="F5">
        <v>0.5</v>
      </c>
      <c r="H5" s="1">
        <f>Table140__Page_96[[#This Row],[Column4]]/Table140__Page_96[[#This Row],[Column2]]-1</f>
        <v>-0.19999999999999996</v>
      </c>
      <c r="I5" s="1">
        <f>Table140__Page_96[[#This Row],[Column5]]/Table140__Page_96[[#This Row],[Column4]]-1</f>
        <v>0</v>
      </c>
      <c r="J5" s="1">
        <f>Table140__Page_96[[#This Row],[Column6]]/Table140__Page_96[[#This Row],[Column5]]-1</f>
        <v>0.25</v>
      </c>
      <c r="K5" s="1">
        <f>Table140__Page_96[[#This Row],[Column7]]/Table140__Page_96[[#This Row],[Column6]]-1</f>
        <v>0</v>
      </c>
    </row>
    <row r="6" spans="1:11" x14ac:dyDescent="0.3">
      <c r="A6" t="s">
        <v>17</v>
      </c>
      <c r="B6">
        <v>202.7</v>
      </c>
      <c r="C6">
        <v>216.9</v>
      </c>
      <c r="D6">
        <v>228.3</v>
      </c>
      <c r="E6">
        <v>240.6</v>
      </c>
      <c r="F6">
        <v>245.2</v>
      </c>
      <c r="H6" s="1">
        <f>Table140__Page_96[[#This Row],[Column4]]/Table140__Page_96[[#This Row],[Column2]]-1</f>
        <v>7.0054267390232017E-2</v>
      </c>
      <c r="I6" s="1">
        <f>Table140__Page_96[[#This Row],[Column5]]/Table140__Page_96[[#This Row],[Column4]]-1</f>
        <v>5.2558782849239316E-2</v>
      </c>
      <c r="J6" s="1">
        <f>Table140__Page_96[[#This Row],[Column6]]/Table140__Page_96[[#This Row],[Column5]]-1</f>
        <v>5.3876478318002574E-2</v>
      </c>
      <c r="K6" s="1">
        <f>Table140__Page_96[[#This Row],[Column7]]/Table140__Page_96[[#This Row],[Column6]]-1</f>
        <v>1.9118869492934287E-2</v>
      </c>
    </row>
    <row r="7" spans="1:11" x14ac:dyDescent="0.3">
      <c r="A7" t="s">
        <v>10</v>
      </c>
      <c r="B7">
        <v>30.6</v>
      </c>
      <c r="C7">
        <v>41.3</v>
      </c>
      <c r="D7">
        <v>39.700000000000003</v>
      </c>
      <c r="E7">
        <v>45.5</v>
      </c>
      <c r="F7">
        <v>47.7</v>
      </c>
      <c r="H7" s="1">
        <f>Table140__Page_96[[#This Row],[Column4]]/Table140__Page_96[[#This Row],[Column2]]-1</f>
        <v>0.34967320261437895</v>
      </c>
      <c r="I7" s="1">
        <f>Table140__Page_96[[#This Row],[Column5]]/Table140__Page_96[[#This Row],[Column4]]-1</f>
        <v>-3.8740920096852149E-2</v>
      </c>
      <c r="J7" s="1">
        <f>Table140__Page_96[[#This Row],[Column6]]/Table140__Page_96[[#This Row],[Column5]]-1</f>
        <v>0.14609571788413089</v>
      </c>
      <c r="K7" s="1">
        <f>Table140__Page_96[[#This Row],[Column7]]/Table140__Page_96[[#This Row],[Column6]]-1</f>
        <v>4.8351648351648402E-2</v>
      </c>
    </row>
    <row r="8" spans="1:11" x14ac:dyDescent="0.3">
      <c r="A8" t="s">
        <v>9</v>
      </c>
      <c r="B8">
        <v>0</v>
      </c>
      <c r="C8" t="s">
        <v>11</v>
      </c>
      <c r="D8" t="s">
        <v>11</v>
      </c>
      <c r="E8" t="s">
        <v>11</v>
      </c>
      <c r="F8" t="s">
        <v>11</v>
      </c>
      <c r="H8" s="1" t="s">
        <v>126</v>
      </c>
      <c r="I8" s="1" t="e">
        <f>Table140__Page_96[[#This Row],[Column5]]/Table140__Page_96[[#This Row],[Column4]]-1</f>
        <v>#VALUE!</v>
      </c>
      <c r="J8" s="1" t="e">
        <f>Table140__Page_96[[#This Row],[Column6]]/Table140__Page_96[[#This Row],[Column5]]-1</f>
        <v>#VALUE!</v>
      </c>
      <c r="K8" s="1" t="e">
        <f>Table140__Page_96[[#This Row],[Column7]]/Table140__Page_96[[#This Row],[Column6]]-1</f>
        <v>#VALUE!</v>
      </c>
    </row>
    <row r="9" spans="1:11" x14ac:dyDescent="0.3">
      <c r="A9" t="s">
        <v>18</v>
      </c>
      <c r="B9">
        <v>386.9</v>
      </c>
      <c r="C9">
        <v>447.7</v>
      </c>
      <c r="D9">
        <v>509.2</v>
      </c>
      <c r="E9">
        <v>449.5</v>
      </c>
      <c r="F9">
        <v>427.5</v>
      </c>
      <c r="H9" s="1">
        <f>Table140__Page_96[[#This Row],[Column4]]/Table140__Page_96[[#This Row],[Column2]]-1</f>
        <v>0.15714654949599383</v>
      </c>
      <c r="I9" s="1">
        <f>Table140__Page_96[[#This Row],[Column5]]/Table140__Page_96[[#This Row],[Column4]]-1</f>
        <v>0.13736877373241008</v>
      </c>
      <c r="J9" s="1">
        <f>Table140__Page_96[[#This Row],[Column6]]/Table140__Page_96[[#This Row],[Column5]]-1</f>
        <v>-0.11724273369992144</v>
      </c>
      <c r="K9" s="1">
        <f>Table140__Page_96[[#This Row],[Column7]]/Table140__Page_96[[#This Row],[Column6]]-1</f>
        <v>-4.8943270300333741E-2</v>
      </c>
    </row>
    <row r="10" spans="1:11" x14ac:dyDescent="0.3">
      <c r="A10" t="s">
        <v>19</v>
      </c>
      <c r="B10">
        <v>70.7</v>
      </c>
      <c r="C10">
        <v>99.5</v>
      </c>
      <c r="D10">
        <v>120.2</v>
      </c>
      <c r="E10">
        <v>82.2</v>
      </c>
      <c r="F10">
        <v>81.3</v>
      </c>
      <c r="H10" s="1">
        <f>Table140__Page_96[[#This Row],[Column4]]/Table140__Page_96[[#This Row],[Column2]]-1</f>
        <v>0.40735502121640721</v>
      </c>
      <c r="I10" s="1">
        <f>Table140__Page_96[[#This Row],[Column5]]/Table140__Page_96[[#This Row],[Column4]]-1</f>
        <v>0.20804020100502507</v>
      </c>
      <c r="J10" s="1">
        <f>Table140__Page_96[[#This Row],[Column6]]/Table140__Page_96[[#This Row],[Column5]]-1</f>
        <v>-0.31613976705490843</v>
      </c>
      <c r="K10" s="1">
        <f>Table140__Page_96[[#This Row],[Column7]]/Table140__Page_96[[#This Row],[Column6]]-1</f>
        <v>-1.0948905109489093E-2</v>
      </c>
    </row>
    <row r="11" spans="1:11" x14ac:dyDescent="0.3">
      <c r="A11" t="s">
        <v>20</v>
      </c>
      <c r="B11">
        <v>316.2</v>
      </c>
      <c r="C11">
        <v>348.2</v>
      </c>
      <c r="D11">
        <v>389</v>
      </c>
      <c r="E11">
        <v>367.3</v>
      </c>
      <c r="F11">
        <v>346.2</v>
      </c>
      <c r="H11" s="1">
        <f>Table140__Page_96[[#This Row],[Column4]]/Table140__Page_96[[#This Row],[Column2]]-1</f>
        <v>0.10120177103099315</v>
      </c>
      <c r="I11" s="1">
        <f>Table140__Page_96[[#This Row],[Column5]]/Table140__Page_96[[#This Row],[Column4]]-1</f>
        <v>0.11717403790924763</v>
      </c>
      <c r="J11" s="1">
        <f>Table140__Page_96[[#This Row],[Column6]]/Table140__Page_96[[#This Row],[Column5]]-1</f>
        <v>-5.578406169665806E-2</v>
      </c>
      <c r="K11" s="1">
        <f>Table140__Page_96[[#This Row],[Column7]]/Table140__Page_96[[#This Row],[Column6]]-1</f>
        <v>-5.7446229240402991E-2</v>
      </c>
    </row>
    <row r="12" spans="1:11" x14ac:dyDescent="0.3">
      <c r="A12" t="s">
        <v>21</v>
      </c>
      <c r="B12">
        <v>48.2</v>
      </c>
      <c r="C12">
        <v>57.1</v>
      </c>
      <c r="D12">
        <v>73.400000000000006</v>
      </c>
      <c r="E12">
        <v>82.7</v>
      </c>
      <c r="F12">
        <v>82</v>
      </c>
      <c r="H12" s="1">
        <f>Table140__Page_96[[#This Row],[Column4]]/Table140__Page_96[[#This Row],[Column2]]-1</f>
        <v>0.18464730290456433</v>
      </c>
      <c r="I12" s="1">
        <f>Table140__Page_96[[#This Row],[Column5]]/Table140__Page_96[[#This Row],[Column4]]-1</f>
        <v>0.28546409807355522</v>
      </c>
      <c r="J12" s="1">
        <f>Table140__Page_96[[#This Row],[Column6]]/Table140__Page_96[[#This Row],[Column5]]-1</f>
        <v>0.12670299727520429</v>
      </c>
      <c r="K12" s="1">
        <f>Table140__Page_96[[#This Row],[Column7]]/Table140__Page_96[[#This Row],[Column6]]-1</f>
        <v>-8.46432889963733E-3</v>
      </c>
    </row>
    <row r="13" spans="1:11" x14ac:dyDescent="0.3">
      <c r="A13" t="s">
        <v>27</v>
      </c>
      <c r="B13">
        <v>492</v>
      </c>
      <c r="C13">
        <v>526.20000000000005</v>
      </c>
      <c r="D13">
        <v>621.9</v>
      </c>
      <c r="E13">
        <v>545.29999999999995</v>
      </c>
      <c r="F13">
        <v>555.70000000000005</v>
      </c>
      <c r="H13" s="1">
        <f>Table140__Page_96[[#This Row],[Column4]]/Table140__Page_96[[#This Row],[Column2]]-1</f>
        <v>6.9512195121951281E-2</v>
      </c>
      <c r="I13" s="1">
        <f>Table140__Page_96[[#This Row],[Column5]]/Table140__Page_96[[#This Row],[Column4]]-1</f>
        <v>0.18187001140250847</v>
      </c>
      <c r="J13" s="1">
        <f>Table140__Page_96[[#This Row],[Column6]]/Table140__Page_96[[#This Row],[Column5]]-1</f>
        <v>-0.12317092780189742</v>
      </c>
      <c r="K13" s="1">
        <f>Table140__Page_96[[#This Row],[Column7]]/Table140__Page_96[[#This Row],[Column6]]-1</f>
        <v>1.9072070419952514E-2</v>
      </c>
    </row>
    <row r="14" spans="1:11" x14ac:dyDescent="0.3">
      <c r="A14" t="s">
        <v>28</v>
      </c>
      <c r="B14">
        <v>164.7</v>
      </c>
      <c r="C14">
        <v>180.4</v>
      </c>
      <c r="D14">
        <v>192.9</v>
      </c>
      <c r="E14">
        <v>193.2</v>
      </c>
      <c r="F14">
        <v>193.7</v>
      </c>
      <c r="H14" s="1">
        <f>Table140__Page_96[[#This Row],[Column4]]/Table140__Page_96[[#This Row],[Column2]]-1</f>
        <v>9.5324833029751144E-2</v>
      </c>
      <c r="I14" s="1">
        <f>Table140__Page_96[[#This Row],[Column5]]/Table140__Page_96[[#This Row],[Column4]]-1</f>
        <v>6.9290465631929088E-2</v>
      </c>
      <c r="J14" s="1">
        <f>Table140__Page_96[[#This Row],[Column6]]/Table140__Page_96[[#This Row],[Column5]]-1</f>
        <v>1.5552099533435726E-3</v>
      </c>
      <c r="K14" s="1">
        <f>Table140__Page_96[[#This Row],[Column7]]/Table140__Page_96[[#This Row],[Column6]]-1</f>
        <v>2.5879917184266077E-3</v>
      </c>
    </row>
    <row r="15" spans="1:11" x14ac:dyDescent="0.3">
      <c r="A15" t="s">
        <v>12</v>
      </c>
      <c r="B15">
        <v>152.9</v>
      </c>
      <c r="C15">
        <v>167.4</v>
      </c>
      <c r="D15">
        <v>178</v>
      </c>
      <c r="E15">
        <v>178.3</v>
      </c>
      <c r="F15">
        <v>178.8</v>
      </c>
      <c r="H15" s="1">
        <f>Table140__Page_96[[#This Row],[Column4]]/Table140__Page_96[[#This Row],[Column2]]-1</f>
        <v>9.4833224329627264E-2</v>
      </c>
      <c r="I15" s="1">
        <f>Table140__Page_96[[#This Row],[Column5]]/Table140__Page_96[[#This Row],[Column4]]-1</f>
        <v>6.3321385902030958E-2</v>
      </c>
      <c r="J15" s="1">
        <f>Table140__Page_96[[#This Row],[Column6]]/Table140__Page_96[[#This Row],[Column5]]-1</f>
        <v>1.6853932584270925E-3</v>
      </c>
      <c r="K15" s="1">
        <f>Table140__Page_96[[#This Row],[Column7]]/Table140__Page_96[[#This Row],[Column6]]-1</f>
        <v>2.8042624789679227E-3</v>
      </c>
    </row>
    <row r="16" spans="1:11" x14ac:dyDescent="0.3">
      <c r="A16" t="s">
        <v>29</v>
      </c>
      <c r="B16">
        <v>11.7</v>
      </c>
      <c r="C16">
        <v>13</v>
      </c>
      <c r="D16">
        <v>14.9</v>
      </c>
      <c r="E16">
        <v>14.9</v>
      </c>
      <c r="F16">
        <v>14.9</v>
      </c>
      <c r="H16" s="1">
        <f>Table140__Page_96[[#This Row],[Column4]]/Table140__Page_96[[#This Row],[Column2]]-1</f>
        <v>0.11111111111111116</v>
      </c>
      <c r="I16" s="1">
        <f>Table140__Page_96[[#This Row],[Column5]]/Table140__Page_96[[#This Row],[Column4]]-1</f>
        <v>0.14615384615384608</v>
      </c>
      <c r="J16" s="1">
        <f>Table140__Page_96[[#This Row],[Column6]]/Table140__Page_96[[#This Row],[Column5]]-1</f>
        <v>0</v>
      </c>
      <c r="K16" s="1">
        <f>Table140__Page_96[[#This Row],[Column7]]/Table140__Page_96[[#This Row],[Column6]]-1</f>
        <v>0</v>
      </c>
    </row>
    <row r="17" spans="1:11" x14ac:dyDescent="0.3">
      <c r="A17" t="s">
        <v>30</v>
      </c>
      <c r="B17">
        <v>235.6</v>
      </c>
      <c r="C17">
        <v>228.7</v>
      </c>
      <c r="D17">
        <v>314.3</v>
      </c>
      <c r="E17">
        <v>248.8</v>
      </c>
      <c r="F17">
        <v>251.6</v>
      </c>
      <c r="H17" s="1">
        <f>Table140__Page_96[[#This Row],[Column4]]/Table140__Page_96[[#This Row],[Column2]]-1</f>
        <v>-2.9286926994906648E-2</v>
      </c>
      <c r="I17" s="1">
        <f>Table140__Page_96[[#This Row],[Column5]]/Table140__Page_96[[#This Row],[Column4]]-1</f>
        <v>0.37428946217752523</v>
      </c>
      <c r="J17" s="1">
        <f>Table140__Page_96[[#This Row],[Column6]]/Table140__Page_96[[#This Row],[Column5]]-1</f>
        <v>-0.20839961819917274</v>
      </c>
      <c r="K17" s="1">
        <f>Table140__Page_96[[#This Row],[Column7]]/Table140__Page_96[[#This Row],[Column6]]-1</f>
        <v>1.12540192926045E-2</v>
      </c>
    </row>
    <row r="18" spans="1:11" x14ac:dyDescent="0.3">
      <c r="A18" t="s">
        <v>31</v>
      </c>
      <c r="B18">
        <v>7.4</v>
      </c>
      <c r="C18">
        <v>6.9</v>
      </c>
      <c r="D18">
        <v>5.9</v>
      </c>
      <c r="E18">
        <v>5.0999999999999996</v>
      </c>
      <c r="F18">
        <v>4.3</v>
      </c>
      <c r="H18" s="1">
        <f>Table140__Page_96[[#This Row],[Column4]]/Table140__Page_96[[#This Row],[Column2]]-1</f>
        <v>-6.7567567567567544E-2</v>
      </c>
      <c r="I18" s="1">
        <f>Table140__Page_96[[#This Row],[Column5]]/Table140__Page_96[[#This Row],[Column4]]-1</f>
        <v>-0.14492753623188404</v>
      </c>
      <c r="J18" s="1">
        <f>Table140__Page_96[[#This Row],[Column6]]/Table140__Page_96[[#This Row],[Column5]]-1</f>
        <v>-0.13559322033898313</v>
      </c>
      <c r="K18" s="1">
        <f>Table140__Page_96[[#This Row],[Column7]]/Table140__Page_96[[#This Row],[Column6]]-1</f>
        <v>-0.15686274509803921</v>
      </c>
    </row>
    <row r="19" spans="1:11" x14ac:dyDescent="0.3">
      <c r="A19" t="s">
        <v>32</v>
      </c>
      <c r="B19">
        <v>5.6</v>
      </c>
      <c r="C19">
        <v>4.9000000000000004</v>
      </c>
      <c r="D19">
        <v>4</v>
      </c>
      <c r="E19">
        <v>3.2</v>
      </c>
      <c r="F19">
        <v>2.4</v>
      </c>
      <c r="H19" s="1">
        <f>Table140__Page_96[[#This Row],[Column4]]/Table140__Page_96[[#This Row],[Column2]]-1</f>
        <v>-0.12499999999999989</v>
      </c>
      <c r="I19" s="1">
        <f>Table140__Page_96[[#This Row],[Column5]]/Table140__Page_96[[#This Row],[Column4]]-1</f>
        <v>-0.18367346938775519</v>
      </c>
      <c r="J19" s="1">
        <f>Table140__Page_96[[#This Row],[Column6]]/Table140__Page_96[[#This Row],[Column5]]-1</f>
        <v>-0.19999999999999996</v>
      </c>
      <c r="K19" s="1">
        <f>Table140__Page_96[[#This Row],[Column7]]/Table140__Page_96[[#This Row],[Column6]]-1</f>
        <v>-0.25000000000000011</v>
      </c>
    </row>
    <row r="20" spans="1:11" x14ac:dyDescent="0.3">
      <c r="A20" t="s">
        <v>33</v>
      </c>
      <c r="B20">
        <v>1.7</v>
      </c>
      <c r="C20">
        <v>2.1</v>
      </c>
      <c r="D20">
        <v>1.9</v>
      </c>
      <c r="E20">
        <v>1.9</v>
      </c>
      <c r="F20">
        <v>1.9</v>
      </c>
      <c r="H20" s="1">
        <f>Table140__Page_96[[#This Row],[Column4]]/Table140__Page_96[[#This Row],[Column2]]-1</f>
        <v>0.23529411764705888</v>
      </c>
      <c r="I20" s="1">
        <f>Table140__Page_96[[#This Row],[Column5]]/Table140__Page_96[[#This Row],[Column4]]-1</f>
        <v>-9.5238095238095344E-2</v>
      </c>
      <c r="J20" s="1">
        <f>Table140__Page_96[[#This Row],[Column6]]/Table140__Page_96[[#This Row],[Column5]]-1</f>
        <v>0</v>
      </c>
      <c r="K20" s="1">
        <f>Table140__Page_96[[#This Row],[Column7]]/Table140__Page_96[[#This Row],[Column6]]-1</f>
        <v>0</v>
      </c>
    </row>
    <row r="21" spans="1:11" x14ac:dyDescent="0.3">
      <c r="A21" t="s">
        <v>34</v>
      </c>
      <c r="B21">
        <v>1.1000000000000001</v>
      </c>
      <c r="C21">
        <v>1.7</v>
      </c>
      <c r="D21">
        <v>1.3</v>
      </c>
      <c r="E21">
        <v>1.3</v>
      </c>
      <c r="F21">
        <v>1.3</v>
      </c>
      <c r="H21" s="1">
        <f>Table140__Page_96[[#This Row],[Column4]]/Table140__Page_96[[#This Row],[Column2]]-1</f>
        <v>0.54545454545454519</v>
      </c>
      <c r="I21" s="1">
        <f>Table140__Page_96[[#This Row],[Column5]]/Table140__Page_96[[#This Row],[Column4]]-1</f>
        <v>-0.23529411764705876</v>
      </c>
      <c r="J21" s="1">
        <f>Table140__Page_96[[#This Row],[Column6]]/Table140__Page_96[[#This Row],[Column5]]-1</f>
        <v>0</v>
      </c>
      <c r="K21" s="1">
        <f>Table140__Page_96[[#This Row],[Column7]]/Table140__Page_96[[#This Row],[Column6]]-1</f>
        <v>0</v>
      </c>
    </row>
    <row r="22" spans="1:11" x14ac:dyDescent="0.3">
      <c r="A22" t="s">
        <v>35</v>
      </c>
      <c r="B22">
        <v>0</v>
      </c>
      <c r="C22" t="s">
        <v>11</v>
      </c>
      <c r="D22" t="s">
        <v>11</v>
      </c>
      <c r="E22" t="s">
        <v>11</v>
      </c>
      <c r="F22" t="s">
        <v>11</v>
      </c>
      <c r="H22" s="1" t="e">
        <f>Table140__Page_96[[#This Row],[Column4]]/Table140__Page_96[[#This Row],[Column2]]-1</f>
        <v>#VALUE!</v>
      </c>
      <c r="I22" s="1" t="e">
        <f>Table140__Page_96[[#This Row],[Column5]]/Table140__Page_96[[#This Row],[Column4]]-1</f>
        <v>#VALUE!</v>
      </c>
      <c r="J22" s="1" t="e">
        <f>Table140__Page_96[[#This Row],[Column6]]/Table140__Page_96[[#This Row],[Column5]]-1</f>
        <v>#VALUE!</v>
      </c>
      <c r="K22" s="1" t="e">
        <f>Table140__Page_96[[#This Row],[Column7]]/Table140__Page_96[[#This Row],[Column6]]-1</f>
        <v>#VALUE!</v>
      </c>
    </row>
    <row r="23" spans="1:11" x14ac:dyDescent="0.3">
      <c r="A23" t="s">
        <v>36</v>
      </c>
      <c r="B23">
        <v>1.1000000000000001</v>
      </c>
      <c r="C23">
        <v>1.7</v>
      </c>
      <c r="D23">
        <v>1.3</v>
      </c>
      <c r="E23">
        <v>1.3</v>
      </c>
      <c r="F23">
        <v>1.3</v>
      </c>
      <c r="H23" s="1">
        <f>Table140__Page_96[[#This Row],[Column4]]/Table140__Page_96[[#This Row],[Column2]]-1</f>
        <v>0.54545454545454519</v>
      </c>
      <c r="I23" s="1">
        <f>Table140__Page_96[[#This Row],[Column5]]/Table140__Page_96[[#This Row],[Column4]]-1</f>
        <v>-0.23529411764705876</v>
      </c>
      <c r="J23" s="1">
        <f>Table140__Page_96[[#This Row],[Column6]]/Table140__Page_96[[#This Row],[Column5]]-1</f>
        <v>0</v>
      </c>
      <c r="K23" s="1">
        <f>Table140__Page_96[[#This Row],[Column7]]/Table140__Page_96[[#This Row],[Column6]]-1</f>
        <v>0</v>
      </c>
    </row>
    <row r="24" spans="1:11" x14ac:dyDescent="0.3">
      <c r="A24" t="s">
        <v>18</v>
      </c>
      <c r="B24">
        <v>26.4</v>
      </c>
      <c r="C24">
        <v>43.6</v>
      </c>
      <c r="D24">
        <v>38.4</v>
      </c>
      <c r="E24">
        <v>28.3</v>
      </c>
      <c r="F24">
        <v>21.7</v>
      </c>
      <c r="H24" s="1">
        <f>Table140__Page_96[[#This Row],[Column4]]/Table140__Page_96[[#This Row],[Column2]]-1</f>
        <v>0.6515151515151516</v>
      </c>
      <c r="I24" s="1">
        <f>Table140__Page_96[[#This Row],[Column5]]/Table140__Page_96[[#This Row],[Column4]]-1</f>
        <v>-0.11926605504587162</v>
      </c>
      <c r="J24" s="1">
        <f>Table140__Page_96[[#This Row],[Column6]]/Table140__Page_96[[#This Row],[Column5]]-1</f>
        <v>-0.26302083333333326</v>
      </c>
      <c r="K24" s="1">
        <f>Table140__Page_96[[#This Row],[Column7]]/Table140__Page_96[[#This Row],[Column6]]-1</f>
        <v>-0.2332155477031802</v>
      </c>
    </row>
    <row r="25" spans="1:11" x14ac:dyDescent="0.3">
      <c r="A25" t="s">
        <v>37</v>
      </c>
      <c r="B25">
        <v>29.4</v>
      </c>
      <c r="C25">
        <v>30.7</v>
      </c>
      <c r="D25">
        <v>33.1</v>
      </c>
      <c r="E25">
        <v>30.1</v>
      </c>
      <c r="F25">
        <v>30.1</v>
      </c>
      <c r="H25" s="1">
        <f>Table140__Page_96[[#This Row],[Column4]]/Table140__Page_96[[#This Row],[Column2]]-1</f>
        <v>4.421768707482987E-2</v>
      </c>
      <c r="I25" s="1">
        <f>Table140__Page_96[[#This Row],[Column5]]/Table140__Page_96[[#This Row],[Column4]]-1</f>
        <v>7.8175895765472347E-2</v>
      </c>
      <c r="J25" s="1">
        <f>Table140__Page_96[[#This Row],[Column6]]/Table140__Page_96[[#This Row],[Column5]]-1</f>
        <v>-9.0634441087613316E-2</v>
      </c>
      <c r="K25" s="1">
        <f>Table140__Page_96[[#This Row],[Column7]]/Table140__Page_96[[#This Row],[Column6]]-1</f>
        <v>0</v>
      </c>
    </row>
    <row r="26" spans="1:11" x14ac:dyDescent="0.3">
      <c r="A26" t="s">
        <v>38</v>
      </c>
      <c r="B26">
        <v>27.4</v>
      </c>
      <c r="C26">
        <v>34.1</v>
      </c>
      <c r="D26">
        <v>35.9</v>
      </c>
      <c r="E26">
        <v>38.4</v>
      </c>
      <c r="F26">
        <v>52.9</v>
      </c>
      <c r="H26" s="1">
        <f>Table140__Page_96[[#This Row],[Column4]]/Table140__Page_96[[#This Row],[Column2]]-1</f>
        <v>0.24452554744525568</v>
      </c>
      <c r="I26" s="1">
        <f>Table140__Page_96[[#This Row],[Column5]]/Table140__Page_96[[#This Row],[Column4]]-1</f>
        <v>5.2785923753665642E-2</v>
      </c>
      <c r="J26" s="1">
        <f>Table140__Page_96[[#This Row],[Column6]]/Table140__Page_96[[#This Row],[Column5]]-1</f>
        <v>6.9637883008356605E-2</v>
      </c>
      <c r="K26" s="1">
        <f>Table140__Page_96[[#This Row],[Column7]]/Table140__Page_96[[#This Row],[Column6]]-1</f>
        <v>0.37760416666666674</v>
      </c>
    </row>
    <row r="27" spans="1:11" x14ac:dyDescent="0.3">
      <c r="A27" t="s">
        <v>39</v>
      </c>
      <c r="B27">
        <v>243.1</v>
      </c>
      <c r="C27">
        <v>313.8</v>
      </c>
      <c r="D27">
        <v>307.8</v>
      </c>
      <c r="E27">
        <v>366.2</v>
      </c>
      <c r="F27">
        <v>344.7</v>
      </c>
    </row>
    <row r="28" spans="1:11" x14ac:dyDescent="0.3">
      <c r="A28" t="s">
        <v>40</v>
      </c>
      <c r="B28">
        <v>189.3</v>
      </c>
      <c r="C28">
        <v>236</v>
      </c>
      <c r="D28">
        <v>252.4</v>
      </c>
      <c r="E28">
        <v>285.89999999999998</v>
      </c>
      <c r="F28">
        <v>265.2</v>
      </c>
    </row>
    <row r="29" spans="1:11" x14ac:dyDescent="0.3">
      <c r="A29" t="s">
        <v>41</v>
      </c>
      <c r="B29">
        <v>188.1</v>
      </c>
      <c r="C29">
        <v>232.4</v>
      </c>
      <c r="D29">
        <v>248.3</v>
      </c>
      <c r="E29">
        <v>261.60000000000002</v>
      </c>
      <c r="F29">
        <v>245.9</v>
      </c>
    </row>
    <row r="30" spans="1:11" x14ac:dyDescent="0.3">
      <c r="A30" t="s">
        <v>42</v>
      </c>
      <c r="B30">
        <v>124.7</v>
      </c>
      <c r="C30">
        <v>121.4</v>
      </c>
      <c r="D30">
        <v>145.30000000000001</v>
      </c>
      <c r="E30">
        <v>197.9</v>
      </c>
      <c r="F30">
        <v>203.8</v>
      </c>
    </row>
    <row r="31" spans="1:11" x14ac:dyDescent="0.3">
      <c r="A31" t="s">
        <v>43</v>
      </c>
      <c r="B31">
        <v>57.2</v>
      </c>
      <c r="C31">
        <v>83.6</v>
      </c>
      <c r="D31">
        <v>102.5</v>
      </c>
      <c r="E31">
        <v>59.8</v>
      </c>
      <c r="F31">
        <v>34.6</v>
      </c>
    </row>
    <row r="32" spans="1:11" x14ac:dyDescent="0.3">
      <c r="A32" t="s">
        <v>44</v>
      </c>
      <c r="B32">
        <v>6.3</v>
      </c>
      <c r="C32">
        <v>27.4</v>
      </c>
      <c r="D32">
        <v>0.5</v>
      </c>
      <c r="E32">
        <v>3.8</v>
      </c>
      <c r="F32">
        <v>7.5</v>
      </c>
    </row>
    <row r="33" spans="1:6" x14ac:dyDescent="0.3">
      <c r="A33" t="s">
        <v>45</v>
      </c>
      <c r="B33">
        <v>1.2</v>
      </c>
      <c r="C33">
        <v>3.6</v>
      </c>
      <c r="D33">
        <v>4.0999999999999996</v>
      </c>
      <c r="E33">
        <v>24.3</v>
      </c>
      <c r="F33">
        <v>19.3</v>
      </c>
    </row>
    <row r="34" spans="1:6" x14ac:dyDescent="0.3">
      <c r="A34" t="s">
        <v>46</v>
      </c>
      <c r="B34">
        <v>1.2</v>
      </c>
      <c r="C34">
        <v>3.6</v>
      </c>
      <c r="D34">
        <v>4.0999999999999996</v>
      </c>
      <c r="E34">
        <v>24.3</v>
      </c>
      <c r="F34">
        <v>19.3</v>
      </c>
    </row>
    <row r="35" spans="1:6" x14ac:dyDescent="0.3">
      <c r="A35" t="s">
        <v>47</v>
      </c>
      <c r="B35">
        <v>53.9</v>
      </c>
      <c r="C35">
        <v>78</v>
      </c>
      <c r="D35">
        <v>55.5</v>
      </c>
      <c r="E35">
        <v>80.400000000000006</v>
      </c>
      <c r="F35">
        <v>79.599999999999994</v>
      </c>
    </row>
    <row r="36" spans="1:6" x14ac:dyDescent="0.3">
      <c r="A36" t="s">
        <v>125</v>
      </c>
      <c r="B36">
        <v>-53.9</v>
      </c>
      <c r="C36">
        <v>-78</v>
      </c>
      <c r="D36">
        <v>-55.5</v>
      </c>
      <c r="E36">
        <v>-80.400000000000006</v>
      </c>
      <c r="F36">
        <v>-79.599999999999994</v>
      </c>
    </row>
    <row r="37" spans="1:6" x14ac:dyDescent="0.3">
      <c r="A37" t="s">
        <v>48</v>
      </c>
      <c r="B37">
        <v>-10.4</v>
      </c>
      <c r="C37">
        <v>-29.4</v>
      </c>
      <c r="D37">
        <v>-37.1</v>
      </c>
      <c r="E37">
        <v>-30.7</v>
      </c>
      <c r="F37">
        <v>-28</v>
      </c>
    </row>
    <row r="38" spans="1:6" x14ac:dyDescent="0.3">
      <c r="A38" t="s">
        <v>49</v>
      </c>
      <c r="B38">
        <v>-10.4</v>
      </c>
      <c r="C38">
        <v>-29.4</v>
      </c>
      <c r="D38">
        <v>-37.1</v>
      </c>
      <c r="E38">
        <v>-30.7</v>
      </c>
      <c r="F38">
        <v>-28</v>
      </c>
    </row>
    <row r="39" spans="1:6" x14ac:dyDescent="0.3">
      <c r="A39" t="s">
        <v>50</v>
      </c>
      <c r="B39">
        <v>-5.7</v>
      </c>
      <c r="C39">
        <v>-25.5</v>
      </c>
      <c r="D39">
        <v>-0.9</v>
      </c>
      <c r="E39">
        <v>-13.7</v>
      </c>
      <c r="F39">
        <v>-11</v>
      </c>
    </row>
    <row r="40" spans="1:6" x14ac:dyDescent="0.3">
      <c r="A40" t="s">
        <v>51</v>
      </c>
      <c r="B40">
        <v>-2.2000000000000002</v>
      </c>
      <c r="C40">
        <v>3.3</v>
      </c>
      <c r="D40">
        <v>-36</v>
      </c>
      <c r="E40">
        <v>-16.899999999999999</v>
      </c>
      <c r="F40">
        <v>-16.899999999999999</v>
      </c>
    </row>
    <row r="41" spans="1:6" x14ac:dyDescent="0.3">
      <c r="A41" t="s">
        <v>52</v>
      </c>
      <c r="B41">
        <v>-2.5</v>
      </c>
      <c r="C41">
        <v>-7.3</v>
      </c>
      <c r="D41">
        <v>-0.1</v>
      </c>
      <c r="E41">
        <v>-0.1</v>
      </c>
      <c r="F41">
        <v>-0.1</v>
      </c>
    </row>
    <row r="42" spans="1:6" x14ac:dyDescent="0.3">
      <c r="A42" t="s">
        <v>53</v>
      </c>
      <c r="B42">
        <v>-43.4</v>
      </c>
      <c r="C42">
        <v>-48.5</v>
      </c>
      <c r="D42">
        <v>-18.399999999999999</v>
      </c>
      <c r="E42">
        <v>-49.7</v>
      </c>
      <c r="F42">
        <v>-51.6</v>
      </c>
    </row>
    <row r="43" spans="1:6" x14ac:dyDescent="0.3">
      <c r="A43" t="s">
        <v>49</v>
      </c>
      <c r="B43">
        <v>3</v>
      </c>
      <c r="C43">
        <v>-1.8</v>
      </c>
      <c r="D43">
        <v>30</v>
      </c>
      <c r="E43">
        <v>0</v>
      </c>
      <c r="F43">
        <v>0</v>
      </c>
    </row>
    <row r="44" spans="1:6" x14ac:dyDescent="0.3">
      <c r="A44" t="s">
        <v>51</v>
      </c>
      <c r="B44">
        <v>14</v>
      </c>
      <c r="C44">
        <v>15</v>
      </c>
      <c r="D44">
        <v>43.6</v>
      </c>
      <c r="E44">
        <v>19.899999999999999</v>
      </c>
      <c r="F44">
        <v>15.1</v>
      </c>
    </row>
    <row r="45" spans="1:6" x14ac:dyDescent="0.3">
      <c r="A45" t="s">
        <v>101</v>
      </c>
      <c r="B45">
        <v>11</v>
      </c>
      <c r="C45">
        <v>16.8</v>
      </c>
      <c r="D45">
        <v>13.6</v>
      </c>
      <c r="E45">
        <v>19.899999999999999</v>
      </c>
      <c r="F45">
        <v>15.1</v>
      </c>
    </row>
    <row r="46" spans="1:6" x14ac:dyDescent="0.3">
      <c r="A46" t="s">
        <v>54</v>
      </c>
      <c r="B46">
        <v>-46.4</v>
      </c>
      <c r="C46">
        <v>-46.7</v>
      </c>
      <c r="D46">
        <v>-48.4</v>
      </c>
      <c r="E46">
        <v>-49.7</v>
      </c>
      <c r="F46">
        <v>-51.6</v>
      </c>
    </row>
    <row r="47" spans="1:6" x14ac:dyDescent="0.3">
      <c r="A47" t="s">
        <v>51</v>
      </c>
      <c r="B47" t="s">
        <v>11</v>
      </c>
      <c r="C47">
        <v>0</v>
      </c>
      <c r="D47" t="s">
        <v>11</v>
      </c>
      <c r="E47">
        <v>0</v>
      </c>
      <c r="F47">
        <v>0</v>
      </c>
    </row>
    <row r="48" spans="1:6" x14ac:dyDescent="0.3">
      <c r="A48" t="s">
        <v>101</v>
      </c>
      <c r="B48">
        <v>46.4</v>
      </c>
      <c r="C48">
        <v>46.7</v>
      </c>
      <c r="D48">
        <v>48.4</v>
      </c>
      <c r="E48">
        <v>49.7</v>
      </c>
      <c r="F48">
        <v>51.6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7AFB-1D9B-46F8-AA1A-E74ECFE094E5}">
  <dimension ref="A1:S127"/>
  <sheetViews>
    <sheetView topLeftCell="A79" workbookViewId="0">
      <selection activeCell="R83" sqref="R83"/>
    </sheetView>
  </sheetViews>
  <sheetFormatPr defaultRowHeight="14.4" x14ac:dyDescent="0.3"/>
  <sheetData>
    <row r="1" spans="1:16" x14ac:dyDescent="0.3">
      <c r="A1" t="s">
        <v>230</v>
      </c>
    </row>
    <row r="3" spans="1:16" x14ac:dyDescent="0.3">
      <c r="A3" t="s">
        <v>15</v>
      </c>
      <c r="B3" t="str">
        <f>Lookup!B72</f>
        <v>FY2014</v>
      </c>
      <c r="C3" t="str">
        <f>Lookup!C72</f>
        <v>FY2015</v>
      </c>
      <c r="D3" t="str">
        <f>Lookup!D72</f>
        <v>FY2016</v>
      </c>
      <c r="E3" t="str">
        <f>Lookup!E72</f>
        <v>FY2017</v>
      </c>
      <c r="F3" t="str">
        <f>Lookup!F72</f>
        <v>FY2018</v>
      </c>
      <c r="G3" t="str">
        <f>Lookup!G72</f>
        <v>FY2019</v>
      </c>
      <c r="H3" t="str">
        <f>Lookup!H72</f>
        <v>FY2020</v>
      </c>
      <c r="I3" t="str">
        <f>Lookup!I72</f>
        <v>FY2021</v>
      </c>
      <c r="J3" t="str">
        <f>Lookup!J72</f>
        <v>FY2022</v>
      </c>
      <c r="K3" t="str">
        <f>Lookup!K72</f>
        <v>FY2023</v>
      </c>
      <c r="L3" t="str">
        <f>Lookup!L72</f>
        <v>FY2024</v>
      </c>
      <c r="M3" t="str">
        <f>Lookup!M72</f>
        <v>FY2025</v>
      </c>
      <c r="N3" t="str">
        <f>Lookup!N72</f>
        <v>FY2026</v>
      </c>
      <c r="O3" t="str">
        <f>Lookup!O72</f>
        <v>FY2027</v>
      </c>
      <c r="P3" t="str">
        <f>Lookup!P72</f>
        <v>FY2028</v>
      </c>
    </row>
    <row r="4" spans="1:16" x14ac:dyDescent="0.3">
      <c r="A4" t="str">
        <f>Lookup!A73</f>
        <v>Budget 2018</v>
      </c>
      <c r="D4" cm="1">
        <f t="array" ref="D4:H4">_xlfn.XLOOKUP("Taxes",'FY2018'!$A$4:$A$51,'FY2018'!$B$4:$F$51)</f>
        <v>184.6</v>
      </c>
      <c r="E4">
        <v>200.8</v>
      </c>
      <c r="F4">
        <v>247.4</v>
      </c>
      <c r="G4">
        <v>252.9</v>
      </c>
      <c r="H4">
        <v>261.2</v>
      </c>
    </row>
    <row r="5" spans="1:16" x14ac:dyDescent="0.3">
      <c r="A5" t="str">
        <f>Lookup!A74</f>
        <v>Budget 2019</v>
      </c>
      <c r="E5" cm="1">
        <f t="array" ref="E5:I5">_xlfn.XLOOKUP("Taxes",'FY2019'!$A$4:$A$51,'FY2019'!$B$4:$F$51)</f>
        <v>213.3</v>
      </c>
      <c r="F5">
        <v>221.4</v>
      </c>
      <c r="G5">
        <v>247.8</v>
      </c>
      <c r="H5">
        <v>248.1</v>
      </c>
      <c r="I5">
        <v>256</v>
      </c>
    </row>
    <row r="6" spans="1:16" x14ac:dyDescent="0.3">
      <c r="A6" t="str">
        <f>Lookup!A75</f>
        <v>Budget 2020</v>
      </c>
      <c r="F6" cm="1">
        <f t="array" ref="F6:J6">_xlfn.XLOOKUP("Taxes",'FY2020'!$A$2:$A$46,'FY2020'!$B$2:$F$46)</f>
        <v>235.4</v>
      </c>
      <c r="G6">
        <v>245.1</v>
      </c>
      <c r="H6">
        <v>257.10000000000002</v>
      </c>
      <c r="I6">
        <v>262.89999999999998</v>
      </c>
      <c r="J6">
        <v>269.89999999999998</v>
      </c>
    </row>
    <row r="7" spans="1:16" x14ac:dyDescent="0.3">
      <c r="A7" t="str">
        <f>Lookup!A76</f>
        <v>Budget 2021</v>
      </c>
      <c r="G7" cm="1">
        <f t="array" ref="G7:K7">_xlfn.XLOOKUP("Taxes",'FY2021'!$A$2:$A$55,'FY2021'!$B$2:$F$55)</f>
        <v>243</v>
      </c>
      <c r="H7">
        <v>220</v>
      </c>
      <c r="I7">
        <v>236.7</v>
      </c>
      <c r="J7">
        <v>257.8</v>
      </c>
      <c r="K7">
        <v>274.8</v>
      </c>
    </row>
    <row r="8" spans="1:16" x14ac:dyDescent="0.3">
      <c r="A8" t="str">
        <f>Lookup!A77</f>
        <v>Budget 2022</v>
      </c>
      <c r="H8" cm="1">
        <f t="array" ref="H8:L8">_xlfn.XLOOKUP("Taxes",'FY2022'!$A$2:$A$100,'FY2022'!$B$2:$F$100)</f>
        <v>238.6</v>
      </c>
      <c r="I8">
        <v>226.6</v>
      </c>
      <c r="J8">
        <v>244.3</v>
      </c>
      <c r="K8">
        <v>249.6</v>
      </c>
      <c r="L8">
        <v>251</v>
      </c>
    </row>
    <row r="9" spans="1:16" x14ac:dyDescent="0.3">
      <c r="A9" t="str">
        <f>Lookup!A78</f>
        <v>Budget 2023</v>
      </c>
      <c r="I9" cm="1">
        <f t="array" ref="I9:M9">_xlfn.XLOOKUP("Taxes",'FY2023'!$A$2:$A$100,'FY2023'!$B$2:$F$100)</f>
        <v>244.8</v>
      </c>
      <c r="J9">
        <v>227.4</v>
      </c>
      <c r="K9">
        <v>253.3</v>
      </c>
      <c r="L9">
        <v>255.2</v>
      </c>
      <c r="M9">
        <v>262.60000000000002</v>
      </c>
    </row>
    <row r="10" spans="1:16" x14ac:dyDescent="0.3">
      <c r="A10" t="str">
        <f>Lookup!A79</f>
        <v>Budget 2024</v>
      </c>
      <c r="J10" cm="1">
        <f t="array" ref="J10:N10">_xlfn.XLOOKUP("Taxes",'FY2024'!$A$2:$A$101,'FY2024'!$B$2:$F$101)</f>
        <v>257.89999999999998</v>
      </c>
      <c r="K10">
        <v>270.7</v>
      </c>
      <c r="L10">
        <v>283</v>
      </c>
      <c r="M10">
        <v>297.3</v>
      </c>
      <c r="N10">
        <v>306.7</v>
      </c>
    </row>
    <row r="11" spans="1:16" x14ac:dyDescent="0.3">
      <c r="A11" t="str">
        <f>Lookup!A80</f>
        <v>Budget 2025</v>
      </c>
      <c r="K11" cm="1">
        <f t="array" ref="K11:O11">_xlfn.XLOOKUP("Taxes",'FY2025'!$A$2:$A$100,'FY2025'!$B$2:$F$100)</f>
        <v>285.5</v>
      </c>
      <c r="L11">
        <v>291.8</v>
      </c>
      <c r="M11">
        <v>327.7</v>
      </c>
      <c r="N11">
        <v>333.3</v>
      </c>
      <c r="O11">
        <v>335.6</v>
      </c>
    </row>
    <row r="12" spans="1:16" x14ac:dyDescent="0.3">
      <c r="A12" t="str">
        <f>Lookup!A81</f>
        <v>Budget 2026</v>
      </c>
      <c r="L12" cm="1">
        <f t="array" ref="L12:P12">_xlfn.XLOOKUP("Taxes",'FY2026'!$A$2:$A$100,'FY2026'!$B$2:$F$100)</f>
        <v>300</v>
      </c>
      <c r="M12">
        <v>335.2</v>
      </c>
      <c r="N12">
        <v>347.1</v>
      </c>
      <c r="O12">
        <v>379.3</v>
      </c>
      <c r="P12">
        <v>390.9</v>
      </c>
    </row>
    <row r="15" spans="1:16" x14ac:dyDescent="0.3">
      <c r="A15" t="s">
        <v>152</v>
      </c>
      <c r="E15">
        <f>E5</f>
        <v>213.3</v>
      </c>
      <c r="F15">
        <f>F6</f>
        <v>235.4</v>
      </c>
      <c r="G15">
        <f>G7</f>
        <v>243</v>
      </c>
      <c r="H15">
        <f>H8</f>
        <v>238.6</v>
      </c>
      <c r="I15">
        <f>I9</f>
        <v>244.8</v>
      </c>
      <c r="J15">
        <f>J10</f>
        <v>257.89999999999998</v>
      </c>
      <c r="K15">
        <f>K11</f>
        <v>285.5</v>
      </c>
      <c r="L15">
        <f>L12</f>
        <v>300</v>
      </c>
    </row>
    <row r="18" spans="1:16" x14ac:dyDescent="0.3">
      <c r="A18" t="s">
        <v>21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  <c r="L18" t="s">
        <v>137</v>
      </c>
      <c r="M18" t="s">
        <v>138</v>
      </c>
      <c r="N18" t="s">
        <v>139</v>
      </c>
      <c r="O18" t="s">
        <v>140</v>
      </c>
      <c r="P18" t="s">
        <v>141</v>
      </c>
    </row>
    <row r="19" spans="1:16" x14ac:dyDescent="0.3">
      <c r="A19" t="str">
        <f t="shared" ref="A19:A27" si="0">A4</f>
        <v>Budget 2018</v>
      </c>
      <c r="D19" cm="1">
        <f t="array" ref="D19:H19">_xlfn.XLOOKUP($A$18,'FY2018'!$A$4:$A$51,'FY2018'!$B$4:$F$51)</f>
        <v>30.1</v>
      </c>
      <c r="E19">
        <v>38.5</v>
      </c>
      <c r="F19">
        <v>42.2</v>
      </c>
      <c r="G19">
        <v>41.7</v>
      </c>
      <c r="H19">
        <v>44.2</v>
      </c>
    </row>
    <row r="20" spans="1:16" x14ac:dyDescent="0.3">
      <c r="A20" t="str">
        <f t="shared" si="0"/>
        <v>Budget 2019</v>
      </c>
      <c r="E20" cm="1">
        <f t="array" ref="E20:I20">_xlfn.XLOOKUP($A$18,'FY2019'!$A$4:$A$51,'FY2019'!$B$4:$F$51)</f>
        <v>30.1</v>
      </c>
      <c r="F20">
        <v>40.200000000000003</v>
      </c>
      <c r="G20">
        <v>44.2</v>
      </c>
      <c r="H20">
        <v>44.4</v>
      </c>
      <c r="I20">
        <v>50.7</v>
      </c>
    </row>
    <row r="21" spans="1:16" x14ac:dyDescent="0.3">
      <c r="A21" t="str">
        <f t="shared" si="0"/>
        <v>Budget 2020</v>
      </c>
      <c r="F21" cm="1">
        <f t="array" ref="F21:J21">_xlfn.XLOOKUP($A$18,'FY2020'!$A$2:$A$46,'FY2020'!$B$2:$F$46)</f>
        <v>31</v>
      </c>
      <c r="G21">
        <v>32.799999999999997</v>
      </c>
      <c r="H21">
        <v>48.5</v>
      </c>
      <c r="I21">
        <v>48.5</v>
      </c>
      <c r="J21">
        <v>47.2</v>
      </c>
    </row>
    <row r="22" spans="1:16" x14ac:dyDescent="0.3">
      <c r="A22" t="str">
        <f t="shared" si="0"/>
        <v>Budget 2021</v>
      </c>
      <c r="G22" cm="1">
        <f t="array" ref="G22:K22">_xlfn.XLOOKUP($A$18,'FY2021'!$A$2:$A$55,'FY2021'!$B$2:$F$55)</f>
        <v>29.6</v>
      </c>
      <c r="H22">
        <v>28.7</v>
      </c>
      <c r="I22">
        <v>28.3</v>
      </c>
      <c r="J22">
        <v>35.4</v>
      </c>
      <c r="K22">
        <v>38.1</v>
      </c>
    </row>
    <row r="23" spans="1:16" x14ac:dyDescent="0.3">
      <c r="A23" t="str">
        <f t="shared" si="0"/>
        <v>Budget 2022</v>
      </c>
      <c r="H23" cm="1">
        <f t="array" ref="H23:L23">_xlfn.XLOOKUP($A$18,'FY2022'!$A$2:$A$100,'FY2022'!$B$2:$F$100)</f>
        <v>42.2</v>
      </c>
      <c r="I23">
        <v>30</v>
      </c>
      <c r="J23">
        <v>33.5</v>
      </c>
      <c r="K23">
        <v>30.3</v>
      </c>
      <c r="L23">
        <v>30.4</v>
      </c>
    </row>
    <row r="24" spans="1:16" x14ac:dyDescent="0.3">
      <c r="A24" t="str">
        <f t="shared" si="0"/>
        <v>Budget 2023</v>
      </c>
      <c r="I24" cm="1">
        <f t="array" ref="I24:M24">_xlfn.XLOOKUP($A$18,'FY2023'!$A$2:$A$100,'FY2023'!$B$2:$F$100)</f>
        <v>32.200000000000003</v>
      </c>
      <c r="J24">
        <v>22.5</v>
      </c>
      <c r="K24">
        <v>33</v>
      </c>
      <c r="L24">
        <v>31.8</v>
      </c>
      <c r="M24">
        <v>31.8</v>
      </c>
    </row>
    <row r="25" spans="1:16" x14ac:dyDescent="0.3">
      <c r="A25" t="str">
        <f t="shared" si="0"/>
        <v>Budget 2024</v>
      </c>
      <c r="J25" cm="1">
        <f t="array" ref="J25:N25">_xlfn.XLOOKUP($A$18,'FY2024'!$A$2:$A$101,'FY2024'!$B$2:$F$101)</f>
        <v>24.3</v>
      </c>
      <c r="K25">
        <v>28.7</v>
      </c>
      <c r="L25">
        <v>43.4</v>
      </c>
      <c r="M25">
        <v>35.799999999999997</v>
      </c>
      <c r="N25">
        <v>37.700000000000003</v>
      </c>
    </row>
    <row r="26" spans="1:16" x14ac:dyDescent="0.3">
      <c r="A26" t="str">
        <f t="shared" si="0"/>
        <v>Budget 2025</v>
      </c>
      <c r="K26" cm="1">
        <f t="array" ref="K26:O26">_xlfn.XLOOKUP($A$18,'FY2025'!$A$2:$A$100,'FY2025'!$B$2:$F$100)</f>
        <v>30.5</v>
      </c>
      <c r="L26">
        <v>42.3</v>
      </c>
      <c r="M26">
        <v>54.5</v>
      </c>
      <c r="N26">
        <v>61</v>
      </c>
      <c r="O26">
        <v>60</v>
      </c>
    </row>
    <row r="27" spans="1:16" x14ac:dyDescent="0.3">
      <c r="A27" t="str">
        <f t="shared" si="0"/>
        <v>Budget 2026</v>
      </c>
      <c r="L27" cm="1">
        <f t="array" ref="L27:P27">_xlfn.XLOOKUP($A$18,'FY2026'!$A$2:$A$100,'FY2026'!$B$2:$F$100)</f>
        <v>48.2</v>
      </c>
      <c r="M27">
        <v>57.1</v>
      </c>
      <c r="N27">
        <v>73.400000000000006</v>
      </c>
      <c r="O27">
        <v>82.7</v>
      </c>
      <c r="P27">
        <v>82</v>
      </c>
    </row>
    <row r="30" spans="1:16" x14ac:dyDescent="0.3">
      <c r="A30" t="str">
        <f>A15</f>
        <v>Outturn</v>
      </c>
      <c r="E30">
        <f>E20</f>
        <v>30.1</v>
      </c>
      <c r="F30">
        <f>F21</f>
        <v>31</v>
      </c>
      <c r="G30">
        <f>G22</f>
        <v>29.6</v>
      </c>
      <c r="H30">
        <f>H23</f>
        <v>42.2</v>
      </c>
      <c r="I30">
        <f>I24</f>
        <v>32.200000000000003</v>
      </c>
      <c r="J30">
        <f>J25</f>
        <v>24.3</v>
      </c>
      <c r="K30">
        <f>K26</f>
        <v>30.5</v>
      </c>
      <c r="L30">
        <f>L27</f>
        <v>48.2</v>
      </c>
    </row>
    <row r="32" spans="1:16" x14ac:dyDescent="0.3">
      <c r="A32" t="s">
        <v>231</v>
      </c>
    </row>
    <row r="33" spans="1:16" x14ac:dyDescent="0.3">
      <c r="A33" t="s">
        <v>216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133</v>
      </c>
      <c r="I33" t="s">
        <v>134</v>
      </c>
      <c r="J33" t="s">
        <v>135</v>
      </c>
      <c r="K33" t="s">
        <v>136</v>
      </c>
      <c r="L33" t="s">
        <v>137</v>
      </c>
      <c r="M33" t="s">
        <v>138</v>
      </c>
      <c r="N33" t="s">
        <v>139</v>
      </c>
      <c r="O33" t="s">
        <v>140</v>
      </c>
      <c r="P33" t="s">
        <v>141</v>
      </c>
    </row>
    <row r="34" spans="1:16" x14ac:dyDescent="0.3">
      <c r="A34" t="str">
        <f t="shared" ref="A34:A42" si="1">A19</f>
        <v>Budget 2018</v>
      </c>
      <c r="D34">
        <f>SUM(D4,D19)</f>
        <v>214.7</v>
      </c>
      <c r="E34">
        <f>SUM(E4,E19)</f>
        <v>239.3</v>
      </c>
      <c r="F34">
        <f>SUM(F4,F19)</f>
        <v>289.60000000000002</v>
      </c>
      <c r="G34">
        <f>SUM(G4,G19)</f>
        <v>294.60000000000002</v>
      </c>
      <c r="H34">
        <f>SUM(H4,H19)</f>
        <v>305.39999999999998</v>
      </c>
    </row>
    <row r="35" spans="1:16" x14ac:dyDescent="0.3">
      <c r="A35" t="str">
        <f t="shared" si="1"/>
        <v>Budget 2019</v>
      </c>
      <c r="E35">
        <f>SUM(E5,E20)</f>
        <v>243.4</v>
      </c>
      <c r="F35">
        <f>SUM(F5,F20)</f>
        <v>261.60000000000002</v>
      </c>
      <c r="G35">
        <f>SUM(G5,G20)</f>
        <v>292</v>
      </c>
      <c r="H35">
        <f>SUM(H5,H20)</f>
        <v>292.5</v>
      </c>
      <c r="I35">
        <f>SUM(I5,I20)</f>
        <v>306.7</v>
      </c>
    </row>
    <row r="36" spans="1:16" x14ac:dyDescent="0.3">
      <c r="A36" t="str">
        <f t="shared" si="1"/>
        <v>Budget 2020</v>
      </c>
      <c r="F36">
        <f>SUM(F6,F21)</f>
        <v>266.39999999999998</v>
      </c>
      <c r="G36">
        <f>SUM(G6,G21)</f>
        <v>277.89999999999998</v>
      </c>
      <c r="H36">
        <f>SUM(H6,H21)</f>
        <v>305.60000000000002</v>
      </c>
      <c r="I36">
        <f>SUM(I6,I21)</f>
        <v>311.39999999999998</v>
      </c>
      <c r="J36">
        <f>SUM(J6,J21)</f>
        <v>317.09999999999997</v>
      </c>
    </row>
    <row r="37" spans="1:16" x14ac:dyDescent="0.3">
      <c r="A37" t="str">
        <f t="shared" si="1"/>
        <v>Budget 2021</v>
      </c>
      <c r="G37">
        <f>SUM(G7,G22)</f>
        <v>272.60000000000002</v>
      </c>
      <c r="H37">
        <f>SUM(H7,H22)</f>
        <v>248.7</v>
      </c>
      <c r="I37">
        <f>SUM(I7,I22)</f>
        <v>265</v>
      </c>
      <c r="J37">
        <f>SUM(J7,J22)</f>
        <v>293.2</v>
      </c>
      <c r="K37">
        <f>SUM(K7,K22)</f>
        <v>312.90000000000003</v>
      </c>
    </row>
    <row r="38" spans="1:16" x14ac:dyDescent="0.3">
      <c r="A38" t="str">
        <f t="shared" si="1"/>
        <v>Budget 2022</v>
      </c>
      <c r="H38">
        <f>SUM(H8,H23)</f>
        <v>280.8</v>
      </c>
      <c r="I38">
        <f>SUM(I8,I23)</f>
        <v>256.60000000000002</v>
      </c>
      <c r="J38">
        <f>SUM(J8,J23)</f>
        <v>277.8</v>
      </c>
      <c r="K38">
        <f>SUM(K8,K23)</f>
        <v>279.89999999999998</v>
      </c>
      <c r="L38">
        <f>SUM(L8,L23)</f>
        <v>281.39999999999998</v>
      </c>
    </row>
    <row r="39" spans="1:16" x14ac:dyDescent="0.3">
      <c r="A39" t="str">
        <f t="shared" si="1"/>
        <v>Budget 2023</v>
      </c>
      <c r="I39">
        <f>SUM(I9,I24)</f>
        <v>277</v>
      </c>
      <c r="J39">
        <f>SUM(J9,J24)</f>
        <v>249.9</v>
      </c>
      <c r="K39">
        <f>SUM(K9,K24)</f>
        <v>286.3</v>
      </c>
      <c r="L39">
        <f>SUM(L9,L24)</f>
        <v>287</v>
      </c>
      <c r="M39">
        <f>SUM(M9,M24)</f>
        <v>294.40000000000003</v>
      </c>
    </row>
    <row r="40" spans="1:16" x14ac:dyDescent="0.3">
      <c r="A40" t="str">
        <f t="shared" si="1"/>
        <v>Budget 2024</v>
      </c>
      <c r="J40">
        <f>SUM(J10,J25)</f>
        <v>282.2</v>
      </c>
      <c r="K40">
        <f>SUM(K10,K25)</f>
        <v>299.39999999999998</v>
      </c>
      <c r="L40">
        <f>SUM(L10,L25)</f>
        <v>326.39999999999998</v>
      </c>
      <c r="M40">
        <f>SUM(M10,M25)</f>
        <v>333.1</v>
      </c>
      <c r="N40">
        <f>SUM(N10,N25)</f>
        <v>344.4</v>
      </c>
    </row>
    <row r="41" spans="1:16" x14ac:dyDescent="0.3">
      <c r="A41" t="str">
        <f t="shared" si="1"/>
        <v>Budget 2025</v>
      </c>
      <c r="K41">
        <f>SUM(K11,K26)</f>
        <v>316</v>
      </c>
      <c r="L41">
        <f>SUM(L11,L26)</f>
        <v>334.1</v>
      </c>
      <c r="M41">
        <f>SUM(M11,M26)</f>
        <v>382.2</v>
      </c>
      <c r="N41">
        <f>SUM(N11,N26)</f>
        <v>394.3</v>
      </c>
      <c r="O41">
        <f>SUM(O11,O26)</f>
        <v>395.6</v>
      </c>
    </row>
    <row r="42" spans="1:16" x14ac:dyDescent="0.3">
      <c r="A42" t="str">
        <f t="shared" si="1"/>
        <v>Budget 2026</v>
      </c>
      <c r="L42">
        <f>SUM(L12,L27)</f>
        <v>348.2</v>
      </c>
      <c r="M42">
        <f>SUM(M12,M27)</f>
        <v>392.3</v>
      </c>
      <c r="N42">
        <f>SUM(N12,N27)</f>
        <v>420.5</v>
      </c>
      <c r="O42">
        <f>SUM(O12,O27)</f>
        <v>462</v>
      </c>
      <c r="P42">
        <f>SUM(P12,P27)</f>
        <v>472.9</v>
      </c>
    </row>
    <row r="45" spans="1:16" x14ac:dyDescent="0.3">
      <c r="A45" t="str">
        <f>A30</f>
        <v>Outturn</v>
      </c>
      <c r="E45">
        <f t="shared" ref="E45:L45" si="2">SUM(E15,E30)</f>
        <v>243.4</v>
      </c>
      <c r="F45">
        <f t="shared" si="2"/>
        <v>266.39999999999998</v>
      </c>
      <c r="G45">
        <f t="shared" si="2"/>
        <v>272.60000000000002</v>
      </c>
      <c r="H45">
        <f t="shared" si="2"/>
        <v>280.8</v>
      </c>
      <c r="I45">
        <f t="shared" si="2"/>
        <v>277</v>
      </c>
      <c r="J45">
        <f t="shared" si="2"/>
        <v>282.2</v>
      </c>
      <c r="K45">
        <f t="shared" si="2"/>
        <v>316</v>
      </c>
      <c r="L45">
        <f t="shared" si="2"/>
        <v>348.2</v>
      </c>
    </row>
    <row r="47" spans="1:16" x14ac:dyDescent="0.3">
      <c r="A47" t="s">
        <v>190</v>
      </c>
    </row>
    <row r="48" spans="1:16" x14ac:dyDescent="0.3">
      <c r="A48" t="str">
        <f>A33</f>
        <v>Non-grant revenue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  <c r="G48" t="s">
        <v>132</v>
      </c>
      <c r="H48" t="s">
        <v>133</v>
      </c>
      <c r="I48" t="s">
        <v>134</v>
      </c>
      <c r="J48" t="s">
        <v>135</v>
      </c>
      <c r="K48" t="s">
        <v>136</v>
      </c>
      <c r="L48" t="s">
        <v>137</v>
      </c>
      <c r="M48" t="s">
        <v>138</v>
      </c>
      <c r="N48" t="s">
        <v>139</v>
      </c>
      <c r="O48" t="s">
        <v>140</v>
      </c>
      <c r="P48" t="s">
        <v>141</v>
      </c>
    </row>
    <row r="49" spans="1:16" x14ac:dyDescent="0.3">
      <c r="A49" t="s">
        <v>142</v>
      </c>
      <c r="F49" s="5">
        <f>F34/GDP!B2</f>
        <v>0.28095522388059702</v>
      </c>
      <c r="G49" s="5">
        <f>G34/GDP!C2</f>
        <v>0.32733333333333337</v>
      </c>
      <c r="H49" s="5">
        <f>H34/GDP!D2</f>
        <v>0.28219712525667345</v>
      </c>
    </row>
    <row r="50" spans="1:16" x14ac:dyDescent="0.3">
      <c r="A50" t="s">
        <v>143</v>
      </c>
      <c r="G50" s="5">
        <f>G35/GDP!C3</f>
        <v>0.28112063155867911</v>
      </c>
      <c r="H50" s="5">
        <f>H35/GDP!D3</f>
        <v>0.26820099028057953</v>
      </c>
      <c r="I50" s="5">
        <f>I35/GDP!E3</f>
        <v>0.26861096514275706</v>
      </c>
    </row>
    <row r="51" spans="1:16" x14ac:dyDescent="0.3">
      <c r="A51" t="s">
        <v>144</v>
      </c>
      <c r="H51" s="5">
        <f>H36/GDP!D4</f>
        <v>0.26400000000000001</v>
      </c>
      <c r="I51" s="5">
        <f>I36/GDP!E4</f>
        <v>0.255</v>
      </c>
      <c r="J51" s="5">
        <f>J36/GDP!F4</f>
        <v>0.24492276166456489</v>
      </c>
    </row>
    <row r="52" spans="1:16" x14ac:dyDescent="0.3">
      <c r="A52" t="s">
        <v>145</v>
      </c>
      <c r="I52" s="5">
        <f>I37/GDP!E5</f>
        <v>0.25703200775945684</v>
      </c>
      <c r="J52" s="5">
        <f>J37/GDP!F5</f>
        <v>0.26938625505328923</v>
      </c>
      <c r="K52" s="5">
        <f>K37/GDP!G5</f>
        <v>0.26990425256620376</v>
      </c>
    </row>
    <row r="53" spans="1:16" x14ac:dyDescent="0.3">
      <c r="A53" t="s">
        <v>146</v>
      </c>
      <c r="J53" s="5">
        <f>J38/GDP!F6</f>
        <v>0.21083788706739529</v>
      </c>
      <c r="K53" s="5">
        <f>K38/GDP!G6</f>
        <v>0.19585753271289622</v>
      </c>
      <c r="L53" s="5">
        <f>L38/GDP!H6</f>
        <v>0.18392156862745096</v>
      </c>
    </row>
    <row r="54" spans="1:16" x14ac:dyDescent="0.3">
      <c r="A54" t="s">
        <v>147</v>
      </c>
      <c r="K54" s="5">
        <f>K39/GDP!G7</f>
        <v>0.22503930131004368</v>
      </c>
      <c r="L54" s="5">
        <f>L39/GDP!H7</f>
        <v>0.20383522727272727</v>
      </c>
      <c r="M54" s="5">
        <f>M39/GDP!I7</f>
        <v>0.1962666666666667</v>
      </c>
    </row>
    <row r="55" spans="1:16" x14ac:dyDescent="0.3">
      <c r="A55" t="s">
        <v>148</v>
      </c>
      <c r="L55" s="5">
        <f>L40/GDP!H8</f>
        <v>0.21932535949469156</v>
      </c>
      <c r="M55" s="5">
        <f>M40/GDP!I8</f>
        <v>0.19955667385573927</v>
      </c>
      <c r="N55" s="5">
        <f>N40/GDP!J8</f>
        <v>0.19850144092219019</v>
      </c>
    </row>
    <row r="56" spans="1:16" x14ac:dyDescent="0.3">
      <c r="A56" t="s">
        <v>149</v>
      </c>
      <c r="M56" s="5">
        <f>M41/GDP!I9</f>
        <v>0.30333333333333334</v>
      </c>
      <c r="N56" s="5">
        <f>N41/GDP!J9</f>
        <v>0.29635475385193538</v>
      </c>
      <c r="O56" s="5">
        <f>O41/GDP!K9</f>
        <v>0.28493229616825122</v>
      </c>
    </row>
    <row r="57" spans="1:16" x14ac:dyDescent="0.3">
      <c r="A57" t="s">
        <v>150</v>
      </c>
      <c r="N57" s="5">
        <f>N42/GDP!J10</f>
        <v>0.32579220577980939</v>
      </c>
      <c r="O57" s="5">
        <f>O42/GDP!K10</f>
        <v>0.3390328025244001</v>
      </c>
      <c r="P57" s="5">
        <f>P42/GDP!L10</f>
        <v>0.33270015477698039</v>
      </c>
    </row>
    <row r="60" spans="1:16" x14ac:dyDescent="0.3">
      <c r="A60" t="s">
        <v>152</v>
      </c>
      <c r="F60" s="5">
        <f>F45/GDP!B13</f>
        <v>0.25025833724753405</v>
      </c>
      <c r="G60" s="5">
        <f>G45/GDP!C13</f>
        <v>0.23419243986254298</v>
      </c>
      <c r="H60" s="5">
        <f>H45/GDP!D13</f>
        <v>0.24867162592986186</v>
      </c>
      <c r="I60" s="5">
        <f>I45/GDP!E13</f>
        <v>0.25914491533352041</v>
      </c>
      <c r="J60" s="5">
        <f>J45/GDP!F13</f>
        <v>0.25978090766823159</v>
      </c>
      <c r="K60" s="5">
        <f>K45/GDP!G13</f>
        <v>0.26301771207883873</v>
      </c>
      <c r="L60" s="5">
        <f>L45/GDP!H13</f>
        <v>0.22651574290918552</v>
      </c>
    </row>
    <row r="66" spans="1:19" x14ac:dyDescent="0.3">
      <c r="A66" t="s">
        <v>226</v>
      </c>
    </row>
    <row r="67" spans="1:19" x14ac:dyDescent="0.3">
      <c r="A67" t="s">
        <v>218</v>
      </c>
      <c r="R67" t="s">
        <v>222</v>
      </c>
      <c r="S67" t="s">
        <v>223</v>
      </c>
    </row>
    <row r="68" spans="1:19" x14ac:dyDescent="0.3">
      <c r="A68" t="s">
        <v>217</v>
      </c>
      <c r="E68">
        <f>E$45-E34</f>
        <v>4.0999999999999943</v>
      </c>
      <c r="F68">
        <f>F$45-F35</f>
        <v>4.7999999999999545</v>
      </c>
      <c r="G68">
        <f>G$45-G36</f>
        <v>-5.2999999999999545</v>
      </c>
      <c r="H68">
        <f>H$45-H37</f>
        <v>32.100000000000023</v>
      </c>
      <c r="I68">
        <f>I$45-I38</f>
        <v>20.399999999999977</v>
      </c>
      <c r="J68">
        <f>J$45-J39</f>
        <v>32.299999999999983</v>
      </c>
      <c r="K68">
        <f>K$45-K40</f>
        <v>16.600000000000023</v>
      </c>
      <c r="L68">
        <f>L$45-L41</f>
        <v>14.099999999999966</v>
      </c>
      <c r="R68">
        <f>AVERAGE(E68:L68)</f>
        <v>14.887499999999996</v>
      </c>
      <c r="S68">
        <f>STDEV(E68:L68)</f>
        <v>13.411449000227909</v>
      </c>
    </row>
    <row r="69" spans="1:19" x14ac:dyDescent="0.3">
      <c r="A69" t="s">
        <v>219</v>
      </c>
      <c r="F69">
        <f>F$45-F34</f>
        <v>-23.200000000000045</v>
      </c>
      <c r="G69">
        <f>G$45-G35</f>
        <v>-19.399999999999977</v>
      </c>
      <c r="H69">
        <f>H$45-H36</f>
        <v>-24.800000000000011</v>
      </c>
      <c r="I69">
        <f>I$45-I37</f>
        <v>12</v>
      </c>
      <c r="J69">
        <f>J$45-J38</f>
        <v>4.3999999999999773</v>
      </c>
      <c r="K69">
        <f>K$45-K39</f>
        <v>29.699999999999989</v>
      </c>
      <c r="L69">
        <f>L$45-L40</f>
        <v>21.800000000000011</v>
      </c>
      <c r="R69">
        <f>AVERAGE(E69:L69)</f>
        <v>7.1428571428563306E-2</v>
      </c>
      <c r="S69">
        <f>STDEV(E69:L69)</f>
        <v>22.547336449176903</v>
      </c>
    </row>
    <row r="70" spans="1:19" x14ac:dyDescent="0.3">
      <c r="A70" t="s">
        <v>220</v>
      </c>
      <c r="G70">
        <f>G$45-G34</f>
        <v>-22</v>
      </c>
      <c r="H70">
        <f>H$45-H35</f>
        <v>-11.699999999999989</v>
      </c>
      <c r="I70">
        <f>I$45-I36</f>
        <v>-34.399999999999977</v>
      </c>
      <c r="J70">
        <f>J$45-J37</f>
        <v>-11</v>
      </c>
      <c r="K70">
        <f>K$45-K38</f>
        <v>36.100000000000023</v>
      </c>
      <c r="L70">
        <f>L$45-L39</f>
        <v>61.199999999999989</v>
      </c>
      <c r="R70">
        <f>AVERAGE(E70:L70)</f>
        <v>3.0333333333333408</v>
      </c>
      <c r="S70">
        <f>STDEV(E70:L70)</f>
        <v>37.198637967896978</v>
      </c>
    </row>
    <row r="71" spans="1:19" x14ac:dyDescent="0.3">
      <c r="A71" t="s">
        <v>221</v>
      </c>
      <c r="H71">
        <f>H$45-H34</f>
        <v>-24.599999999999966</v>
      </c>
      <c r="I71">
        <f>I$45-I35</f>
        <v>-29.699999999999989</v>
      </c>
      <c r="J71">
        <f>J$45-J36</f>
        <v>-34.899999999999977</v>
      </c>
      <c r="K71">
        <f>K$45-K37</f>
        <v>3.0999999999999659</v>
      </c>
      <c r="L71">
        <f>L$45-L38</f>
        <v>66.800000000000011</v>
      </c>
      <c r="M71" t="s">
        <v>151</v>
      </c>
      <c r="R71">
        <f>AVERAGE(E71:L71)</f>
        <v>-3.859999999999991</v>
      </c>
      <c r="S71">
        <f>STDEV(E71:L71)</f>
        <v>42.138497837488217</v>
      </c>
    </row>
    <row r="73" spans="1:19" x14ac:dyDescent="0.3">
      <c r="A73" t="s">
        <v>227</v>
      </c>
    </row>
    <row r="74" spans="1:19" x14ac:dyDescent="0.3">
      <c r="A74" t="s">
        <v>218</v>
      </c>
    </row>
    <row r="75" spans="1:19" x14ac:dyDescent="0.3">
      <c r="A75" t="s">
        <v>217</v>
      </c>
      <c r="E75">
        <f t="shared" ref="E75:L75" si="3">ABS(E68)</f>
        <v>4.0999999999999943</v>
      </c>
      <c r="F75">
        <f t="shared" si="3"/>
        <v>4.7999999999999545</v>
      </c>
      <c r="G75">
        <f t="shared" si="3"/>
        <v>5.2999999999999545</v>
      </c>
      <c r="H75">
        <f t="shared" si="3"/>
        <v>32.100000000000023</v>
      </c>
      <c r="I75">
        <f t="shared" si="3"/>
        <v>20.399999999999977</v>
      </c>
      <c r="J75">
        <f t="shared" si="3"/>
        <v>32.299999999999983</v>
      </c>
      <c r="K75">
        <f t="shared" si="3"/>
        <v>16.600000000000023</v>
      </c>
      <c r="L75">
        <f t="shared" si="3"/>
        <v>14.099999999999966</v>
      </c>
      <c r="R75">
        <f>AVERAGE(E75:L75)</f>
        <v>16.212499999999984</v>
      </c>
      <c r="S75">
        <f>STDEV(E75:L75)</f>
        <v>11.522702745945889</v>
      </c>
    </row>
    <row r="76" spans="1:19" x14ac:dyDescent="0.3">
      <c r="A76" t="s">
        <v>219</v>
      </c>
      <c r="F76">
        <f t="shared" ref="F76:L76" si="4">ABS(F69)</f>
        <v>23.200000000000045</v>
      </c>
      <c r="G76">
        <f t="shared" si="4"/>
        <v>19.399999999999977</v>
      </c>
      <c r="H76">
        <f t="shared" si="4"/>
        <v>24.800000000000011</v>
      </c>
      <c r="I76">
        <f t="shared" si="4"/>
        <v>12</v>
      </c>
      <c r="J76">
        <f t="shared" si="4"/>
        <v>4.3999999999999773</v>
      </c>
      <c r="K76">
        <f t="shared" si="4"/>
        <v>29.699999999999989</v>
      </c>
      <c r="L76">
        <f t="shared" si="4"/>
        <v>21.800000000000011</v>
      </c>
      <c r="R76">
        <f>AVERAGE(E76:L76)</f>
        <v>19.328571428571429</v>
      </c>
      <c r="S76">
        <f>STDEV(E76:L76)</f>
        <v>8.5163987470672016</v>
      </c>
    </row>
    <row r="77" spans="1:19" x14ac:dyDescent="0.3">
      <c r="A77" t="s">
        <v>220</v>
      </c>
      <c r="G77">
        <f t="shared" ref="G77:L77" si="5">ABS(G70)</f>
        <v>22</v>
      </c>
      <c r="H77">
        <f t="shared" si="5"/>
        <v>11.699999999999989</v>
      </c>
      <c r="I77">
        <f t="shared" si="5"/>
        <v>34.399999999999977</v>
      </c>
      <c r="J77">
        <f t="shared" si="5"/>
        <v>11</v>
      </c>
      <c r="K77">
        <f t="shared" si="5"/>
        <v>36.100000000000023</v>
      </c>
      <c r="L77">
        <f t="shared" si="5"/>
        <v>61.199999999999989</v>
      </c>
      <c r="R77">
        <f>AVERAGE(E77:L77)</f>
        <v>29.399999999999995</v>
      </c>
      <c r="S77">
        <f>STDEV(E77:L77)</f>
        <v>18.908939684709981</v>
      </c>
    </row>
    <row r="78" spans="1:19" x14ac:dyDescent="0.3">
      <c r="A78" t="s">
        <v>221</v>
      </c>
      <c r="H78">
        <f>ABS(H71)</f>
        <v>24.599999999999966</v>
      </c>
      <c r="I78">
        <f>ABS(I71)</f>
        <v>29.699999999999989</v>
      </c>
      <c r="J78">
        <f>ABS(J71)</f>
        <v>34.899999999999977</v>
      </c>
      <c r="K78">
        <f>ABS(K71)</f>
        <v>3.0999999999999659</v>
      </c>
      <c r="L78">
        <f>ABS(L71)</f>
        <v>66.800000000000011</v>
      </c>
      <c r="R78">
        <f>AVERAGE(E78:L78)</f>
        <v>31.819999999999983</v>
      </c>
      <c r="S78">
        <f>STDEV(E78:L78)</f>
        <v>22.99210734143351</v>
      </c>
    </row>
    <row r="80" spans="1:19" x14ac:dyDescent="0.3">
      <c r="A80" t="s">
        <v>228</v>
      </c>
    </row>
    <row r="81" spans="1:19" x14ac:dyDescent="0.3">
      <c r="A81" t="s">
        <v>218</v>
      </c>
    </row>
    <row r="82" spans="1:19" x14ac:dyDescent="0.3">
      <c r="A82" t="s">
        <v>217</v>
      </c>
      <c r="E82" s="5">
        <f t="shared" ref="E82:L82" si="6">E68/E$45</f>
        <v>1.6844700082169244E-2</v>
      </c>
      <c r="F82" s="5">
        <f t="shared" si="6"/>
        <v>1.8018018018017848E-2</v>
      </c>
      <c r="G82" s="5">
        <f t="shared" si="6"/>
        <v>-1.9442406456346126E-2</v>
      </c>
      <c r="H82" s="5">
        <f t="shared" si="6"/>
        <v>0.1143162393162394</v>
      </c>
      <c r="I82" s="5">
        <f t="shared" si="6"/>
        <v>7.3646209386281511E-2</v>
      </c>
      <c r="J82" s="5">
        <f t="shared" si="6"/>
        <v>0.11445783132530114</v>
      </c>
      <c r="K82" s="5">
        <f t="shared" si="6"/>
        <v>5.2531645569620325E-2</v>
      </c>
      <c r="L82" s="5">
        <f t="shared" si="6"/>
        <v>4.0493968983342808E-2</v>
      </c>
      <c r="R82" s="5">
        <f>AVERAGE(E82:L82)</f>
        <v>5.1358275778078263E-2</v>
      </c>
      <c r="S82" s="5">
        <f>STDEV(E82:L82)</f>
        <v>4.7624899439167118E-2</v>
      </c>
    </row>
    <row r="83" spans="1:19" x14ac:dyDescent="0.3">
      <c r="A83" t="s">
        <v>219</v>
      </c>
      <c r="F83" s="5">
        <f t="shared" ref="F83:L83" si="7">F69/F$45</f>
        <v>-8.7087087087087262E-2</v>
      </c>
      <c r="G83" s="5">
        <f t="shared" si="7"/>
        <v>-7.1166544387380695E-2</v>
      </c>
      <c r="H83" s="5">
        <f t="shared" si="7"/>
        <v>-8.8319088319088357E-2</v>
      </c>
      <c r="I83" s="5">
        <f t="shared" si="7"/>
        <v>4.3321299638989168E-2</v>
      </c>
      <c r="J83" s="5">
        <f t="shared" si="7"/>
        <v>1.559177888022671E-2</v>
      </c>
      <c r="K83" s="5">
        <f t="shared" si="7"/>
        <v>9.3987341772151858E-2</v>
      </c>
      <c r="L83" s="5">
        <f t="shared" si="7"/>
        <v>6.2607696726019568E-2</v>
      </c>
      <c r="M83" s="5"/>
      <c r="R83" s="5">
        <f>AVERAGE(E83:L83)</f>
        <v>-4.4378003965955754E-3</v>
      </c>
      <c r="S83" s="5">
        <f>STDEV(E83:L83)</f>
        <v>7.6577219530509638E-2</v>
      </c>
    </row>
    <row r="84" spans="1:19" x14ac:dyDescent="0.3">
      <c r="A84" t="s">
        <v>220</v>
      </c>
      <c r="G84" s="5">
        <f t="shared" ref="G84:L84" si="8">G70/G$45</f>
        <v>-8.0704328686720464E-2</v>
      </c>
      <c r="H84" s="5">
        <f t="shared" si="8"/>
        <v>-4.1666666666666623E-2</v>
      </c>
      <c r="I84" s="5">
        <f t="shared" si="8"/>
        <v>-0.12418772563176887</v>
      </c>
      <c r="J84" s="5">
        <f t="shared" si="8"/>
        <v>-3.8979447200566973E-2</v>
      </c>
      <c r="K84" s="5">
        <f t="shared" si="8"/>
        <v>0.11424050632911399</v>
      </c>
      <c r="L84" s="5">
        <f t="shared" si="8"/>
        <v>0.17576105686387131</v>
      </c>
      <c r="R84" s="5">
        <f>AVERAGE(E84:L84)</f>
        <v>7.4389916787706101E-4</v>
      </c>
      <c r="S84" s="5">
        <f>STDEV(E84:L84)</f>
        <v>0.11758470169366773</v>
      </c>
    </row>
    <row r="85" spans="1:19" x14ac:dyDescent="0.3">
      <c r="A85" t="s">
        <v>221</v>
      </c>
      <c r="H85" s="5">
        <f>H71/H$45</f>
        <v>-8.7606837606837476E-2</v>
      </c>
      <c r="I85" s="5">
        <f>I71/I$45</f>
        <v>-0.10722021660649815</v>
      </c>
      <c r="J85" s="5">
        <f>J71/J$45</f>
        <v>-0.1236711552090715</v>
      </c>
      <c r="K85" s="5">
        <f>K71/K$45</f>
        <v>9.8101265822783737E-3</v>
      </c>
      <c r="L85" s="5">
        <f>L71/L$45</f>
        <v>0.19184376794945437</v>
      </c>
      <c r="R85" s="5">
        <f>AVERAGE(E85:L85)</f>
        <v>-2.3368862978134879E-2</v>
      </c>
      <c r="S85" s="5">
        <f>STDEV(E85:L85)</f>
        <v>0.13099183044708518</v>
      </c>
    </row>
    <row r="87" spans="1:19" x14ac:dyDescent="0.3">
      <c r="A87" t="s">
        <v>229</v>
      </c>
    </row>
    <row r="88" spans="1:19" x14ac:dyDescent="0.3">
      <c r="A88" t="s">
        <v>218</v>
      </c>
    </row>
    <row r="89" spans="1:19" x14ac:dyDescent="0.3">
      <c r="A89" t="s">
        <v>217</v>
      </c>
      <c r="E89" s="5">
        <f t="shared" ref="E89:L89" si="9">E75/E$45</f>
        <v>1.6844700082169244E-2</v>
      </c>
      <c r="F89" s="5">
        <f t="shared" si="9"/>
        <v>1.8018018018017848E-2</v>
      </c>
      <c r="G89" s="5">
        <f t="shared" si="9"/>
        <v>1.9442406456346126E-2</v>
      </c>
      <c r="H89" s="5">
        <f t="shared" si="9"/>
        <v>0.1143162393162394</v>
      </c>
      <c r="I89" s="5">
        <f t="shared" si="9"/>
        <v>7.3646209386281511E-2</v>
      </c>
      <c r="J89" s="5">
        <f t="shared" si="9"/>
        <v>0.11445783132530114</v>
      </c>
      <c r="K89" s="5">
        <f t="shared" si="9"/>
        <v>5.2531645569620325E-2</v>
      </c>
      <c r="L89" s="5">
        <f t="shared" si="9"/>
        <v>4.0493968983342808E-2</v>
      </c>
      <c r="R89" s="5">
        <f>AVERAGE(E89:L89)</f>
        <v>5.6218877392164794E-2</v>
      </c>
      <c r="S89" s="5">
        <f>STDEV(E89:L89)</f>
        <v>4.0872274660442451E-2</v>
      </c>
    </row>
    <row r="90" spans="1:19" x14ac:dyDescent="0.3">
      <c r="A90" t="s">
        <v>219</v>
      </c>
      <c r="F90" s="5">
        <f t="shared" ref="F90:L90" si="10">F76/F$45</f>
        <v>8.7087087087087262E-2</v>
      </c>
      <c r="G90" s="5">
        <f t="shared" si="10"/>
        <v>7.1166544387380695E-2</v>
      </c>
      <c r="H90" s="5">
        <f t="shared" si="10"/>
        <v>8.8319088319088357E-2</v>
      </c>
      <c r="I90" s="5">
        <f t="shared" si="10"/>
        <v>4.3321299638989168E-2</v>
      </c>
      <c r="J90" s="5">
        <f t="shared" si="10"/>
        <v>1.559177888022671E-2</v>
      </c>
      <c r="K90" s="5">
        <f t="shared" si="10"/>
        <v>9.3987341772151858E-2</v>
      </c>
      <c r="L90" s="5">
        <f t="shared" si="10"/>
        <v>6.2607696726019568E-2</v>
      </c>
      <c r="M90" s="5"/>
      <c r="R90" s="5">
        <f>AVERAGE(E90:L90)</f>
        <v>6.6011548115849097E-2</v>
      </c>
      <c r="S90" s="5">
        <f>STDEV(E90:L90)</f>
        <v>2.8341990109217646E-2</v>
      </c>
    </row>
    <row r="91" spans="1:19" x14ac:dyDescent="0.3">
      <c r="A91" t="s">
        <v>220</v>
      </c>
      <c r="G91" s="5">
        <f t="shared" ref="G91:L91" si="11">G77/G$45</f>
        <v>8.0704328686720464E-2</v>
      </c>
      <c r="H91" s="5">
        <f t="shared" si="11"/>
        <v>4.1666666666666623E-2</v>
      </c>
      <c r="I91" s="5">
        <f t="shared" si="11"/>
        <v>0.12418772563176887</v>
      </c>
      <c r="J91" s="5">
        <f t="shared" si="11"/>
        <v>3.8979447200566973E-2</v>
      </c>
      <c r="K91" s="5">
        <f t="shared" si="11"/>
        <v>0.11424050632911399</v>
      </c>
      <c r="L91" s="5">
        <f t="shared" si="11"/>
        <v>0.17576105686387131</v>
      </c>
      <c r="R91" s="5">
        <f>AVERAGE(E91:L91)</f>
        <v>9.5923288563118034E-2</v>
      </c>
      <c r="S91" s="5">
        <f>STDEV(E91:L91)</f>
        <v>5.2775878856153008E-2</v>
      </c>
    </row>
    <row r="92" spans="1:19" x14ac:dyDescent="0.3">
      <c r="A92" t="s">
        <v>221</v>
      </c>
      <c r="H92" s="5">
        <f>H78/H$45</f>
        <v>8.7606837606837476E-2</v>
      </c>
      <c r="I92" s="5">
        <f>I78/I$45</f>
        <v>0.10722021660649815</v>
      </c>
      <c r="J92" s="5">
        <f>J78/J$45</f>
        <v>0.1236711552090715</v>
      </c>
      <c r="K92" s="5">
        <f>K78/K$45</f>
        <v>9.8101265822783737E-3</v>
      </c>
      <c r="L92" s="5">
        <f>L78/L$45</f>
        <v>0.19184376794945437</v>
      </c>
      <c r="R92" s="5">
        <f>AVERAGE(E92:L92)</f>
        <v>0.10403042079082798</v>
      </c>
      <c r="S92" s="5">
        <f>STDEV(E92:L92)</f>
        <v>6.5677840841455379E-2</v>
      </c>
    </row>
    <row r="98" spans="1:16" x14ac:dyDescent="0.3">
      <c r="A98" t="s">
        <v>188</v>
      </c>
    </row>
    <row r="99" spans="1:16" x14ac:dyDescent="0.3">
      <c r="A99" t="s">
        <v>216</v>
      </c>
      <c r="B99" t="s">
        <v>127</v>
      </c>
      <c r="C99" t="s">
        <v>128</v>
      </c>
      <c r="D99" t="s">
        <v>129</v>
      </c>
      <c r="E99" t="s">
        <v>130</v>
      </c>
      <c r="F99" t="s">
        <v>131</v>
      </c>
      <c r="G99" t="s">
        <v>132</v>
      </c>
      <c r="H99" t="s">
        <v>133</v>
      </c>
      <c r="I99" t="s">
        <v>134</v>
      </c>
      <c r="J99" t="s">
        <v>135</v>
      </c>
      <c r="K99" t="s">
        <v>136</v>
      </c>
      <c r="L99" t="s">
        <v>137</v>
      </c>
      <c r="M99" t="s">
        <v>138</v>
      </c>
      <c r="N99" t="s">
        <v>139</v>
      </c>
      <c r="O99" t="s">
        <v>140</v>
      </c>
      <c r="P99" t="s">
        <v>141</v>
      </c>
    </row>
    <row r="100" spans="1:16" x14ac:dyDescent="0.3">
      <c r="A100" t="s">
        <v>142</v>
      </c>
      <c r="F100">
        <v>289.60000000000002</v>
      </c>
      <c r="G100">
        <v>294.60000000000002</v>
      </c>
      <c r="H100">
        <v>305.39999999999998</v>
      </c>
    </row>
    <row r="101" spans="1:16" x14ac:dyDescent="0.3">
      <c r="A101" t="s">
        <v>143</v>
      </c>
      <c r="G101">
        <v>292</v>
      </c>
      <c r="H101">
        <v>292.5</v>
      </c>
      <c r="I101">
        <v>306.7</v>
      </c>
    </row>
    <row r="102" spans="1:16" x14ac:dyDescent="0.3">
      <c r="A102" t="s">
        <v>144</v>
      </c>
      <c r="H102">
        <v>305.60000000000002</v>
      </c>
      <c r="I102">
        <v>311.39999999999998</v>
      </c>
      <c r="J102">
        <v>317.09999999999997</v>
      </c>
    </row>
    <row r="103" spans="1:16" x14ac:dyDescent="0.3">
      <c r="A103" t="s">
        <v>145</v>
      </c>
      <c r="I103">
        <v>265</v>
      </c>
      <c r="J103">
        <v>293.2</v>
      </c>
      <c r="K103">
        <v>312.90000000000003</v>
      </c>
    </row>
    <row r="104" spans="1:16" x14ac:dyDescent="0.3">
      <c r="A104" t="s">
        <v>146</v>
      </c>
      <c r="J104">
        <v>277.8</v>
      </c>
      <c r="K104">
        <v>279.89999999999998</v>
      </c>
      <c r="L104">
        <v>281.39999999999998</v>
      </c>
    </row>
    <row r="105" spans="1:16" x14ac:dyDescent="0.3">
      <c r="A105" t="s">
        <v>147</v>
      </c>
      <c r="K105">
        <v>286.3</v>
      </c>
      <c r="L105">
        <v>287</v>
      </c>
      <c r="M105">
        <v>294.40000000000003</v>
      </c>
    </row>
    <row r="106" spans="1:16" x14ac:dyDescent="0.3">
      <c r="A106" t="s">
        <v>148</v>
      </c>
      <c r="L106">
        <v>326.39999999999998</v>
      </c>
      <c r="M106">
        <v>333.1</v>
      </c>
      <c r="N106">
        <v>344.4</v>
      </c>
    </row>
    <row r="107" spans="1:16" x14ac:dyDescent="0.3">
      <c r="A107" t="s">
        <v>149</v>
      </c>
      <c r="M107">
        <v>382.2</v>
      </c>
      <c r="N107">
        <v>394.3</v>
      </c>
      <c r="O107">
        <v>395.6</v>
      </c>
    </row>
    <row r="108" spans="1:16" x14ac:dyDescent="0.3">
      <c r="A108" t="s">
        <v>150</v>
      </c>
      <c r="N108">
        <v>420.5</v>
      </c>
      <c r="O108">
        <v>462</v>
      </c>
      <c r="P108">
        <v>472.9</v>
      </c>
    </row>
    <row r="111" spans="1:16" x14ac:dyDescent="0.3">
      <c r="A111" t="s">
        <v>152</v>
      </c>
      <c r="E111">
        <v>243.4</v>
      </c>
      <c r="F111">
        <v>266.39999999999998</v>
      </c>
      <c r="G111">
        <v>272.60000000000002</v>
      </c>
      <c r="H111">
        <v>280.8</v>
      </c>
      <c r="I111">
        <v>277</v>
      </c>
      <c r="J111">
        <v>282.2</v>
      </c>
      <c r="K111">
        <v>316</v>
      </c>
      <c r="L111">
        <v>348.2</v>
      </c>
    </row>
    <row r="114" spans="1:16" x14ac:dyDescent="0.3">
      <c r="A114" t="s">
        <v>190</v>
      </c>
    </row>
    <row r="115" spans="1:16" x14ac:dyDescent="0.3">
      <c r="A115" t="s">
        <v>216</v>
      </c>
      <c r="B115" t="s">
        <v>127</v>
      </c>
      <c r="C115" t="s">
        <v>128</v>
      </c>
      <c r="D115" t="s">
        <v>129</v>
      </c>
      <c r="E115" t="s">
        <v>130</v>
      </c>
      <c r="F115" t="s">
        <v>131</v>
      </c>
      <c r="G115" t="s">
        <v>132</v>
      </c>
      <c r="H115" t="s">
        <v>133</v>
      </c>
      <c r="I115" t="s">
        <v>134</v>
      </c>
      <c r="J115" t="s">
        <v>135</v>
      </c>
      <c r="K115" t="s">
        <v>136</v>
      </c>
      <c r="L115" t="s">
        <v>137</v>
      </c>
      <c r="M115" t="s">
        <v>138</v>
      </c>
      <c r="N115" t="s">
        <v>139</v>
      </c>
      <c r="O115" t="s">
        <v>140</v>
      </c>
      <c r="P115" t="s">
        <v>141</v>
      </c>
    </row>
    <row r="116" spans="1:16" x14ac:dyDescent="0.3">
      <c r="A116" t="s">
        <v>142</v>
      </c>
      <c r="F116">
        <v>0.28095522388059702</v>
      </c>
      <c r="G116">
        <v>0.32733333333333337</v>
      </c>
      <c r="H116">
        <v>0.28219712525667345</v>
      </c>
    </row>
    <row r="117" spans="1:16" x14ac:dyDescent="0.3">
      <c r="A117" t="s">
        <v>143</v>
      </c>
      <c r="G117">
        <v>0.28112063155867911</v>
      </c>
      <c r="H117">
        <v>0.26820099028057953</v>
      </c>
      <c r="I117">
        <v>0.26861096514275706</v>
      </c>
    </row>
    <row r="118" spans="1:16" x14ac:dyDescent="0.3">
      <c r="A118" t="s">
        <v>144</v>
      </c>
      <c r="H118">
        <v>0.26400000000000001</v>
      </c>
      <c r="I118">
        <v>0.255</v>
      </c>
      <c r="J118">
        <v>0.24492276166456489</v>
      </c>
    </row>
    <row r="119" spans="1:16" x14ac:dyDescent="0.3">
      <c r="A119" t="s">
        <v>145</v>
      </c>
      <c r="I119">
        <v>0.25703200775945684</v>
      </c>
      <c r="J119">
        <v>0.26938625505328923</v>
      </c>
      <c r="K119">
        <v>0.26990425256620376</v>
      </c>
    </row>
    <row r="120" spans="1:16" x14ac:dyDescent="0.3">
      <c r="A120" t="s">
        <v>146</v>
      </c>
      <c r="J120">
        <v>0.21083788706739529</v>
      </c>
      <c r="K120">
        <v>0.19585753271289622</v>
      </c>
      <c r="L120">
        <v>0.18392156862745096</v>
      </c>
    </row>
    <row r="121" spans="1:16" x14ac:dyDescent="0.3">
      <c r="A121" t="s">
        <v>147</v>
      </c>
      <c r="K121">
        <v>0.22503930131004368</v>
      </c>
      <c r="L121">
        <v>0.20383522727272727</v>
      </c>
      <c r="M121">
        <v>0.1962666666666667</v>
      </c>
    </row>
    <row r="122" spans="1:16" x14ac:dyDescent="0.3">
      <c r="A122" t="s">
        <v>148</v>
      </c>
      <c r="L122">
        <v>0.21932535949469156</v>
      </c>
      <c r="M122">
        <v>0.19955667385573927</v>
      </c>
      <c r="N122">
        <v>0.19850144092219019</v>
      </c>
    </row>
    <row r="123" spans="1:16" x14ac:dyDescent="0.3">
      <c r="A123" t="s">
        <v>149</v>
      </c>
      <c r="M123">
        <v>0.30333333333333334</v>
      </c>
      <c r="N123">
        <v>0.29635475385193538</v>
      </c>
      <c r="O123">
        <v>0.28493229616825122</v>
      </c>
    </row>
    <row r="124" spans="1:16" x14ac:dyDescent="0.3">
      <c r="A124" t="s">
        <v>150</v>
      </c>
      <c r="N124">
        <v>0.32579220577980939</v>
      </c>
      <c r="O124">
        <v>0.3390328025244001</v>
      </c>
      <c r="P124">
        <v>0.33270015477698039</v>
      </c>
    </row>
    <row r="127" spans="1:16" x14ac:dyDescent="0.3">
      <c r="A127" t="s">
        <v>152</v>
      </c>
      <c r="F127">
        <v>0.25025833724753405</v>
      </c>
      <c r="G127">
        <v>0.23419243986254298</v>
      </c>
      <c r="H127">
        <v>0.24867162592986186</v>
      </c>
      <c r="I127">
        <v>0.25914491533352041</v>
      </c>
      <c r="J127">
        <v>0.25978090766823159</v>
      </c>
      <c r="K127">
        <v>0.26301771207883873</v>
      </c>
      <c r="L127">
        <v>0.22651574290918552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1F8F-53C6-47C9-B7D9-05FEB03FC67B}">
  <dimension ref="A1:L15"/>
  <sheetViews>
    <sheetView workbookViewId="0">
      <selection activeCell="J19" sqref="J19"/>
    </sheetView>
  </sheetViews>
  <sheetFormatPr defaultRowHeight="14.4" x14ac:dyDescent="0.3"/>
  <cols>
    <col min="1" max="1" width="22.109375" bestFit="1" customWidth="1"/>
  </cols>
  <sheetData>
    <row r="1" spans="1:12" x14ac:dyDescent="0.3"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118</v>
      </c>
      <c r="J1" t="s">
        <v>198</v>
      </c>
      <c r="K1" t="s">
        <v>199</v>
      </c>
      <c r="L1" t="s">
        <v>200</v>
      </c>
    </row>
    <row r="2" spans="1:12" x14ac:dyDescent="0.3">
      <c r="A2" t="s">
        <v>201</v>
      </c>
      <c r="B2" s="10">
        <f>13.4/0.013</f>
        <v>1030.7692307692309</v>
      </c>
      <c r="C2" s="10">
        <f>0.9/0.001</f>
        <v>900</v>
      </c>
      <c r="D2" s="11">
        <f>48.7/0.045</f>
        <v>1082.2222222222224</v>
      </c>
      <c r="E2" s="6"/>
      <c r="F2" s="6"/>
      <c r="G2" s="6"/>
      <c r="H2" s="6"/>
      <c r="I2" s="6"/>
      <c r="J2" s="6"/>
      <c r="K2" s="6"/>
      <c r="L2" s="6"/>
    </row>
    <row r="3" spans="1:12" x14ac:dyDescent="0.3">
      <c r="A3" t="s">
        <v>202</v>
      </c>
      <c r="B3" s="10">
        <v>987.7</v>
      </c>
      <c r="C3" s="10">
        <v>1038.7</v>
      </c>
      <c r="D3" s="10">
        <v>1090.5999999999999</v>
      </c>
      <c r="E3" s="11">
        <v>1141.8</v>
      </c>
      <c r="F3" s="6"/>
      <c r="G3" s="6"/>
      <c r="H3" s="6"/>
      <c r="I3" s="6"/>
      <c r="J3" s="6"/>
      <c r="K3" s="6"/>
      <c r="L3" s="6"/>
    </row>
    <row r="4" spans="1:12" x14ac:dyDescent="0.3">
      <c r="A4" t="s">
        <v>203</v>
      </c>
      <c r="B4" s="9">
        <f>266.4/0.251</f>
        <v>1061.3545816733067</v>
      </c>
      <c r="C4" s="10">
        <f>278/0.252</f>
        <v>1103.1746031746031</v>
      </c>
      <c r="D4" s="10">
        <f>305.6/0.264</f>
        <v>1157.5757575757575</v>
      </c>
      <c r="E4" s="10">
        <f>311.4/0.255</f>
        <v>1221.1764705882351</v>
      </c>
      <c r="F4" s="11">
        <f>317.2/0.245</f>
        <v>1294.6938775510205</v>
      </c>
      <c r="G4" s="6"/>
      <c r="H4" s="6"/>
      <c r="I4" s="6"/>
      <c r="J4" s="6"/>
      <c r="K4" s="6"/>
      <c r="L4" s="6"/>
    </row>
    <row r="5" spans="1:12" x14ac:dyDescent="0.3">
      <c r="A5" t="s">
        <v>204</v>
      </c>
      <c r="B5" s="6"/>
      <c r="C5" s="9">
        <v>1086.3</v>
      </c>
      <c r="D5" s="10">
        <v>1074.4000000000001</v>
      </c>
      <c r="E5" s="10">
        <v>1031</v>
      </c>
      <c r="F5" s="10">
        <v>1088.4000000000001</v>
      </c>
      <c r="G5" s="11">
        <v>1159.3</v>
      </c>
      <c r="H5" s="6"/>
      <c r="I5" s="6"/>
      <c r="J5" s="6"/>
      <c r="K5" s="6"/>
      <c r="L5" s="6"/>
    </row>
    <row r="6" spans="1:12" x14ac:dyDescent="0.3">
      <c r="A6" t="s">
        <v>205</v>
      </c>
      <c r="B6" s="6"/>
      <c r="C6" s="6"/>
      <c r="D6" s="9">
        <v>1208.7</v>
      </c>
      <c r="E6" s="10">
        <v>1234.0999999999999</v>
      </c>
      <c r="F6" s="10">
        <v>1317.6</v>
      </c>
      <c r="G6" s="10">
        <v>1429.1</v>
      </c>
      <c r="H6" s="11">
        <v>1530</v>
      </c>
      <c r="I6" s="6"/>
      <c r="J6" s="6"/>
      <c r="K6" s="6"/>
      <c r="L6" s="6"/>
    </row>
    <row r="7" spans="1:12" x14ac:dyDescent="0.3">
      <c r="A7" t="s">
        <v>206</v>
      </c>
      <c r="B7" s="6"/>
      <c r="C7" s="6"/>
      <c r="D7" s="6"/>
      <c r="E7" s="13">
        <f>59.7/0.053</f>
        <v>1126.4150943396228</v>
      </c>
      <c r="F7" s="14">
        <f>13.5/0.011</f>
        <v>1227.2727272727273</v>
      </c>
      <c r="G7" s="14">
        <f>22.9/0.018</f>
        <v>1272.2222222222222</v>
      </c>
      <c r="H7" s="14">
        <f>35.2/0.025</f>
        <v>1408</v>
      </c>
      <c r="I7" s="15">
        <f>21/0.014</f>
        <v>1500</v>
      </c>
      <c r="J7" s="6"/>
      <c r="K7" s="6"/>
      <c r="L7" s="6"/>
    </row>
    <row r="8" spans="1:12" x14ac:dyDescent="0.3">
      <c r="A8" t="s">
        <v>207</v>
      </c>
      <c r="B8" s="6"/>
      <c r="C8" s="6"/>
      <c r="D8" s="6"/>
      <c r="E8" s="6"/>
      <c r="F8" s="9">
        <v>1144.4000000000001</v>
      </c>
      <c r="G8" s="10">
        <v>1275</v>
      </c>
      <c r="H8" s="10">
        <v>1488.2</v>
      </c>
      <c r="I8" s="10">
        <v>1669.2</v>
      </c>
      <c r="J8" s="15">
        <f>34.7/0.02</f>
        <v>1735</v>
      </c>
      <c r="K8" s="6"/>
      <c r="L8" s="6"/>
    </row>
    <row r="9" spans="1:12" x14ac:dyDescent="0.3">
      <c r="A9" t="s">
        <v>208</v>
      </c>
      <c r="B9" s="6"/>
      <c r="C9" s="6"/>
      <c r="D9" s="6"/>
      <c r="E9" s="6"/>
      <c r="F9" s="6"/>
      <c r="G9" s="9">
        <v>1213.9000000000001</v>
      </c>
      <c r="H9" s="10">
        <v>1234.5</v>
      </c>
      <c r="I9" s="10">
        <v>1260</v>
      </c>
      <c r="J9" s="10">
        <v>1330.5</v>
      </c>
      <c r="K9" s="11">
        <v>1388.4</v>
      </c>
      <c r="L9" s="6"/>
    </row>
    <row r="10" spans="1:12" x14ac:dyDescent="0.3">
      <c r="A10" t="s">
        <v>209</v>
      </c>
      <c r="B10" s="6"/>
      <c r="C10" s="6"/>
      <c r="D10" s="6"/>
      <c r="E10" s="6"/>
      <c r="F10" s="6"/>
      <c r="G10" s="6"/>
      <c r="H10" s="9">
        <v>1225</v>
      </c>
      <c r="I10" s="10">
        <v>1258.0999999999999</v>
      </c>
      <c r="J10" s="10">
        <v>1290.7</v>
      </c>
      <c r="K10" s="10">
        <v>1362.7</v>
      </c>
      <c r="L10" s="11">
        <v>1421.4</v>
      </c>
    </row>
    <row r="13" spans="1:12" x14ac:dyDescent="0.3">
      <c r="A13" t="s">
        <v>152</v>
      </c>
      <c r="B13" s="10">
        <v>1064.5</v>
      </c>
      <c r="C13" s="10">
        <v>1164</v>
      </c>
      <c r="D13" s="10">
        <v>1129.2</v>
      </c>
      <c r="E13" s="10">
        <v>1068.9000000000001</v>
      </c>
      <c r="F13" s="10">
        <v>1086.3</v>
      </c>
      <c r="G13" s="10">
        <v>1201.44</v>
      </c>
      <c r="H13" s="11">
        <v>1537.2</v>
      </c>
      <c r="I13" s="12"/>
      <c r="J13" s="6"/>
      <c r="K13" s="6"/>
      <c r="L13" s="6"/>
    </row>
    <row r="15" spans="1:12" x14ac:dyDescent="0.3">
      <c r="A15" t="s">
        <v>235</v>
      </c>
      <c r="B15">
        <v>1082.6999352630264</v>
      </c>
      <c r="C15">
        <v>1149.6614804008157</v>
      </c>
      <c r="D15">
        <v>1170.2545568454877</v>
      </c>
      <c r="E15">
        <v>1182.9357306088943</v>
      </c>
      <c r="F15">
        <v>1264.2624977465096</v>
      </c>
      <c r="G15">
        <v>1396.0486373587678</v>
      </c>
      <c r="H15">
        <v>1537.1862959627642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9CD990-F682-4522-B3A5-3EAD8E44C3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Charts</vt:lpstr>
      <vt:lpstr>Lookup</vt:lpstr>
      <vt:lpstr>FY2018</vt:lpstr>
      <vt:lpstr>FY2019</vt:lpstr>
      <vt:lpstr>FY2020</vt:lpstr>
      <vt:lpstr>FY2021</vt:lpstr>
      <vt:lpstr>FY2022</vt:lpstr>
      <vt:lpstr>FY2023</vt:lpstr>
      <vt:lpstr>FY2024</vt:lpstr>
      <vt:lpstr>FY2025</vt:lpstr>
      <vt:lpstr>FY2026</vt:lpstr>
      <vt:lpstr>Non-Grant Revenue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Crooke</dc:creator>
  <cp:lastModifiedBy>Antonio Moeaki</cp:lastModifiedBy>
  <dcterms:created xsi:type="dcterms:W3CDTF">2025-11-25T08:50:08Z</dcterms:created>
  <dcterms:modified xsi:type="dcterms:W3CDTF">2026-01-05T22:28:59Z</dcterms:modified>
</cp:coreProperties>
</file>