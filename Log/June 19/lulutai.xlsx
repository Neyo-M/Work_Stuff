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eaki\Desktop\"/>
    </mc:Choice>
  </mc:AlternateContent>
  <xr:revisionPtr revIDLastSave="0" documentId="13_ncr:1_{1899188F-B06A-42B1-AA0E-10658FBDDC0B}" xr6:coauthVersionLast="47" xr6:coauthVersionMax="47" xr10:uidLastSave="{00000000-0000-0000-0000-000000000000}"/>
  <bookViews>
    <workbookView xWindow="-108" yWindow="-108" windowWidth="23256" windowHeight="13896" activeTab="2" xr2:uid="{EEFAC4F5-23BB-429B-9A0A-7A6B250A146C}"/>
  </bookViews>
  <sheets>
    <sheet name="Lulutai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" i="3" l="1"/>
  <c r="K16" i="3"/>
  <c r="L16" i="3"/>
  <c r="J17" i="3"/>
  <c r="J18" i="3"/>
  <c r="D23" i="3"/>
  <c r="D22" i="3"/>
  <c r="C23" i="3"/>
  <c r="C22" i="3"/>
  <c r="B23" i="3"/>
  <c r="B22" i="3"/>
  <c r="L24" i="3"/>
  <c r="F18" i="3"/>
  <c r="G18" i="3" s="1"/>
  <c r="F17" i="3"/>
  <c r="G16" i="3"/>
  <c r="J16" i="3" s="1"/>
  <c r="F16" i="3"/>
  <c r="D30" i="1"/>
  <c r="I17" i="1"/>
  <c r="J17" i="1" s="1"/>
  <c r="J16" i="1"/>
  <c r="F29" i="1"/>
  <c r="D27" i="1"/>
  <c r="B29" i="1"/>
  <c r="L7" i="2"/>
  <c r="L24" i="1"/>
  <c r="F18" i="1"/>
  <c r="F17" i="1"/>
  <c r="F16" i="1"/>
  <c r="I18" i="3" l="1"/>
  <c r="I17" i="3"/>
  <c r="G17" i="3"/>
  <c r="I16" i="1"/>
  <c r="I18" i="1" l="1"/>
  <c r="J18" i="1" s="1"/>
</calcChain>
</file>

<file path=xl/sharedStrings.xml><?xml version="1.0" encoding="utf-8"?>
<sst xmlns="http://schemas.openxmlformats.org/spreadsheetml/2006/main" count="126" uniqueCount="34">
  <si>
    <t>Month</t>
  </si>
  <si>
    <t>TBU-VAV</t>
  </si>
  <si>
    <t>VAV-TBU</t>
  </si>
  <si>
    <t>TBU-HPA</t>
  </si>
  <si>
    <t>HPA-TBU</t>
  </si>
  <si>
    <t>TBU-EUA</t>
  </si>
  <si>
    <t>EUA-TBU</t>
  </si>
  <si>
    <t>TBU-NTT</t>
  </si>
  <si>
    <t>NTT-TBU</t>
  </si>
  <si>
    <t>TBU-NFO</t>
  </si>
  <si>
    <t>NFO-TBU</t>
  </si>
  <si>
    <t>TOTAL</t>
  </si>
  <si>
    <t>Capacity (full)</t>
  </si>
  <si>
    <t>SURCHARGE APPLIED</t>
  </si>
  <si>
    <t>SURCHARGE RATE</t>
  </si>
  <si>
    <t>1. Core Assumptions</t>
  </si>
  <si>
    <t>2.  Fleet Burn Rates &amp; Hourly Exposure</t>
  </si>
  <si>
    <t>Aircraft Type</t>
  </si>
  <si>
    <t>Fuel Burn (Liters/Hr)</t>
  </si>
  <si>
    <t>DHC-6 (Twin otter)</t>
  </si>
  <si>
    <t>SAAB340 (ACMI)</t>
  </si>
  <si>
    <t>550 L</t>
  </si>
  <si>
    <t>Harbin Y12E</t>
  </si>
  <si>
    <t>Projections based on fuel Delta per flight (Delta/Seats) recovery</t>
  </si>
  <si>
    <t>Additional Cost per hour (@1.87 Delta)</t>
  </si>
  <si>
    <t>340 L</t>
  </si>
  <si>
    <t>350 L</t>
  </si>
  <si>
    <t xml:space="preserve">Surcharge Rate = </t>
  </si>
  <si>
    <t>(Additional Cost per hour / Aircaft capacity seats) / Block hours</t>
  </si>
  <si>
    <r>
      <rPr>
        <b/>
        <sz val="12"/>
        <color rgb="FF000000"/>
        <rFont val="Aptos"/>
        <family val="2"/>
      </rPr>
      <t>Block Time</t>
    </r>
    <r>
      <rPr>
        <sz val="12"/>
        <color rgb="FF000000"/>
        <rFont val="Aptos"/>
        <family val="2"/>
      </rPr>
      <t>: Includes taxi, takeoff, and landing cycles, as fuel is consumed from engine start to shut down.</t>
    </r>
  </si>
  <si>
    <r>
      <rPr>
        <b/>
        <sz val="12"/>
        <color rgb="FF000000"/>
        <rFont val="Aptos"/>
        <family val="2"/>
      </rPr>
      <t>Fuel Price Delta</t>
    </r>
    <r>
      <rPr>
        <sz val="12"/>
        <color rgb="FF000000"/>
        <rFont val="Aptos"/>
        <family val="2"/>
      </rPr>
      <t xml:space="preserve"> : $1.87 per liter (The additional cost we must recover)…..</t>
    </r>
    <r>
      <rPr>
        <sz val="12"/>
        <color rgb="FFFF0000"/>
        <rFont val="Aptos"/>
        <family val="2"/>
      </rPr>
      <t xml:space="preserve">(The calculation is based on the verified 43.5% spike in diesel as a proxy for Jet A1, moving our landed cost from TOP 2.63/L to potential ceiling TOP 4.50/L </t>
    </r>
  </si>
  <si>
    <t>BLOCK</t>
  </si>
  <si>
    <t>TBU-VVU</t>
  </si>
  <si>
    <t>Seating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</si>
</sst>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_-;\-* #,##0_-;_-* &quot;-&quot;??_-;_-@_-"/>
    <numFmt numFmtId="166" formatCode="_(&quot;$&quot;* #,##0_);_(&quot;$&quot;* \(#,##0\);_(&quot;$&quot;* &quot;-&quot;??_);_(@_)"/>
    <numFmt numFmtId="167" formatCode="&quot;$&quot;#,##0.00_);[Red]\(&quot;$&quot;#,##0.00\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Aptos Narrow"/>
      <family val="2"/>
      <scheme val="minor"/>
    </font>
    <font>
      <sz val="12"/>
      <color rgb="FFFF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left" indent="1"/>
    </xf>
    <xf numFmtId="165" fontId="2" fillId="0" borderId="1" xfId="1" applyNumberFormat="1" applyFont="1" applyBorder="1" applyAlignment="1">
      <alignment horizontal="left" indent="1"/>
    </xf>
    <xf numFmtId="166" fontId="0" fillId="0" borderId="1" xfId="2" applyNumberFormat="1" applyFont="1" applyBorder="1" applyAlignment="1">
      <alignment horizontal="left" indent="1"/>
    </xf>
    <xf numFmtId="166" fontId="2" fillId="0" borderId="1" xfId="2" applyNumberFormat="1" applyFont="1" applyBorder="1" applyAlignment="1">
      <alignment horizontal="left" indent="1"/>
    </xf>
    <xf numFmtId="0" fontId="0" fillId="4" borderId="1" xfId="0" applyFill="1" applyBorder="1"/>
    <xf numFmtId="0" fontId="4" fillId="0" borderId="0" xfId="0" applyFont="1"/>
    <xf numFmtId="0" fontId="3" fillId="0" borderId="0" xfId="0" applyFont="1"/>
    <xf numFmtId="0" fontId="0" fillId="5" borderId="1" xfId="0" applyFill="1" applyBorder="1" applyAlignment="1">
      <alignment horizontal="center"/>
    </xf>
    <xf numFmtId="0" fontId="4" fillId="0" borderId="1" xfId="0" applyFont="1" applyBorder="1"/>
    <xf numFmtId="167" fontId="0" fillId="0" borderId="1" xfId="0" applyNumberFormat="1" applyBorder="1" applyAlignment="1">
      <alignment horizontal="center"/>
    </xf>
    <xf numFmtId="43" fontId="0" fillId="0" borderId="1" xfId="1" applyFont="1" applyBorder="1"/>
    <xf numFmtId="0" fontId="5" fillId="0" borderId="1" xfId="0" applyFont="1" applyBorder="1" applyAlignment="1">
      <alignment horizontal="center"/>
    </xf>
    <xf numFmtId="0" fontId="2" fillId="0" borderId="0" xfId="0" applyFont="1"/>
    <xf numFmtId="0" fontId="4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wrapText="1"/>
    </xf>
    <xf numFmtId="166" fontId="5" fillId="6" borderId="0" xfId="0" applyNumberFormat="1" applyFont="1" applyFill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43" fontId="0" fillId="0" borderId="1" xfId="0" applyNumberFormat="1" applyBorder="1" applyAlignment="1">
      <alignment horizontal="center"/>
    </xf>
    <xf numFmtId="43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E53A-EB30-4EF1-9FF7-A70EC12FD794}">
  <dimension ref="A2:W30"/>
  <sheetViews>
    <sheetView zoomScale="73" workbookViewId="0">
      <selection activeCell="G19" sqref="G19"/>
    </sheetView>
  </sheetViews>
  <sheetFormatPr defaultRowHeight="14.4" x14ac:dyDescent="0.3"/>
  <cols>
    <col min="1" max="1" width="10.5546875" customWidth="1"/>
    <col min="2" max="3" width="11.33203125" bestFit="1" customWidth="1"/>
    <col min="4" max="4" width="100.77734375" customWidth="1"/>
    <col min="5" max="5" width="15.6640625" customWidth="1"/>
    <col min="6" max="6" width="19.109375" customWidth="1"/>
    <col min="12" max="12" width="12.33203125" bestFit="1" customWidth="1"/>
  </cols>
  <sheetData>
    <row r="2" spans="1:23" x14ac:dyDescent="0.3">
      <c r="A2" s="20" t="s">
        <v>12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23" x14ac:dyDescent="0.3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</row>
    <row r="4" spans="1:23" ht="15.6" x14ac:dyDescent="0.3">
      <c r="A4" s="2">
        <v>46143</v>
      </c>
      <c r="B4" s="3">
        <v>2652</v>
      </c>
      <c r="C4" s="3">
        <v>2652</v>
      </c>
      <c r="D4" s="3">
        <v>1254</v>
      </c>
      <c r="E4" s="3">
        <v>1254</v>
      </c>
      <c r="F4" s="3">
        <v>570</v>
      </c>
      <c r="G4" s="3">
        <v>570</v>
      </c>
      <c r="H4" s="3">
        <v>51</v>
      </c>
      <c r="I4" s="3">
        <v>51</v>
      </c>
      <c r="J4" s="3">
        <v>34</v>
      </c>
      <c r="K4" s="3">
        <v>34</v>
      </c>
      <c r="L4" s="4">
        <v>9122</v>
      </c>
    </row>
    <row r="5" spans="1:23" ht="15.6" x14ac:dyDescent="0.3">
      <c r="A5" s="2">
        <v>46174</v>
      </c>
      <c r="B5" s="3">
        <v>2652</v>
      </c>
      <c r="C5" s="3">
        <v>2652</v>
      </c>
      <c r="D5" s="3">
        <v>1368</v>
      </c>
      <c r="E5" s="3">
        <v>1368</v>
      </c>
      <c r="F5" s="3">
        <v>608</v>
      </c>
      <c r="G5" s="3">
        <v>608</v>
      </c>
      <c r="H5" s="3">
        <v>51</v>
      </c>
      <c r="I5" s="3">
        <v>51</v>
      </c>
      <c r="J5" s="3">
        <v>34</v>
      </c>
      <c r="K5" s="3">
        <v>34</v>
      </c>
      <c r="L5" s="4">
        <v>9426</v>
      </c>
    </row>
    <row r="7" spans="1:23" ht="15.6" x14ac:dyDescent="0.3">
      <c r="A7" s="7" t="s">
        <v>14</v>
      </c>
      <c r="B7" s="7"/>
      <c r="D7" s="22" t="s">
        <v>15</v>
      </c>
      <c r="E7" s="22"/>
    </row>
    <row r="8" spans="1:23" x14ac:dyDescent="0.3">
      <c r="A8" s="1" t="s">
        <v>1</v>
      </c>
      <c r="B8" s="13">
        <v>44.5</v>
      </c>
    </row>
    <row r="9" spans="1:23" ht="60" customHeight="1" x14ac:dyDescent="0.3">
      <c r="A9" s="1" t="s">
        <v>2</v>
      </c>
      <c r="B9" s="13">
        <v>44.5</v>
      </c>
      <c r="D9" s="23" t="s">
        <v>30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ht="15.6" x14ac:dyDescent="0.3">
      <c r="A10" s="1" t="s">
        <v>3</v>
      </c>
      <c r="B10" s="13">
        <v>31.5</v>
      </c>
      <c r="D10" s="8" t="s">
        <v>23</v>
      </c>
    </row>
    <row r="11" spans="1:23" ht="15.6" x14ac:dyDescent="0.3">
      <c r="A11" s="1" t="s">
        <v>4</v>
      </c>
      <c r="B11" s="13">
        <v>31.5</v>
      </c>
      <c r="D11" s="8" t="s">
        <v>29</v>
      </c>
    </row>
    <row r="12" spans="1:23" ht="15.6" x14ac:dyDescent="0.3">
      <c r="A12" s="1" t="s">
        <v>5</v>
      </c>
      <c r="B12" s="13">
        <v>9</v>
      </c>
      <c r="D12" s="15" t="s">
        <v>27</v>
      </c>
      <c r="E12" s="15" t="s">
        <v>28</v>
      </c>
      <c r="F12" s="15"/>
      <c r="G12" s="15"/>
      <c r="H12" s="15"/>
    </row>
    <row r="13" spans="1:23" x14ac:dyDescent="0.3">
      <c r="A13" s="1" t="s">
        <v>6</v>
      </c>
      <c r="B13" s="13">
        <v>9</v>
      </c>
    </row>
    <row r="14" spans="1:23" ht="15.6" x14ac:dyDescent="0.3">
      <c r="A14" s="1" t="s">
        <v>7</v>
      </c>
      <c r="B14" s="13">
        <v>101.6</v>
      </c>
      <c r="D14" s="9" t="s">
        <v>16</v>
      </c>
    </row>
    <row r="15" spans="1:23" ht="28.8" x14ac:dyDescent="0.3">
      <c r="A15" s="1" t="s">
        <v>8</v>
      </c>
      <c r="B15" s="13">
        <v>101.6</v>
      </c>
      <c r="D15" s="16" t="s">
        <v>17</v>
      </c>
      <c r="E15" s="17" t="s">
        <v>18</v>
      </c>
      <c r="F15" s="18" t="s">
        <v>24</v>
      </c>
      <c r="G15" s="10" t="s">
        <v>31</v>
      </c>
      <c r="H15" s="10"/>
      <c r="I15" t="s">
        <v>32</v>
      </c>
      <c r="J15" t="s">
        <v>2</v>
      </c>
    </row>
    <row r="16" spans="1:23" ht="15.6" x14ac:dyDescent="0.3">
      <c r="A16" s="1" t="s">
        <v>9</v>
      </c>
      <c r="B16" s="13">
        <v>101.6</v>
      </c>
      <c r="D16" s="11" t="s">
        <v>19</v>
      </c>
      <c r="E16" s="1" t="s">
        <v>25</v>
      </c>
      <c r="F16" s="12">
        <f>340*1.87</f>
        <v>635.80000000000007</v>
      </c>
      <c r="G16" s="12">
        <v>1.3</v>
      </c>
      <c r="H16" s="25">
        <v>19</v>
      </c>
      <c r="I16" s="26">
        <f>(F16/H16)/G16</f>
        <v>25.74089068825911</v>
      </c>
      <c r="J16" s="26">
        <f>($F$16/H$16)/G$16</f>
        <v>25.74089068825911</v>
      </c>
    </row>
    <row r="17" spans="1:12" ht="15.6" x14ac:dyDescent="0.3">
      <c r="A17" s="1" t="s">
        <v>10</v>
      </c>
      <c r="B17" s="13">
        <v>101.6</v>
      </c>
      <c r="D17" s="11" t="s">
        <v>20</v>
      </c>
      <c r="E17" s="1" t="s">
        <v>21</v>
      </c>
      <c r="F17" s="12">
        <f>550*1.87</f>
        <v>1028.5</v>
      </c>
      <c r="G17" s="12">
        <v>1.35</v>
      </c>
      <c r="H17" s="25">
        <v>34</v>
      </c>
      <c r="I17" s="26">
        <f>(F17/H17)/G17</f>
        <v>22.407407407407405</v>
      </c>
      <c r="J17" s="26">
        <f>(G17/I17)/H17</f>
        <v>1.7719980554205157E-3</v>
      </c>
    </row>
    <row r="18" spans="1:12" ht="15.6" x14ac:dyDescent="0.3">
      <c r="D18" s="11" t="s">
        <v>22</v>
      </c>
      <c r="E18" s="1" t="s">
        <v>26</v>
      </c>
      <c r="F18" s="12">
        <f>350*1.87</f>
        <v>654.5</v>
      </c>
      <c r="G18" s="12">
        <v>1.4</v>
      </c>
      <c r="H18" s="25">
        <v>19</v>
      </c>
      <c r="I18" s="26">
        <f t="shared" ref="I17:J18" si="0">(F18/H18)/G18</f>
        <v>24.605263157894736</v>
      </c>
      <c r="J18" s="26">
        <f t="shared" si="0"/>
        <v>2.9946524064171122E-3</v>
      </c>
    </row>
    <row r="20" spans="1:12" x14ac:dyDescent="0.3">
      <c r="A20" s="21" t="s">
        <v>13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x14ac:dyDescent="0.3">
      <c r="A21" s="14" t="s">
        <v>0</v>
      </c>
      <c r="B21" s="14" t="s">
        <v>1</v>
      </c>
      <c r="C21" s="14" t="s">
        <v>2</v>
      </c>
      <c r="D21" s="14" t="s">
        <v>3</v>
      </c>
      <c r="E21" s="14" t="s">
        <v>4</v>
      </c>
      <c r="F21" s="14" t="s">
        <v>5</v>
      </c>
      <c r="G21" s="14" t="s">
        <v>6</v>
      </c>
      <c r="H21" s="14" t="s">
        <v>7</v>
      </c>
      <c r="I21" s="14" t="s">
        <v>8</v>
      </c>
      <c r="J21" s="14" t="s">
        <v>9</v>
      </c>
      <c r="K21" s="14" t="s">
        <v>10</v>
      </c>
      <c r="L21" s="14" t="s">
        <v>11</v>
      </c>
    </row>
    <row r="22" spans="1:12" ht="15.6" x14ac:dyDescent="0.3">
      <c r="A22" s="2">
        <v>46143</v>
      </c>
      <c r="B22" s="5">
        <v>118014</v>
      </c>
      <c r="C22" s="5">
        <v>118014</v>
      </c>
      <c r="D22" s="5">
        <v>39501</v>
      </c>
      <c r="E22" s="5">
        <v>39501</v>
      </c>
      <c r="F22" s="5">
        <v>5130</v>
      </c>
      <c r="G22" s="5">
        <v>5130</v>
      </c>
      <c r="H22" s="5">
        <v>5181.5999999999995</v>
      </c>
      <c r="I22" s="5">
        <v>5181.5999999999995</v>
      </c>
      <c r="J22" s="5">
        <v>3454.3999999999996</v>
      </c>
      <c r="K22" s="5">
        <v>3454.3999999999996</v>
      </c>
      <c r="L22" s="6">
        <v>342562</v>
      </c>
    </row>
    <row r="23" spans="1:12" ht="15.6" x14ac:dyDescent="0.3">
      <c r="A23" s="2">
        <v>46174</v>
      </c>
      <c r="B23" s="5">
        <v>118014</v>
      </c>
      <c r="C23" s="5">
        <v>118014</v>
      </c>
      <c r="D23" s="5">
        <v>43092</v>
      </c>
      <c r="E23" s="5">
        <v>43092</v>
      </c>
      <c r="F23" s="5">
        <v>5472</v>
      </c>
      <c r="G23" s="5">
        <v>5472</v>
      </c>
      <c r="H23" s="5">
        <v>5181.5999999999995</v>
      </c>
      <c r="I23" s="5">
        <v>5181.5999999999995</v>
      </c>
      <c r="J23" s="5">
        <v>3454.3999999999996</v>
      </c>
      <c r="K23" s="5">
        <v>3454.3999999999996</v>
      </c>
      <c r="L23" s="6">
        <v>350428</v>
      </c>
    </row>
    <row r="24" spans="1:12" x14ac:dyDescent="0.3">
      <c r="L24" s="19">
        <f>SUM(L22:L23)</f>
        <v>692990</v>
      </c>
    </row>
    <row r="27" spans="1:12" x14ac:dyDescent="0.3">
      <c r="D27">
        <f>(44.5*1.3)/(1.87)</f>
        <v>30.935828877005346</v>
      </c>
    </row>
    <row r="29" spans="1:12" x14ac:dyDescent="0.3">
      <c r="B29">
        <f>B22/B4</f>
        <v>44.5</v>
      </c>
      <c r="F29">
        <f>(44.5*19)/635.8</f>
        <v>1.3298206983328091</v>
      </c>
    </row>
    <row r="30" spans="1:12" x14ac:dyDescent="0.3">
      <c r="D30">
        <f>D4*B10</f>
        <v>39501</v>
      </c>
    </row>
  </sheetData>
  <mergeCells count="3">
    <mergeCell ref="A2:L2"/>
    <mergeCell ref="A20:L20"/>
    <mergeCell ref="D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48FF-B58B-47C8-9C57-A24BC5E8235C}">
  <dimension ref="A3:L7"/>
  <sheetViews>
    <sheetView workbookViewId="0">
      <selection activeCell="A3" sqref="A3:L7"/>
    </sheetView>
  </sheetViews>
  <sheetFormatPr defaultRowHeight="14.4" x14ac:dyDescent="0.3"/>
  <cols>
    <col min="2" max="11" width="0" hidden="1" customWidth="1"/>
    <col min="12" max="12" width="19.109375" customWidth="1"/>
  </cols>
  <sheetData>
    <row r="3" spans="1:12" x14ac:dyDescent="0.3">
      <c r="A3" s="21" t="s">
        <v>13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x14ac:dyDescent="0.3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</row>
    <row r="5" spans="1:12" ht="15.6" x14ac:dyDescent="0.3">
      <c r="A5" s="2">
        <v>46143</v>
      </c>
      <c r="B5" s="5">
        <v>118014</v>
      </c>
      <c r="C5" s="5">
        <v>118014</v>
      </c>
      <c r="D5" s="5">
        <v>39501</v>
      </c>
      <c r="E5" s="5">
        <v>39501</v>
      </c>
      <c r="F5" s="5">
        <v>5130</v>
      </c>
      <c r="G5" s="5">
        <v>5130</v>
      </c>
      <c r="H5" s="5">
        <v>5181.5999999999995</v>
      </c>
      <c r="I5" s="5">
        <v>5181.5999999999995</v>
      </c>
      <c r="J5" s="5">
        <v>3454.3999999999996</v>
      </c>
      <c r="K5" s="5">
        <v>3454.3999999999996</v>
      </c>
      <c r="L5" s="6">
        <v>342562</v>
      </c>
    </row>
    <row r="6" spans="1:12" ht="15.6" x14ac:dyDescent="0.3">
      <c r="A6" s="2">
        <v>46174</v>
      </c>
      <c r="B6" s="5">
        <v>118014</v>
      </c>
      <c r="C6" s="5">
        <v>118014</v>
      </c>
      <c r="D6" s="5">
        <v>43092</v>
      </c>
      <c r="E6" s="5">
        <v>43092</v>
      </c>
      <c r="F6" s="5">
        <v>5472</v>
      </c>
      <c r="G6" s="5">
        <v>5472</v>
      </c>
      <c r="H6" s="5">
        <v>5181.5999999999995</v>
      </c>
      <c r="I6" s="5">
        <v>5181.5999999999995</v>
      </c>
      <c r="J6" s="5">
        <v>3454.3999999999996</v>
      </c>
      <c r="K6" s="5">
        <v>3454.3999999999996</v>
      </c>
      <c r="L6" s="6">
        <v>350428</v>
      </c>
    </row>
    <row r="7" spans="1:12" x14ac:dyDescent="0.3">
      <c r="L7" s="19">
        <f>SUM(L5:L6)</f>
        <v>692990</v>
      </c>
    </row>
  </sheetData>
  <mergeCells count="1">
    <mergeCell ref="A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A87C-D2CF-403E-96E6-8E7F24CD81E4}">
  <dimension ref="A2:L24"/>
  <sheetViews>
    <sheetView tabSelected="1" zoomScale="91" workbookViewId="0">
      <selection activeCell="A7" sqref="A7:B7"/>
    </sheetView>
  </sheetViews>
  <sheetFormatPr defaultRowHeight="14.4" x14ac:dyDescent="0.3"/>
  <cols>
    <col min="1" max="1" width="20.21875" bestFit="1" customWidth="1"/>
    <col min="2" max="3" width="12.6640625" bestFit="1" customWidth="1"/>
    <col min="4" max="4" width="121.33203125" bestFit="1" customWidth="1"/>
    <col min="5" max="5" width="84.21875" bestFit="1" customWidth="1"/>
    <col min="6" max="7" width="12.44140625" bestFit="1" customWidth="1"/>
    <col min="8" max="9" width="12.21875" bestFit="1" customWidth="1"/>
    <col min="10" max="11" width="12.6640625" bestFit="1" customWidth="1"/>
    <col min="12" max="12" width="15.77734375" bestFit="1" customWidth="1"/>
  </cols>
  <sheetData>
    <row r="2" spans="1:12" x14ac:dyDescent="0.3">
      <c r="A2" s="20" t="s">
        <v>12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x14ac:dyDescent="0.3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</row>
    <row r="4" spans="1:12" ht="15.6" x14ac:dyDescent="0.3">
      <c r="A4" s="2">
        <v>46143</v>
      </c>
      <c r="B4" s="3">
        <v>2652</v>
      </c>
      <c r="C4" s="3">
        <v>2652</v>
      </c>
      <c r="D4" s="3">
        <v>1254</v>
      </c>
      <c r="E4" s="3">
        <v>1254</v>
      </c>
      <c r="F4" s="3">
        <v>570</v>
      </c>
      <c r="G4" s="3">
        <v>570</v>
      </c>
      <c r="H4" s="3">
        <v>51</v>
      </c>
      <c r="I4" s="3">
        <v>51</v>
      </c>
      <c r="J4" s="3">
        <v>34</v>
      </c>
      <c r="K4" s="3">
        <v>34</v>
      </c>
      <c r="L4" s="4">
        <v>9122</v>
      </c>
    </row>
    <row r="5" spans="1:12" ht="15.6" x14ac:dyDescent="0.3">
      <c r="A5" s="2">
        <v>46174</v>
      </c>
      <c r="B5" s="3">
        <v>2652</v>
      </c>
      <c r="C5" s="3">
        <v>2652</v>
      </c>
      <c r="D5" s="3">
        <v>1368</v>
      </c>
      <c r="E5" s="3">
        <v>1368</v>
      </c>
      <c r="F5" s="3">
        <v>608</v>
      </c>
      <c r="G5" s="3">
        <v>608</v>
      </c>
      <c r="H5" s="3">
        <v>51</v>
      </c>
      <c r="I5" s="3">
        <v>51</v>
      </c>
      <c r="J5" s="3">
        <v>34</v>
      </c>
      <c r="K5" s="3">
        <v>34</v>
      </c>
      <c r="L5" s="4">
        <v>9426</v>
      </c>
    </row>
    <row r="7" spans="1:12" ht="15.6" x14ac:dyDescent="0.3">
      <c r="A7" s="7" t="s">
        <v>14</v>
      </c>
      <c r="B7" s="7"/>
      <c r="D7" s="22" t="s">
        <v>15</v>
      </c>
      <c r="E7" s="22"/>
    </row>
    <row r="8" spans="1:12" x14ac:dyDescent="0.3">
      <c r="A8" s="1" t="s">
        <v>1</v>
      </c>
      <c r="B8" s="13">
        <v>44.5</v>
      </c>
    </row>
    <row r="9" spans="1:12" ht="31.2" x14ac:dyDescent="0.3">
      <c r="A9" s="1" t="s">
        <v>2</v>
      </c>
      <c r="B9" s="13">
        <v>44.5</v>
      </c>
      <c r="D9" s="23" t="s">
        <v>30</v>
      </c>
      <c r="E9" s="24"/>
      <c r="F9" s="24"/>
      <c r="G9" s="24"/>
      <c r="H9" s="24"/>
      <c r="I9" s="24"/>
      <c r="J9" s="24"/>
      <c r="K9" s="24"/>
      <c r="L9" s="24"/>
    </row>
    <row r="10" spans="1:12" ht="15.6" x14ac:dyDescent="0.3">
      <c r="A10" s="1" t="s">
        <v>3</v>
      </c>
      <c r="B10" s="13">
        <v>31.5</v>
      </c>
      <c r="D10" s="8" t="s">
        <v>23</v>
      </c>
    </row>
    <row r="11" spans="1:12" ht="15.6" x14ac:dyDescent="0.3">
      <c r="A11" s="1" t="s">
        <v>4</v>
      </c>
      <c r="B11" s="13">
        <v>31.5</v>
      </c>
      <c r="D11" s="8" t="s">
        <v>29</v>
      </c>
    </row>
    <row r="12" spans="1:12" ht="15.6" x14ac:dyDescent="0.3">
      <c r="A12" s="1" t="s">
        <v>5</v>
      </c>
      <c r="B12" s="13">
        <v>9</v>
      </c>
      <c r="D12" s="15" t="s">
        <v>27</v>
      </c>
      <c r="E12" s="15" t="s">
        <v>28</v>
      </c>
      <c r="F12" s="15"/>
      <c r="G12" s="15"/>
      <c r="H12" s="15"/>
    </row>
    <row r="13" spans="1:12" x14ac:dyDescent="0.3">
      <c r="A13" s="1" t="s">
        <v>6</v>
      </c>
      <c r="B13" s="13">
        <v>9</v>
      </c>
    </row>
    <row r="14" spans="1:12" ht="15.6" x14ac:dyDescent="0.3">
      <c r="A14" s="1" t="s">
        <v>7</v>
      </c>
      <c r="B14" s="13">
        <v>101.6</v>
      </c>
      <c r="D14" s="9" t="s">
        <v>16</v>
      </c>
    </row>
    <row r="15" spans="1:12" ht="43.2" x14ac:dyDescent="0.3">
      <c r="A15" s="1" t="s">
        <v>8</v>
      </c>
      <c r="B15" s="13">
        <v>101.6</v>
      </c>
      <c r="D15" s="16" t="s">
        <v>17</v>
      </c>
      <c r="E15" s="17" t="s">
        <v>18</v>
      </c>
      <c r="F15" s="18" t="s">
        <v>24</v>
      </c>
      <c r="G15" s="10" t="s">
        <v>31</v>
      </c>
      <c r="H15" s="10" t="s">
        <v>33</v>
      </c>
      <c r="I15" t="s">
        <v>32</v>
      </c>
      <c r="J15" t="s">
        <v>2</v>
      </c>
    </row>
    <row r="16" spans="1:12" ht="15.6" x14ac:dyDescent="0.3">
      <c r="A16" s="1" t="s">
        <v>9</v>
      </c>
      <c r="B16" s="13">
        <v>101.6</v>
      </c>
      <c r="D16" s="11" t="s">
        <v>19</v>
      </c>
      <c r="E16" s="1" t="s">
        <v>25</v>
      </c>
      <c r="F16" s="12">
        <f>340*1.87</f>
        <v>635.80000000000007</v>
      </c>
      <c r="G16" s="12">
        <f>(F16/H16)/$B$8</f>
        <v>0.75198107628622124</v>
      </c>
      <c r="H16" s="25">
        <v>19</v>
      </c>
      <c r="I16" s="26">
        <f>(F16/H16)/G16</f>
        <v>44.5</v>
      </c>
      <c r="J16" s="26">
        <f>($F$16/H$16)/G$16</f>
        <v>44.5</v>
      </c>
      <c r="K16" s="26">
        <f>($F$16/I$16)/$G$16</f>
        <v>19</v>
      </c>
      <c r="L16" s="26">
        <f t="shared" ref="K16:L16" si="0">($F$16/J$16)/I$16</f>
        <v>0.32107057189748772</v>
      </c>
    </row>
    <row r="17" spans="1:12" ht="15.6" x14ac:dyDescent="0.3">
      <c r="A17" s="1" t="s">
        <v>10</v>
      </c>
      <c r="B17" s="13">
        <v>101.6</v>
      </c>
      <c r="D17" s="11" t="s">
        <v>20</v>
      </c>
      <c r="E17" s="1" t="s">
        <v>21</v>
      </c>
      <c r="F17" s="12">
        <f>550*1.87</f>
        <v>1028.5</v>
      </c>
      <c r="G17" s="12">
        <f t="shared" ref="G17:G18" si="1">(F17/H17)/$B$8</f>
        <v>0.6797752808988764</v>
      </c>
      <c r="H17" s="25">
        <v>34</v>
      </c>
      <c r="I17" s="26">
        <f>(F17/H17)/G17</f>
        <v>44.5</v>
      </c>
      <c r="J17" s="26">
        <f t="shared" ref="J17:J18" si="2">($F$16/H$16)/G$16</f>
        <v>44.5</v>
      </c>
    </row>
    <row r="18" spans="1:12" ht="15.6" x14ac:dyDescent="0.3">
      <c r="D18" s="11" t="s">
        <v>22</v>
      </c>
      <c r="E18" s="1" t="s">
        <v>26</v>
      </c>
      <c r="F18" s="12">
        <f>350*1.87</f>
        <v>654.5</v>
      </c>
      <c r="G18" s="12">
        <f t="shared" si="1"/>
        <v>0.77409816676522769</v>
      </c>
      <c r="H18" s="25">
        <v>19</v>
      </c>
      <c r="I18" s="26">
        <f t="shared" ref="I18:J18" si="3">(F18/H18)/G18</f>
        <v>44.5</v>
      </c>
      <c r="J18" s="26">
        <f t="shared" si="2"/>
        <v>44.5</v>
      </c>
    </row>
    <row r="20" spans="1:12" x14ac:dyDescent="0.3">
      <c r="A20" s="21" t="s">
        <v>13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x14ac:dyDescent="0.3">
      <c r="A21" s="14" t="s">
        <v>0</v>
      </c>
      <c r="B21" s="14" t="s">
        <v>1</v>
      </c>
      <c r="C21" s="14" t="s">
        <v>2</v>
      </c>
      <c r="D21" s="14" t="s">
        <v>3</v>
      </c>
      <c r="E21" s="14" t="s">
        <v>4</v>
      </c>
      <c r="F21" s="14" t="s">
        <v>5</v>
      </c>
      <c r="G21" s="14" t="s">
        <v>6</v>
      </c>
      <c r="H21" s="14" t="s">
        <v>7</v>
      </c>
      <c r="I21" s="14" t="s">
        <v>8</v>
      </c>
      <c r="J21" s="14" t="s">
        <v>9</v>
      </c>
      <c r="K21" s="14" t="s">
        <v>10</v>
      </c>
      <c r="L21" s="14" t="s">
        <v>11</v>
      </c>
    </row>
    <row r="22" spans="1:12" ht="15.6" x14ac:dyDescent="0.3">
      <c r="A22" s="2">
        <v>46143</v>
      </c>
      <c r="B22" s="5">
        <f>B4*B$8</f>
        <v>118014</v>
      </c>
      <c r="C22" s="5">
        <f>C4*B$9</f>
        <v>118014</v>
      </c>
      <c r="D22" s="5">
        <f>D4*B$10</f>
        <v>39501</v>
      </c>
      <c r="E22" s="5">
        <v>39501</v>
      </c>
      <c r="F22" s="5">
        <v>5130</v>
      </c>
      <c r="G22" s="5">
        <v>5130</v>
      </c>
      <c r="H22" s="5">
        <v>5181.5999999999995</v>
      </c>
      <c r="I22" s="5">
        <v>5181.5999999999995</v>
      </c>
      <c r="J22" s="5">
        <v>3454.3999999999996</v>
      </c>
      <c r="K22" s="5">
        <v>3454.3999999999996</v>
      </c>
      <c r="L22" s="6">
        <v>342562</v>
      </c>
    </row>
    <row r="23" spans="1:12" ht="15.6" x14ac:dyDescent="0.3">
      <c r="A23" s="2">
        <v>46174</v>
      </c>
      <c r="B23" s="5">
        <f>B5*B$8</f>
        <v>118014</v>
      </c>
      <c r="C23" s="5">
        <f>C5*B$9</f>
        <v>118014</v>
      </c>
      <c r="D23" s="5">
        <f>D5*B$10</f>
        <v>43092</v>
      </c>
      <c r="E23" s="5">
        <v>43092</v>
      </c>
      <c r="F23" s="5">
        <v>5472</v>
      </c>
      <c r="G23" s="5">
        <v>5472</v>
      </c>
      <c r="H23" s="5">
        <v>5181.5999999999995</v>
      </c>
      <c r="I23" s="5">
        <v>5181.5999999999995</v>
      </c>
      <c r="J23" s="5">
        <v>3454.3999999999996</v>
      </c>
      <c r="K23" s="5">
        <v>3454.3999999999996</v>
      </c>
      <c r="L23" s="6">
        <v>350428</v>
      </c>
    </row>
    <row r="24" spans="1:12" x14ac:dyDescent="0.3">
      <c r="L24" s="19">
        <f>SUM(L22:L23)</f>
        <v>692990</v>
      </c>
    </row>
  </sheetData>
  <mergeCells count="3">
    <mergeCell ref="A2:L2"/>
    <mergeCell ref="D7:E7"/>
    <mergeCell ref="A20:L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Lulutai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Semisi Faupula</dc:creator>
  <cp:lastModifiedBy>Antonio Moeaki</cp:lastModifiedBy>
  <dcterms:created xsi:type="dcterms:W3CDTF">2026-06-17T03:11:37Z</dcterms:created>
  <dcterms:modified xsi:type="dcterms:W3CDTF">2026-06-18T22:09:49Z</dcterms:modified>
</cp:coreProperties>
</file>