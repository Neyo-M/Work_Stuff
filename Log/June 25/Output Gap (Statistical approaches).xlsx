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esktop\"/>
    </mc:Choice>
  </mc:AlternateContent>
  <xr:revisionPtr revIDLastSave="0" documentId="8_{EF3C5401-F999-4225-82AA-3ADE399233BD}" xr6:coauthVersionLast="47" xr6:coauthVersionMax="47" xr10:uidLastSave="{00000000-0000-0000-0000-000000000000}"/>
  <bookViews>
    <workbookView xWindow="28680" yWindow="1575" windowWidth="29040" windowHeight="15720" xr2:uid="{8C2BDC69-D7B6-49EE-A543-EC6ACA657E1B}"/>
  </bookViews>
  <sheets>
    <sheet name="Consolidated table" sheetId="2" r:id="rId1"/>
    <sheet name="Output Gap estimators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B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B13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B12" i="2"/>
  <c r="E11" i="1"/>
  <c r="H11" i="1" a="1"/>
  <c r="H11" i="1" s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U11" i="1" a="1"/>
  <c r="N11" i="1" a="1"/>
  <c r="O32" i="1" l="1"/>
  <c r="O18" i="1"/>
  <c r="O22" i="1"/>
  <c r="O15" i="1"/>
  <c r="O29" i="1"/>
  <c r="O26" i="1"/>
  <c r="O12" i="1"/>
  <c r="O19" i="1"/>
  <c r="P19" i="1" s="1"/>
  <c r="O23" i="1"/>
  <c r="P23" i="1" s="1"/>
  <c r="O16" i="1"/>
  <c r="P17" i="1" s="1"/>
  <c r="O30" i="1"/>
  <c r="P30" i="1" s="1"/>
  <c r="O13" i="1"/>
  <c r="P13" i="1" s="1"/>
  <c r="O20" i="1"/>
  <c r="P20" i="1" s="1"/>
  <c r="O24" i="1"/>
  <c r="O17" i="1"/>
  <c r="O21" i="1"/>
  <c r="P22" i="1" s="1"/>
  <c r="O28" i="1"/>
  <c r="P29" i="1" s="1"/>
  <c r="O14" i="1"/>
  <c r="O25" i="1"/>
  <c r="O27" i="1"/>
  <c r="P27" i="1" s="1"/>
  <c r="O31" i="1"/>
  <c r="P32" i="1" s="1"/>
  <c r="V17" i="1"/>
  <c r="V13" i="1"/>
  <c r="W14" i="1" s="1"/>
  <c r="V28" i="1"/>
  <c r="W29" i="1" s="1"/>
  <c r="V16" i="1"/>
  <c r="V32" i="1"/>
  <c r="V25" i="1"/>
  <c r="V29" i="1"/>
  <c r="V14" i="1"/>
  <c r="V21" i="1"/>
  <c r="V31" i="1"/>
  <c r="V24" i="1"/>
  <c r="W25" i="1" s="1"/>
  <c r="V20" i="1"/>
  <c r="W20" i="1" s="1"/>
  <c r="V30" i="1"/>
  <c r="W30" i="1" s="1"/>
  <c r="V27" i="1"/>
  <c r="W27" i="1" s="1"/>
  <c r="V23" i="1"/>
  <c r="W23" i="1" s="1"/>
  <c r="V19" i="1"/>
  <c r="W19" i="1" s="1"/>
  <c r="V12" i="1"/>
  <c r="V26" i="1"/>
  <c r="V15" i="1"/>
  <c r="V22" i="1"/>
  <c r="W22" i="1" s="1"/>
  <c r="V18" i="1"/>
  <c r="W18" i="1" s="1"/>
  <c r="P21" i="1"/>
  <c r="P28" i="1"/>
  <c r="W17" i="1"/>
  <c r="P26" i="1"/>
  <c r="W26" i="1"/>
  <c r="P18" i="1"/>
  <c r="N11" i="1"/>
  <c r="O11" i="1" s="1"/>
  <c r="P12" i="1" s="1"/>
  <c r="U11" i="1"/>
  <c r="V11" i="1" s="1"/>
  <c r="W21" i="1"/>
  <c r="W12" i="1"/>
  <c r="W32" i="1"/>
  <c r="W15" i="1"/>
  <c r="W16" i="1"/>
  <c r="W13" i="1" l="1"/>
  <c r="W31" i="1"/>
  <c r="W24" i="1"/>
  <c r="P31" i="1"/>
  <c r="P24" i="1"/>
  <c r="P14" i="1"/>
  <c r="P15" i="1"/>
  <c r="P16" i="1"/>
  <c r="W28" i="1"/>
  <c r="P25" i="1"/>
  <c r="B22" i="2" l="1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21" i="2"/>
  <c r="C21" i="2" s="1"/>
  <c r="O6" i="1"/>
  <c r="C45" i="2" a="1"/>
  <c r="C45" i="2" s="1"/>
  <c r="AE19" i="1" l="1"/>
  <c r="AE31" i="1"/>
  <c r="AE32" i="1"/>
  <c r="AE21" i="1"/>
  <c r="AE28" i="1"/>
  <c r="AE18" i="1"/>
  <c r="AE20" i="1"/>
  <c r="AE14" i="1"/>
  <c r="AE26" i="1"/>
  <c r="AE15" i="1"/>
  <c r="AE27" i="1"/>
  <c r="AE16" i="1"/>
  <c r="AE29" i="1"/>
  <c r="AE17" i="1"/>
  <c r="AE30" i="1"/>
  <c r="AE25" i="1"/>
  <c r="AE13" i="1"/>
  <c r="AE24" i="1"/>
  <c r="AE12" i="1"/>
  <c r="AE23" i="1"/>
  <c r="AE22" i="1"/>
  <c r="AD18" i="1"/>
  <c r="AD30" i="1"/>
  <c r="AD26" i="1"/>
  <c r="AD19" i="1"/>
  <c r="AD31" i="1"/>
  <c r="AD20" i="1"/>
  <c r="AD15" i="1"/>
  <c r="AD27" i="1"/>
  <c r="AD16" i="1"/>
  <c r="AD28" i="1"/>
  <c r="AD17" i="1"/>
  <c r="AD29" i="1"/>
  <c r="AD12" i="1"/>
  <c r="AD24" i="1"/>
  <c r="J5" i="1"/>
  <c r="J6" i="1"/>
  <c r="I11" i="1" l="1"/>
  <c r="J11" i="1" s="1"/>
  <c r="I14" i="1"/>
  <c r="J14" i="1" s="1"/>
  <c r="I13" i="1"/>
  <c r="J13" i="1" s="1"/>
  <c r="I17" i="1"/>
  <c r="J17" i="1" s="1"/>
  <c r="I21" i="1"/>
  <c r="J21" i="1" s="1"/>
  <c r="AC21" i="1" s="1"/>
  <c r="I25" i="1"/>
  <c r="J25" i="1" s="1"/>
  <c r="I29" i="1"/>
  <c r="J29" i="1" s="1"/>
  <c r="I28" i="1"/>
  <c r="J28" i="1" s="1"/>
  <c r="K28" i="1" s="1"/>
  <c r="I12" i="1"/>
  <c r="J12" i="1" s="1"/>
  <c r="K12" i="1" s="1"/>
  <c r="I16" i="1"/>
  <c r="J16" i="1" s="1"/>
  <c r="K16" i="1" s="1"/>
  <c r="I20" i="1"/>
  <c r="J20" i="1" s="1"/>
  <c r="K20" i="1" s="1"/>
  <c r="I24" i="1"/>
  <c r="J24" i="1" s="1"/>
  <c r="K24" i="1" s="1"/>
  <c r="I32" i="1"/>
  <c r="J32" i="1" s="1"/>
  <c r="I15" i="1"/>
  <c r="J15" i="1" s="1"/>
  <c r="I19" i="1"/>
  <c r="J19" i="1" s="1"/>
  <c r="AC19" i="1" s="1"/>
  <c r="I23" i="1"/>
  <c r="J23" i="1" s="1"/>
  <c r="AC23" i="1" s="1"/>
  <c r="I27" i="1"/>
  <c r="J27" i="1" s="1"/>
  <c r="I31" i="1"/>
  <c r="J31" i="1" s="1"/>
  <c r="AC31" i="1" s="1"/>
  <c r="I18" i="1"/>
  <c r="J18" i="1" s="1"/>
  <c r="K18" i="1" s="1"/>
  <c r="I22" i="1"/>
  <c r="J22" i="1" s="1"/>
  <c r="K22" i="1" s="1"/>
  <c r="I26" i="1"/>
  <c r="J26" i="1" s="1"/>
  <c r="K26" i="1" s="1"/>
  <c r="I30" i="1"/>
  <c r="J30" i="1" s="1"/>
  <c r="K30" i="1" s="1"/>
  <c r="AD11" i="1"/>
  <c r="E21" i="2" a="1"/>
  <c r="E21" i="2" s="1"/>
  <c r="AD14" i="1"/>
  <c r="F21" i="2" a="1"/>
  <c r="F21" i="2" s="1"/>
  <c r="AE11" i="1"/>
  <c r="J21" i="2" s="1" a="1"/>
  <c r="J21" i="2" s="1"/>
  <c r="AD23" i="1"/>
  <c r="AD25" i="1"/>
  <c r="AD22" i="1"/>
  <c r="AD13" i="1"/>
  <c r="AD21" i="1"/>
  <c r="AD32" i="1"/>
  <c r="AC14" i="1"/>
  <c r="AC26" i="1"/>
  <c r="AC15" i="1"/>
  <c r="AC13" i="1"/>
  <c r="AC32" i="1"/>
  <c r="F45" i="2" a="1"/>
  <c r="F45" i="2" s="1"/>
  <c r="AC12" i="1" l="1"/>
  <c r="K29" i="1"/>
  <c r="AC24" i="1"/>
  <c r="K31" i="1"/>
  <c r="K25" i="1"/>
  <c r="K27" i="1"/>
  <c r="K21" i="1"/>
  <c r="AC22" i="1"/>
  <c r="K23" i="1"/>
  <c r="K17" i="1"/>
  <c r="AC30" i="1"/>
  <c r="AC29" i="1"/>
  <c r="K13" i="1"/>
  <c r="AC18" i="1"/>
  <c r="K14" i="1"/>
  <c r="K19" i="1"/>
  <c r="AC16" i="1"/>
  <c r="K15" i="1"/>
  <c r="D45" i="2" s="1" a="1"/>
  <c r="D45" i="2" s="1"/>
  <c r="AC20" i="1"/>
  <c r="AC27" i="1"/>
  <c r="K32" i="1"/>
  <c r="E45" i="2" a="1"/>
  <c r="E45" i="2" s="1"/>
  <c r="I21" i="2" a="1"/>
  <c r="I21" i="2" s="1"/>
  <c r="AC25" i="1"/>
  <c r="AC28" i="1"/>
  <c r="AC17" i="1"/>
  <c r="AC11" i="1"/>
  <c r="D21" i="2" a="1"/>
  <c r="D21" i="2" s="1"/>
  <c r="H21" i="2" l="1" a="1"/>
  <c r="H2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<sst xmlns="http://schemas.openxmlformats.org/spreadsheetml/2006/main" count="62" uniqueCount="47">
  <si>
    <t>Real GDP (mils)</t>
  </si>
  <si>
    <t>Real GDP growth (%\delta, yoy)</t>
  </si>
  <si>
    <t>Log (ln) of real gdp</t>
  </si>
  <si>
    <t>Real GDP</t>
  </si>
  <si>
    <t xml:space="preserve">Time (t) </t>
  </si>
  <si>
    <t>Potential GDP (ln)</t>
  </si>
  <si>
    <t>Potential GDP(mil)</t>
  </si>
  <si>
    <t>Potential Growth</t>
  </si>
  <si>
    <t>Linear Trend</t>
  </si>
  <si>
    <t>Intercept</t>
  </si>
  <si>
    <t>Slope</t>
  </si>
  <si>
    <t>Background</t>
  </si>
  <si>
    <t>Estimated Linear Trend (OLS)</t>
  </si>
  <si>
    <t>Using the OLS derivation, we find B0, B1 such that the linear trend for REAL GDP is:
y = B0 + B1 * x
The intercept(B0) and the slope(B1) are calculated using the excel functions in cells J4 and J5 respectively to produce the potential GDP trend using a linear OLS model</t>
  </si>
  <si>
    <t xml:space="preserve">Potential GDP (ln) </t>
  </si>
  <si>
    <t>Potential GDP -HP</t>
  </si>
  <si>
    <t>Potential growth (% yoy) HP</t>
  </si>
  <si>
    <t>Lambda</t>
  </si>
  <si>
    <t>Hodrick-Prescott Filter</t>
  </si>
  <si>
    <t>HP FILTER</t>
  </si>
  <si>
    <t>Band-Pass Filter</t>
  </si>
  <si>
    <t>PL</t>
  </si>
  <si>
    <t>PU</t>
  </si>
  <si>
    <t>BP Filter</t>
  </si>
  <si>
    <t>Cyclical Component of GDP</t>
  </si>
  <si>
    <t>Ln(Real GDP)</t>
  </si>
  <si>
    <t>Potential GDP</t>
  </si>
  <si>
    <t>Linear</t>
  </si>
  <si>
    <t>HP Filter</t>
  </si>
  <si>
    <t>Bpass</t>
  </si>
  <si>
    <t>Output Gap</t>
  </si>
  <si>
    <t>Linear Trend Ouptut Gap</t>
  </si>
  <si>
    <t>HP Filter Output Gap</t>
  </si>
  <si>
    <t>BP Filter Gap</t>
  </si>
  <si>
    <t>Estimated Output Gaps</t>
  </si>
  <si>
    <t>Real growth</t>
  </si>
  <si>
    <t>Linear growth</t>
  </si>
  <si>
    <t>HP growth</t>
  </si>
  <si>
    <t>Bpass growth</t>
  </si>
  <si>
    <t>Notice how HP and Bpass filter smoothen out the fluctuations in real growth</t>
  </si>
  <si>
    <t>Linear growth is constant because we've produced a linear trend that grows at a constant growth rate</t>
  </si>
  <si>
    <t>Hodrick Prescott Filter penalizes for goodness of fit and smoothness trends</t>
  </si>
  <si>
    <t>BPASS filter smooths out fluctations and deterministic trends over quarters</t>
  </si>
  <si>
    <t>GDP at market prices</t>
  </si>
  <si>
    <t>Bpass Filter</t>
  </si>
  <si>
    <t>Tonga</t>
  </si>
  <si>
    <t>Output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</si>
</sst>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1" formatCode="0.000"/>
    <numFmt numFmtId="172" formatCode="0.0"/>
    <numFmt numFmtId="173" formatCode="_-* #,##0.0_-;\-* #,##0.0_-;_-* &quot;-&quot;??_-;_-@_-"/>
    <numFmt numFmtId="17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3" fontId="4" fillId="0" borderId="0" xfId="0" applyNumberFormat="1" applyFont="1"/>
    <xf numFmtId="171" fontId="0" fillId="0" borderId="0" xfId="0" applyNumberFormat="1"/>
    <xf numFmtId="2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72" fontId="0" fillId="4" borderId="0" xfId="0" applyNumberForma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5" borderId="0" xfId="0" applyFont="1" applyFill="1" applyAlignment="1">
      <alignment horizontal="center"/>
    </xf>
    <xf numFmtId="0" fontId="0" fillId="0" borderId="1" xfId="0" applyBorder="1"/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7" borderId="0" xfId="0" applyFill="1"/>
    <xf numFmtId="172" fontId="0" fillId="0" borderId="0" xfId="0" applyNumberFormat="1" applyAlignment="1">
      <alignment horizontal="center"/>
    </xf>
    <xf numFmtId="0" fontId="0" fillId="0" borderId="1" xfId="0" applyBorder="1" applyAlignment="1"/>
    <xf numFmtId="3" fontId="0" fillId="0" borderId="2" xfId="0" applyNumberFormat="1" applyBorder="1"/>
    <xf numFmtId="172" fontId="0" fillId="0" borderId="3" xfId="0" applyNumberFormat="1" applyBorder="1"/>
    <xf numFmtId="3" fontId="0" fillId="0" borderId="5" xfId="0" applyNumberFormat="1" applyBorder="1"/>
    <xf numFmtId="172" fontId="0" fillId="0" borderId="0" xfId="0" applyNumberFormat="1" applyBorder="1"/>
    <xf numFmtId="3" fontId="0" fillId="0" borderId="7" xfId="0" applyNumberFormat="1" applyBorder="1"/>
    <xf numFmtId="172" fontId="0" fillId="0" borderId="8" xfId="0" applyNumberFormat="1" applyBorder="1"/>
    <xf numFmtId="0" fontId="0" fillId="0" borderId="2" xfId="0" applyBorder="1"/>
    <xf numFmtId="0" fontId="0" fillId="8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72" fontId="0" fillId="0" borderId="2" xfId="0" applyNumberFormat="1" applyBorder="1"/>
    <xf numFmtId="172" fontId="0" fillId="0" borderId="4" xfId="0" applyNumberFormat="1" applyBorder="1"/>
    <xf numFmtId="172" fontId="0" fillId="0" borderId="5" xfId="0" applyNumberFormat="1" applyBorder="1"/>
    <xf numFmtId="172" fontId="0" fillId="0" borderId="6" xfId="0" applyNumberFormat="1" applyBorder="1"/>
    <xf numFmtId="172" fontId="0" fillId="0" borderId="7" xfId="0" applyNumberFormat="1" applyBorder="1"/>
    <xf numFmtId="172" fontId="0" fillId="0" borderId="9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8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174" fontId="0" fillId="0" borderId="3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4" fontId="0" fillId="0" borderId="4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4" fontId="0" fillId="0" borderId="0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4" fontId="0" fillId="0" borderId="6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4" fontId="0" fillId="0" borderId="8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4" fontId="0" fillId="0" borderId="9" xfId="1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73" fontId="5" fillId="0" borderId="11" xfId="1" applyNumberFormat="1" applyFont="1" applyFill="1" applyBorder="1"/>
    <xf numFmtId="173" fontId="5" fillId="0" borderId="12" xfId="1" applyNumberFormat="1" applyFont="1" applyFill="1" applyBorder="1"/>
    <xf numFmtId="173" fontId="5" fillId="12" borderId="9" xfId="1" applyNumberFormat="1" applyFont="1" applyFill="1" applyBorder="1"/>
    <xf numFmtId="173" fontId="5" fillId="12" borderId="13" xfId="1" applyNumberFormat="1" applyFont="1" applyFill="1" applyBorder="1"/>
    <xf numFmtId="0" fontId="0" fillId="0" borderId="0" xfId="0" applyAlignment="1">
      <alignment horizontal="left" indent="3"/>
    </xf>
    <xf numFmtId="0" fontId="3" fillId="0" borderId="14" xfId="0" applyFont="1" applyBorder="1"/>
    <xf numFmtId="0" fontId="0" fillId="0" borderId="14" xfId="0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'Consolidated table'!$H$19</c:f>
              <c:strCache>
                <c:ptCount val="1"/>
                <c:pt idx="0">
                  <c:v>Linear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table'!$H$21:$H$42</c:f>
              <c:numCache>
                <c:formatCode>0.0</c:formatCode>
                <c:ptCount val="22"/>
                <c:pt idx="0">
                  <c:v>7.3877670408397416</c:v>
                </c:pt>
                <c:pt idx="1">
                  <c:v>3.3993756287457453</c:v>
                </c:pt>
                <c:pt idx="2">
                  <c:v>1.5244846842201569</c:v>
                </c:pt>
                <c:pt idx="3">
                  <c:v>0.29743509782331035</c:v>
                </c:pt>
                <c:pt idx="4">
                  <c:v>-3.0962798789129171</c:v>
                </c:pt>
                <c:pt idx="5">
                  <c:v>0.23912439612775355</c:v>
                </c:pt>
                <c:pt idx="6">
                  <c:v>-6.1591839331466325</c:v>
                </c:pt>
                <c:pt idx="7">
                  <c:v>-6.5865477696941621</c:v>
                </c:pt>
                <c:pt idx="8">
                  <c:v>-1.5535959786323055</c:v>
                </c:pt>
                <c:pt idx="9">
                  <c:v>-1.8696984596447839</c:v>
                </c:pt>
                <c:pt idx="10">
                  <c:v>-2.7292621910661579</c:v>
                </c:pt>
                <c:pt idx="11">
                  <c:v>-2.0320137969115013</c:v>
                </c:pt>
                <c:pt idx="12">
                  <c:v>-2.1780193950896889</c:v>
                </c:pt>
                <c:pt idx="13">
                  <c:v>2.9746813918729056</c:v>
                </c:pt>
                <c:pt idx="14">
                  <c:v>4.9450555120150419</c:v>
                </c:pt>
                <c:pt idx="15">
                  <c:v>4.1814401863961441</c:v>
                </c:pt>
                <c:pt idx="16">
                  <c:v>2.5869268308727125</c:v>
                </c:pt>
                <c:pt idx="17">
                  <c:v>3.135522320704196</c:v>
                </c:pt>
                <c:pt idx="18">
                  <c:v>0.89529589595300241</c:v>
                </c:pt>
                <c:pt idx="19">
                  <c:v>-2.4855345916373581</c:v>
                </c:pt>
                <c:pt idx="20">
                  <c:v>-1.0165478302791009</c:v>
                </c:pt>
                <c:pt idx="21">
                  <c:v>-0.57484911685131146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CF9-9417-116BEE21BA2A}"/>
            </c:ext>
          </c:extLst>
        </c:ser>
        <c:ser>
          <c:idx val="1"/>
          <c:order val="1"/>
          <c:tx>
            <c:strRef>
              <c:f>'Consolidated table'!$I$19</c:f>
              <c:strCache>
                <c:ptCount val="1"/>
                <c:pt idx="0">
                  <c:v>HP Filter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table'!$I$21:$I$42</c:f>
              <c:numCache>
                <c:formatCode>0.0</c:formatCode>
                <c:ptCount val="22"/>
                <c:pt idx="0">
                  <c:v>1.0032826904724068</c:v>
                </c:pt>
                <c:pt idx="1">
                  <c:v>-0.50962298070388323</c:v>
                </c:pt>
                <c:pt idx="2">
                  <c:v>-0.22476501840976715</c:v>
                </c:pt>
                <c:pt idx="3">
                  <c:v>0.43804920646806078</c:v>
                </c:pt>
                <c:pt idx="4">
                  <c:v>-1.3968594690496605</c:v>
                </c:pt>
                <c:pt idx="5">
                  <c:v>3.2354326180822346</c:v>
                </c:pt>
                <c:pt idx="6">
                  <c:v>-2.4526797381073662</c:v>
                </c:pt>
                <c:pt idx="7">
                  <c:v>-2.6502748887483163</c:v>
                </c:pt>
                <c:pt idx="8">
                  <c:v>2.1647318297889351</c:v>
                </c:pt>
                <c:pt idx="9">
                  <c:v>1.1637814122617662</c:v>
                </c:pt>
                <c:pt idx="10">
                  <c:v>-0.53906380762063222</c:v>
                </c:pt>
                <c:pt idx="11">
                  <c:v>-0.89188003421488693</c:v>
                </c:pt>
                <c:pt idx="12">
                  <c:v>-2.348972214122047</c:v>
                </c:pt>
                <c:pt idx="13">
                  <c:v>1.3032817308453071</c:v>
                </c:pt>
                <c:pt idx="14">
                  <c:v>2.1347699629998163</c:v>
                </c:pt>
                <c:pt idx="15">
                  <c:v>0.99856253400409933</c:v>
                </c:pt>
                <c:pt idx="16">
                  <c:v>-0.27922420754507016</c:v>
                </c:pt>
                <c:pt idx="17">
                  <c:v>0.99428899569129481</c:v>
                </c:pt>
                <c:pt idx="18">
                  <c:v>-0.15063010536767729</c:v>
                </c:pt>
                <c:pt idx="19">
                  <c:v>-2.456662630837092</c:v>
                </c:pt>
                <c:pt idx="20">
                  <c:v>-0.18502694127991992</c:v>
                </c:pt>
                <c:pt idx="21">
                  <c:v>0.92406407855651906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7-4CF9-9417-116BEE21BA2A}"/>
            </c:ext>
          </c:extLst>
        </c:ser>
        <c:ser>
          <c:idx val="2"/>
          <c:order val="2"/>
          <c:tx>
            <c:strRef>
              <c:f>'Consolidated table'!$J$19</c:f>
              <c:strCache>
                <c:ptCount val="1"/>
                <c:pt idx="0">
                  <c:v>Bpass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table'!$J$21:$J$42</c:f>
              <c:numCache>
                <c:formatCode>0.0</c:formatCode>
                <c:ptCount val="22"/>
                <c:pt idx="0">
                  <c:v>1.3470961795802427</c:v>
                </c:pt>
                <c:pt idx="1">
                  <c:v>-0.58983703293439271</c:v>
                </c:pt>
                <c:pt idx="2">
                  <c:v>-0.39265182553037681</c:v>
                </c:pt>
                <c:pt idx="3">
                  <c:v>0.35166867411278169</c:v>
                </c:pt>
                <c:pt idx="4">
                  <c:v>-1.3864566663454703</c:v>
                </c:pt>
                <c:pt idx="5">
                  <c:v>3.3515549395859434</c:v>
                </c:pt>
                <c:pt idx="6">
                  <c:v>-2.4005941950846377</c:v>
                </c:pt>
                <c:pt idx="7">
                  <c:v>-2.44726249650834</c:v>
                </c:pt>
                <c:pt idx="8">
                  <c:v>2.7325327341408912</c:v>
                </c:pt>
                <c:pt idx="9">
                  <c:v>1.8096017943748155</c:v>
                </c:pt>
                <c:pt idx="10">
                  <c:v>-0.16457467393450331</c:v>
                </c:pt>
                <c:pt idx="11">
                  <c:v>-0.92795901522665369</c:v>
                </c:pt>
                <c:pt idx="12">
                  <c:v>-2.7180132769581089</c:v>
                </c:pt>
                <c:pt idx="13">
                  <c:v>0.82495822029047261</c:v>
                </c:pt>
                <c:pt idx="14">
                  <c:v>1.6262176350005042</c:v>
                </c:pt>
                <c:pt idx="15">
                  <c:v>0.48237543483840017</c:v>
                </c:pt>
                <c:pt idx="16">
                  <c:v>-0.68825370591311108</c:v>
                </c:pt>
                <c:pt idx="17">
                  <c:v>0.84285541314785828</c:v>
                </c:pt>
                <c:pt idx="18">
                  <c:v>-5.012871565639454E-2</c:v>
                </c:pt>
                <c:pt idx="19">
                  <c:v>-2.1903312939986819</c:v>
                </c:pt>
                <c:pt idx="20">
                  <c:v>0.16694674323660674</c:v>
                </c:pt>
                <c:pt idx="21">
                  <c:v>1.0292788095060956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7-4CF9-9417-116BEE21B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81183"/>
        <c:axId val="32177583"/>
      </c:lineChart>
      <c:catAx>
        <c:axId val="32181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32177583"/>
        <c:crosses val="autoZero"/>
        <c:auto val="1"/>
        <c:lblAlgn val="ctr"/>
        <c:lblOffset val="100"/>
        <c:noMultiLvlLbl val="0"/>
      </c:catAx>
      <c:valAx>
        <c:axId val="3217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3218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rates by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'Consolidated table'!$C$44</c:f>
              <c:strCache>
                <c:ptCount val="1"/>
                <c:pt idx="0">
                  <c:v>Real growth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table'!$C$45:$C$65</c:f>
              <c:numCache>
                <c:formatCode>0.0</c:formatCode>
                <c:ptCount val="21"/>
                <c:pt idx="0">
                  <c:v>-2.4963159421470205</c:v>
                </c:pt>
                <c:pt idx="1">
                  <c:v>-0.57152040440769936</c:v>
                </c:pt>
                <c:pt idx="2">
                  <c:v>4.0753507453006321E-2</c:v>
                </c:pt>
                <c:pt idx="3">
                  <c:v>-2.1617797618114998</c:v>
                </c:pt>
                <c:pt idx="4">
                  <c:v>4.7501697668072884</c:v>
                </c:pt>
                <c:pt idx="5">
                  <c:v>-5.1991060839718495</c:v>
                </c:pt>
                <c:pt idx="6">
                  <c:v>0.80348977957280798</c:v>
                </c:pt>
                <c:pt idx="7">
                  <c:v>6.7206239723735184</c:v>
                </c:pt>
                <c:pt idx="8">
                  <c:v>0.93951116911736854</c:v>
                </c:pt>
                <c:pt idx="9">
                  <c:v>0.37764393076522573</c:v>
                </c:pt>
                <c:pt idx="10">
                  <c:v>1.9905401546535417</c:v>
                </c:pt>
                <c:pt idx="11">
                  <c:v>1.1137440568587786</c:v>
                </c:pt>
                <c:pt idx="12">
                  <c:v>6.598704361183394</c:v>
                </c:pt>
                <c:pt idx="13">
                  <c:v>3.2023165092285977</c:v>
                </c:pt>
                <c:pt idx="14">
                  <c:v>0.52782726631050991</c:v>
                </c:pt>
                <c:pt idx="15">
                  <c:v>-0.28520879473588057</c:v>
                </c:pt>
                <c:pt idx="16">
                  <c:v>1.8061873534121808</c:v>
                </c:pt>
                <c:pt idx="17">
                  <c:v>-0.93492630373465113</c:v>
                </c:pt>
                <c:pt idx="18">
                  <c:v>-2.1285445240517009</c:v>
                </c:pt>
                <c:pt idx="19">
                  <c:v>2.7901436686259107</c:v>
                </c:pt>
                <c:pt idx="20">
                  <c:v>1.7165410953373428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D-4EF0-B4C1-03ACF0FF83AC}"/>
            </c:ext>
          </c:extLst>
        </c:ser>
        <c:ser>
          <c:idx val="1"/>
          <c:order val="1"/>
          <c:tx>
            <c:strRef>
              <c:f>'Consolidated table'!$D$44</c:f>
              <c:strCache>
                <c:ptCount val="1"/>
                <c:pt idx="0">
                  <c:v>Linear growth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table'!$D$45:$D$65</c:f>
              <c:numCache>
                <c:formatCode>0.0</c:formatCode>
                <c:ptCount val="21"/>
                <c:pt idx="0">
                  <c:v>1.2646628237223734</c:v>
                </c:pt>
                <c:pt idx="1">
                  <c:v>1.2646628237224622</c:v>
                </c:pt>
                <c:pt idx="2">
                  <c:v>1.2646628237223734</c:v>
                </c:pt>
                <c:pt idx="3">
                  <c:v>1.2646628237224844</c:v>
                </c:pt>
                <c:pt idx="4">
                  <c:v>1.2646628237224622</c:v>
                </c:pt>
                <c:pt idx="5">
                  <c:v>1.2646628237223956</c:v>
                </c:pt>
                <c:pt idx="6">
                  <c:v>1.2646628237224622</c:v>
                </c:pt>
                <c:pt idx="7">
                  <c:v>1.2646628237223734</c:v>
                </c:pt>
                <c:pt idx="8">
                  <c:v>1.2646628237224844</c:v>
                </c:pt>
                <c:pt idx="9">
                  <c:v>1.2646628237224844</c:v>
                </c:pt>
                <c:pt idx="10">
                  <c:v>1.2646628237223734</c:v>
                </c:pt>
                <c:pt idx="11">
                  <c:v>1.2646628237224622</c:v>
                </c:pt>
                <c:pt idx="12">
                  <c:v>1.2646628237223734</c:v>
                </c:pt>
                <c:pt idx="13">
                  <c:v>1.2646628237224622</c:v>
                </c:pt>
                <c:pt idx="14">
                  <c:v>1.2646628237224844</c:v>
                </c:pt>
                <c:pt idx="15">
                  <c:v>1.2646628237223734</c:v>
                </c:pt>
                <c:pt idx="16">
                  <c:v>1.2646628237224844</c:v>
                </c:pt>
                <c:pt idx="17">
                  <c:v>1.2646628237223734</c:v>
                </c:pt>
                <c:pt idx="18">
                  <c:v>1.2646628237224844</c:v>
                </c:pt>
                <c:pt idx="19">
                  <c:v>1.2646628237224844</c:v>
                </c:pt>
                <c:pt idx="20">
                  <c:v>1.2646628237223734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D-4EF0-B4C1-03ACF0FF83AC}"/>
            </c:ext>
          </c:extLst>
        </c:ser>
        <c:ser>
          <c:idx val="2"/>
          <c:order val="2"/>
          <c:tx>
            <c:strRef>
              <c:f>'Consolidated table'!$E$44</c:f>
              <c:strCache>
                <c:ptCount val="1"/>
                <c:pt idx="0">
                  <c:v>HP growth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table'!$E$45:$E$65</c:f>
              <c:numCache>
                <c:formatCode>0.0</c:formatCode>
                <c:ptCount val="21"/>
                <c:pt idx="0">
                  <c:v>-1.0136210223851139</c:v>
                </c:pt>
                <c:pt idx="1">
                  <c:v>-0.85538838123410121</c:v>
                </c:pt>
                <c:pt idx="2">
                  <c:v>-0.61943886999876741</c:v>
                </c:pt>
                <c:pt idx="3">
                  <c:v>-0.34110551000189338</c:v>
                </c:pt>
                <c:pt idx="4">
                  <c:v>4.9909689130100965E-2</c:v>
                </c:pt>
                <c:pt idx="5">
                  <c:v>0.32885854502919809</c:v>
                </c:pt>
                <c:pt idx="6">
                  <c:v>1.0080951929457349</c:v>
                </c:pt>
                <c:pt idx="7">
                  <c:v>1.6908988193766961</c:v>
                </c:pt>
                <c:pt idx="8">
                  <c:v>1.9382425771296674</c:v>
                </c:pt>
                <c:pt idx="9">
                  <c:v>2.0961838690978896</c:v>
                </c:pt>
                <c:pt idx="10">
                  <c:v>2.3536175446605023</c:v>
                </c:pt>
                <c:pt idx="11">
                  <c:v>2.6225048870001766</c:v>
                </c:pt>
                <c:pt idx="12">
                  <c:v>2.7555362833125541</c:v>
                </c:pt>
                <c:pt idx="13">
                  <c:v>2.3621372858397827</c:v>
                </c:pt>
                <c:pt idx="14">
                  <c:v>1.6587390465878205</c:v>
                </c:pt>
                <c:pt idx="15">
                  <c:v>0.99250126243026759</c:v>
                </c:pt>
                <c:pt idx="16">
                  <c:v>0.52243631110069355</c:v>
                </c:pt>
                <c:pt idx="17">
                  <c:v>0.2009996940193659</c:v>
                </c:pt>
                <c:pt idx="18">
                  <c:v>0.18524507685566682</c:v>
                </c:pt>
                <c:pt idx="19">
                  <c:v>0.45079765933537796</c:v>
                </c:pt>
                <c:pt idx="20">
                  <c:v>0.59874125911738574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D-4EF0-B4C1-03ACF0FF83AC}"/>
            </c:ext>
          </c:extLst>
        </c:ser>
        <c:ser>
          <c:idx val="3"/>
          <c:order val="3"/>
          <c:tx>
            <c:strRef>
              <c:f>'Consolidated table'!$F$44</c:f>
              <c:strCache>
                <c:ptCount val="1"/>
                <c:pt idx="0">
                  <c:v>Bpass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table'!$F$45:$F$65</c:f>
              <c:numCache>
                <c:formatCode>0.0</c:formatCode>
                <c:ptCount val="21"/>
                <c:pt idx="0">
                  <c:v>-0.59652905560144687</c:v>
                </c:pt>
                <c:pt idx="1">
                  <c:v>-0.76835151908190014</c:v>
                </c:pt>
                <c:pt idx="2">
                  <c:v>-0.70126089668368641</c:v>
                </c:pt>
                <c:pt idx="3">
                  <c:v>-0.43731997553289048</c:v>
                </c:pt>
                <c:pt idx="4">
                  <c:v>-5.1959435491966133E-2</c:v>
                </c:pt>
                <c:pt idx="5">
                  <c:v>0.38810907792226068</c:v>
                </c:pt>
                <c:pt idx="6">
                  <c:v>0.85171320995505173</c:v>
                </c:pt>
                <c:pt idx="7">
                  <c:v>1.3397483689795653</c:v>
                </c:pt>
                <c:pt idx="8">
                  <c:v>1.8545545074755587</c:v>
                </c:pt>
                <c:pt idx="9">
                  <c:v>2.3625423968682391</c:v>
                </c:pt>
                <c:pt idx="10">
                  <c:v>2.7764125414549534</c:v>
                </c:pt>
                <c:pt idx="11">
                  <c:v>2.974305241571229</c:v>
                </c:pt>
                <c:pt idx="12">
                  <c:v>2.8528444286642474</c:v>
                </c:pt>
                <c:pt idx="13">
                  <c:v>2.3886305367770921</c:v>
                </c:pt>
                <c:pt idx="14">
                  <c:v>1.6721868678844398</c:v>
                </c:pt>
                <c:pt idx="15">
                  <c:v>0.89017120516030612</c:v>
                </c:pt>
                <c:pt idx="16">
                  <c:v>0.2604518504355724</c:v>
                </c:pt>
                <c:pt idx="17">
                  <c:v>-4.9847239671407806E-2</c:v>
                </c:pt>
                <c:pt idx="18">
                  <c:v>1.3010029060533945E-2</c:v>
                </c:pt>
                <c:pt idx="19">
                  <c:v>0.37113264760091358</c:v>
                </c:pt>
                <c:pt idx="20">
                  <c:v>0.84834292456832383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D-4EF0-B4C1-03ACF0FF8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674896"/>
        <c:axId val="1266671296"/>
      </c:lineChart>
      <c:catAx>
        <c:axId val="126667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1266671296"/>
        <c:crosses val="autoZero"/>
        <c:auto val="1"/>
        <c:lblAlgn val="ctr"/>
        <c:lblOffset val="100"/>
        <c:noMultiLvlLbl val="0"/>
      </c:catAx>
      <c:valAx>
        <c:axId val="126667129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12666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Tongas GDP</a:t>
            </a:r>
            <a:r>
              <a:rPr lang="en-US" baseline="0"/>
              <a:t> and potential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'Consolidated table'!$D$19</c:f>
              <c:strCache>
                <c:ptCount val="1"/>
                <c:pt idx="0">
                  <c:v>Linear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table'!$D$21:$D$42</c:f>
              <c:numCache>
                <c:formatCode>_-* #,##0_-;\-* #,##0_-;_-* "-"??_-;_-@_-</c:formatCode>
                <c:ptCount val="22"/>
                <c:pt idx="0">
                  <c:v>812.56504801920494</c:v>
                </c:pt>
                <c:pt idx="1">
                  <c:v>822.84125610006572</c:v>
                </c:pt>
                <c:pt idx="2">
                  <c:v>833.24742356421427</c:v>
                </c:pt>
                <c:pt idx="3">
                  <c:v>843.78519395965543</c:v>
                </c:pt>
                <c:pt idx="4">
                  <c:v>854.45623161973776</c:v>
                </c:pt>
                <c:pt idx="5">
                  <c:v>865.26222192601256</c:v>
                </c:pt>
                <c:pt idx="6">
                  <c:v>876.20487157442517</c:v>
                </c:pt>
                <c:pt idx="7">
                  <c:v>887.2859088448721</c:v>
                </c:pt>
                <c:pt idx="8">
                  <c:v>898.50708387416046</c:v>
                </c:pt>
                <c:pt idx="9">
                  <c:v>909.87016893242992</c:v>
                </c:pt>
                <c:pt idx="10">
                  <c:v>921.37695870305924</c:v>
                </c:pt>
                <c:pt idx="11">
                  <c:v>933.02927056612077</c:v>
                </c:pt>
                <c:pt idx="12">
                  <c:v>944.82894488541945</c:v>
                </c:pt>
                <c:pt idx="13">
                  <c:v>956.7778452991538</c:v>
                </c:pt>
                <c:pt idx="14">
                  <c:v>968.87785901426503</c:v>
                </c:pt>
                <c:pt idx="15">
                  <c:v>981.13089710449674</c:v>
                </c:pt>
                <c:pt idx="16">
                  <c:v>993.53889481223121</c:v>
                </c:pt>
                <c:pt idx="17">
                  <c:v>1006.1038118541446</c:v>
                </c:pt>
                <c:pt idx="18">
                  <c:v>1018.8276327307177</c:v>
                </c:pt>
                <c:pt idx="19">
                  <c:v>1031.712367039675</c:v>
                </c:pt>
                <c:pt idx="20">
                  <c:v>1044.7600497933729</c:v>
                </c:pt>
                <c:pt idx="21">
                  <c:v>1057.972741740213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38-4264-BF09-FF60A8EA9F15}"/>
            </c:ext>
          </c:extLst>
        </c:ser>
        <c:ser>
          <c:idx val="1"/>
          <c:order val="1"/>
          <c:tx>
            <c:strRef>
              <c:f>'Consolidated table'!$E$19</c:f>
              <c:strCache>
                <c:ptCount val="1"/>
                <c:pt idx="0">
                  <c:v>HP Filter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table'!$E$21:$E$42</c:f>
              <c:numCache>
                <c:formatCode>_-* #,##0_-;\-* #,##0_-;_-* "-"??_-;_-@_-</c:formatCode>
                <c:ptCount val="22"/>
                <c:pt idx="0">
                  <c:v>863.92782252062671</c:v>
                </c:pt>
                <c:pt idx="1">
                  <c:v>855.17086849332372</c:v>
                </c:pt>
                <c:pt idx="2">
                  <c:v>847.85583624453307</c:v>
                </c:pt>
                <c:pt idx="3">
                  <c:v>842.60388763328137</c:v>
                </c:pt>
                <c:pt idx="4">
                  <c:v>839.72971934507405</c:v>
                </c:pt>
                <c:pt idx="5">
                  <c:v>840.14882583753229</c:v>
                </c:pt>
                <c:pt idx="6">
                  <c:v>842.91172704226153</c:v>
                </c:pt>
                <c:pt idx="7">
                  <c:v>851.40907964335042</c:v>
                </c:pt>
                <c:pt idx="8">
                  <c:v>865.80554571910579</c:v>
                </c:pt>
                <c:pt idx="9">
                  <c:v>882.58695744138345</c:v>
                </c:pt>
                <c:pt idx="10">
                  <c:v>901.08760287403163</c:v>
                </c:pt>
                <c:pt idx="11">
                  <c:v>922.29575878803564</c:v>
                </c:pt>
                <c:pt idx="12">
                  <c:v>946.48301013484729</c:v>
                </c:pt>
                <c:pt idx="13">
                  <c:v>972.56369289450174</c:v>
                </c:pt>
                <c:pt idx="14">
                  <c:v>995.53698251290314</c:v>
                </c:pt>
                <c:pt idx="15">
                  <c:v>1012.0503431650669</c:v>
                </c:pt>
                <c:pt idx="16">
                  <c:v>1022.09495559741</c:v>
                </c:pt>
                <c:pt idx="17">
                  <c:v>1027.4347507793793</c:v>
                </c:pt>
                <c:pt idx="18">
                  <c:v>1029.4998914846944</c:v>
                </c:pt>
                <c:pt idx="19">
                  <c:v>1031.4069893499043</c:v>
                </c:pt>
                <c:pt idx="20">
                  <c:v>1036.0565479161151</c:v>
                </c:pt>
                <c:pt idx="21">
                  <c:v>1042.2598459362762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38-4264-BF09-FF60A8EA9F15}"/>
            </c:ext>
          </c:extLst>
        </c:ser>
        <c:ser>
          <c:idx val="2"/>
          <c:order val="2"/>
          <c:tx>
            <c:strRef>
              <c:f>'Consolidated table'!$F$19</c:f>
              <c:strCache>
                <c:ptCount val="1"/>
                <c:pt idx="0">
                  <c:v>Bpass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table'!$F$21:$F$42</c:f>
              <c:numCache>
                <c:formatCode>_-* #,##0_-;\-* #,##0_-;_-* "-"??_-;_-@_-</c:formatCode>
                <c:ptCount val="22"/>
                <c:pt idx="0">
                  <c:v>860.99700308726244</c:v>
                </c:pt>
                <c:pt idx="1">
                  <c:v>855.8609057959892</c:v>
                </c:pt>
                <c:pt idx="2">
                  <c:v>849.28488552507758</c:v>
                </c:pt>
                <c:pt idx="3">
                  <c:v>843.32918272144536</c:v>
                </c:pt>
                <c:pt idx="4">
                  <c:v>839.64113574590624</c:v>
                </c:pt>
                <c:pt idx="5">
                  <c:v>839.20486295161436</c:v>
                </c:pt>
                <c:pt idx="6">
                  <c:v>842.4618932070947</c:v>
                </c:pt>
                <c:pt idx="7">
                  <c:v>849.63725244037687</c:v>
                </c:pt>
                <c:pt idx="8">
                  <c:v>861.0202536721896</c:v>
                </c:pt>
                <c:pt idx="9">
                  <c:v>876.98834359694467</c:v>
                </c:pt>
                <c:pt idx="10">
                  <c:v>897.70756503001496</c:v>
                </c:pt>
                <c:pt idx="11">
                  <c:v>922.63163045109809</c:v>
                </c:pt>
                <c:pt idx="12">
                  <c:v>950.07351139599916</c:v>
                </c:pt>
                <c:pt idx="13">
                  <c:v>977.17763063407472</c:v>
                </c:pt>
                <c:pt idx="14">
                  <c:v>1000.5187939179551</c:v>
                </c:pt>
                <c:pt idx="15">
                  <c:v>1017.2493378005669</c:v>
                </c:pt>
                <c:pt idx="16">
                  <c:v>1026.3045984903515</c:v>
                </c:pt>
                <c:pt idx="17">
                  <c:v>1028.977627808225</c:v>
                </c:pt>
                <c:pt idx="18">
                  <c:v>1028.4647108639263</c:v>
                </c:pt>
                <c:pt idx="19">
                  <c:v>1028.598514421687</c:v>
                </c:pt>
                <c:pt idx="20">
                  <c:v>1032.415979321444</c:v>
                </c:pt>
                <c:pt idx="21">
                  <c:v>1041.1744072341303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38-4264-BF09-FF60A8EA9F15}"/>
            </c:ext>
          </c:extLst>
        </c:ser>
        <c:ser>
          <c:idx val="3"/>
          <c:order val="3"/>
          <c:tx>
            <c:strRef>
              <c:f>'Consolidated table'!$B$20</c:f>
              <c:strCache>
                <c:ptCount val="1"/>
                <c:pt idx="0">
                  <c:v>Real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'Consolidated table'!$B$21:$B$42</c:f>
              <c:numCache>
                <c:formatCode>#,##0</c:formatCode>
                <c:ptCount val="22"/>
                <c:pt idx="0">
                  <c:v>872.59546082215138</c:v>
                </c:pt>
                <c:pt idx="1">
                  <c:v>850.81272122319672</c:v>
                </c:pt>
                <c:pt idx="2">
                  <c:v>845.95015291810978</c:v>
                </c:pt>
                <c:pt idx="3">
                  <c:v>846.29490727672794</c:v>
                </c:pt>
                <c:pt idx="4">
                  <c:v>827.99987524597827</c:v>
                </c:pt>
                <c:pt idx="5">
                  <c:v>867.33127498911472</c:v>
                </c:pt>
                <c:pt idx="6">
                  <c:v>822.23780190296509</c:v>
                </c:pt>
                <c:pt idx="7">
                  <c:v>828.8443986050396</c:v>
                </c:pt>
                <c:pt idx="8">
                  <c:v>884.5479139513651</c:v>
                </c:pt>
                <c:pt idx="9">
                  <c:v>892.85834039913289</c:v>
                </c:pt>
                <c:pt idx="10">
                  <c:v>896.2301657319814</c:v>
                </c:pt>
                <c:pt idx="11">
                  <c:v>914.06998705899446</c:v>
                </c:pt>
                <c:pt idx="12">
                  <c:v>924.25038721539374</c:v>
                </c:pt>
                <c:pt idx="13">
                  <c:v>985.23893782483026</c:v>
                </c:pt>
                <c:pt idx="14">
                  <c:v>1016.7894069861433</c:v>
                </c:pt>
                <c:pt idx="15">
                  <c:v>1022.1562987171732</c:v>
                </c:pt>
                <c:pt idx="16">
                  <c:v>1019.241019057285</c:v>
                </c:pt>
                <c:pt idx="17">
                  <c:v>1037.6504214442871</c:v>
                </c:pt>
                <c:pt idx="18">
                  <c:v>1027.949154713391</c:v>
                </c:pt>
                <c:pt idx="19">
                  <c:v>1006.0687992707033</c:v>
                </c:pt>
                <c:pt idx="20">
                  <c:v>1034.1395641755755</c:v>
                </c:pt>
                <c:pt idx="21">
                  <c:v>1051.8909947777918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38-4264-BF09-FF60A8EA9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5439"/>
        <c:axId val="298323279"/>
      </c:lineChart>
      <c:catAx>
        <c:axId val="298325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298323279"/>
        <c:crosses val="autoZero"/>
        <c:auto val="1"/>
        <c:lblAlgn val="ctr"/>
        <c:lblOffset val="100"/>
        <c:noMultiLvlLbl val="0"/>
      </c:catAx>
      <c:valAx>
        <c:axId val="298323279"/>
        <c:scaling>
          <c:orientation val="minMax"/>
          <c:min val="75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29832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3348521</xdr:colOff>
      <xdr:row>46</xdr:row>
      <xdr:rowOff>148445</xdr:rowOff>
    </xdr:from>
    <xdr:to>
      <xdr:col>30</xdr:col>
      <xdr:colOff>227114</xdr:colOff>
      <xdr:row>69</xdr:row>
      <xdr:rowOff>6194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7E66E2-4E36-B237-3306-F44076268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247764</xdr:colOff>
      <xdr:row>43</xdr:row>
      <xdr:rowOff>80849</xdr:rowOff>
    </xdr:from>
    <xdr:to>
      <xdr:col>20</xdr:col>
      <xdr:colOff>474346</xdr:colOff>
      <xdr:row>64</xdr:row>
      <xdr:rowOff>80233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9782CD-EB9B-166F-47B4-15D592453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147752</xdr:colOff>
      <xdr:row>17</xdr:row>
      <xdr:rowOff>147757</xdr:rowOff>
    </xdr:from>
    <xdr:to>
      <xdr:col>21</xdr:col>
      <xdr:colOff>50056</xdr:colOff>
      <xdr:row>42</xdr:row>
      <xdr:rowOff>153772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D1CBCF-D9C0-0DE4-4B11-444F92E6A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Microsoft/AddIns/HPFilter.xla" TargetMode="External"/><Relationship Id="rId2" Type="http://schemas.openxmlformats.org/officeDocument/2006/relationships/externalLinkPath" Target="file:///C:\Users\amoeaki\AppData\Roaming\Microsoft\AddIns\HPFilter.xla" TargetMode="External"/><Relationship Id="rId1" Type="http://schemas.openxmlformats.org/officeDocument/2006/relationships/externalLinkPath" Target="/Users/amoeaki/AppData/Roaming/Microsoft/AddIns/HPFilter.xla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Microsoft/AddIns/BPass.xla" TargetMode="External"/><Relationship Id="rId2" Type="http://schemas.openxmlformats.org/officeDocument/2006/relationships/externalLinkPath" Target="file:///C:\Users\amoeaki\AppData\Roaming\Microsoft\AddIns\BPass.xla" TargetMode="External"/><Relationship Id="rId1" Type="http://schemas.openxmlformats.org/officeDocument/2006/relationships/externalLinkPath" Target="/Users/amoeaki/AppData/Roaming/Microsoft/AddIns/BPas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le1"/>
    </sheetNames>
    <definedNames>
      <definedName name="hp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le1"/>
      <sheetName val="Tabelle2"/>
      <sheetName val="Tabelle3"/>
    </sheetNames>
    <definedNames>
      <definedName name="bpass"/>
    </definedNames>
    <sheetDataSet>
      <sheetData sheetId="0"/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16C2-8F18-43ED-86BD-C7F2CC7434EF}">
  <dimension ref="A4:AB65"/>
  <sheetViews>
    <sheetView tabSelected="1" zoomScale="65" workbookViewId="0">
      <selection activeCell="A12" sqref="A12"/>
    </sheetView>
  </sheetViews>
  <sheetFormatPr defaultRowHeight="14.4" x14ac:dyDescent="0.3"/>
  <cols>
    <col min="1" max="1" width="21.77734375" bestFit="1" customWidth="1"/>
    <col min="2" max="12" width="11.33203125" bestFit="1" customWidth="1"/>
    <col min="13" max="13" width="10.5546875" bestFit="1" customWidth="1"/>
    <col min="14" max="15" width="11.33203125" bestFit="1" customWidth="1"/>
    <col min="16" max="16" width="12.88671875" bestFit="1" customWidth="1"/>
    <col min="17" max="17" width="13.33203125" bestFit="1" customWidth="1"/>
    <col min="18" max="18" width="12.88671875" bestFit="1" customWidth="1"/>
    <col min="19" max="20" width="13.33203125" bestFit="1" customWidth="1"/>
    <col min="21" max="28" width="12.88671875" bestFit="1" customWidth="1"/>
  </cols>
  <sheetData>
    <row r="4" spans="1:28" x14ac:dyDescent="0.3">
      <c r="A4" t="s">
        <v>45</v>
      </c>
    </row>
    <row r="5" spans="1:28" ht="15.6" x14ac:dyDescent="0.3">
      <c r="A5" t="s">
        <v>43</v>
      </c>
      <c r="B5" s="53">
        <v>872.59546082215138</v>
      </c>
      <c r="C5" s="53">
        <v>850.81272122319672</v>
      </c>
      <c r="D5" s="53">
        <v>845.95015291810978</v>
      </c>
      <c r="E5" s="53">
        <v>846.29490727672794</v>
      </c>
      <c r="F5" s="53">
        <v>827.99987524597827</v>
      </c>
      <c r="G5" s="53">
        <v>867.33127498911472</v>
      </c>
      <c r="H5" s="53">
        <v>822.23780190296509</v>
      </c>
      <c r="I5" s="53">
        <v>828.8443986050396</v>
      </c>
      <c r="J5" s="53">
        <v>884.5479139513651</v>
      </c>
      <c r="K5" s="53">
        <v>892.85834039913289</v>
      </c>
      <c r="L5" s="53">
        <v>896.2301657319814</v>
      </c>
      <c r="M5" s="53">
        <v>914.06998705899446</v>
      </c>
      <c r="N5" s="53">
        <v>924.25038721539374</v>
      </c>
      <c r="O5" s="53">
        <v>985.23893782483026</v>
      </c>
      <c r="P5" s="53">
        <v>1016.7894069861433</v>
      </c>
      <c r="Q5" s="53">
        <v>1022.1562987171732</v>
      </c>
      <c r="R5" s="53">
        <v>1019.241019057285</v>
      </c>
      <c r="S5" s="53">
        <v>1037.6504214442871</v>
      </c>
      <c r="T5" s="53">
        <v>1027.949154713391</v>
      </c>
      <c r="U5" s="53">
        <v>1006.0687992707033</v>
      </c>
      <c r="V5" s="53">
        <v>1034.1395641755755</v>
      </c>
      <c r="W5" s="54">
        <v>1051.8909947777918</v>
      </c>
      <c r="X5" s="55">
        <v>1080.1183102520422</v>
      </c>
      <c r="Y5" s="56">
        <v>1105.3450480437411</v>
      </c>
      <c r="Z5" s="56">
        <v>1126.2913180041883</v>
      </c>
      <c r="AA5" s="56">
        <v>1156.5996221079988</v>
      </c>
      <c r="AB5" s="56">
        <v>1189.6925929809765</v>
      </c>
    </row>
    <row r="6" spans="1:28" x14ac:dyDescent="0.3">
      <c r="A6" t="s">
        <v>26</v>
      </c>
    </row>
    <row r="7" spans="1:28" x14ac:dyDescent="0.3">
      <c r="A7" s="57" t="s">
        <v>27</v>
      </c>
      <c r="B7">
        <v>812.56504801920494</v>
      </c>
      <c r="C7">
        <v>822.84125610006572</v>
      </c>
      <c r="D7">
        <v>833.24742356421427</v>
      </c>
      <c r="E7">
        <v>843.78519395965543</v>
      </c>
      <c r="F7">
        <v>854.45623161973776</v>
      </c>
      <c r="G7">
        <v>865.26222192601256</v>
      </c>
      <c r="H7">
        <v>876.20487157442517</v>
      </c>
      <c r="I7">
        <v>887.2859088448721</v>
      </c>
      <c r="J7">
        <v>898.50708387416046</v>
      </c>
      <c r="K7">
        <v>909.87016893242992</v>
      </c>
      <c r="L7">
        <v>921.37695870305924</v>
      </c>
      <c r="M7">
        <v>933.02927056612077</v>
      </c>
      <c r="N7">
        <v>944.82894488541945</v>
      </c>
      <c r="O7">
        <v>956.7778452991538</v>
      </c>
      <c r="P7">
        <v>968.87785901426503</v>
      </c>
      <c r="Q7">
        <v>981.13089710449674</v>
      </c>
      <c r="R7">
        <v>993.53889481223121</v>
      </c>
      <c r="S7">
        <v>1006.1038118541446</v>
      </c>
      <c r="T7">
        <v>1018.8276327307177</v>
      </c>
      <c r="U7">
        <v>1031.712367039675</v>
      </c>
      <c r="V7">
        <v>1044.7600497933729</v>
      </c>
      <c r="W7">
        <v>1057.972741740213</v>
      </c>
    </row>
    <row r="8" spans="1:28" x14ac:dyDescent="0.3">
      <c r="A8" s="57" t="s">
        <v>28</v>
      </c>
      <c r="B8">
        <v>863.92782252062671</v>
      </c>
      <c r="C8">
        <v>855.17086849332372</v>
      </c>
      <c r="D8">
        <v>847.85583624453307</v>
      </c>
      <c r="E8">
        <v>842.60388763328137</v>
      </c>
      <c r="F8">
        <v>839.72971934507405</v>
      </c>
      <c r="G8">
        <v>840.14882583753229</v>
      </c>
      <c r="H8">
        <v>842.91172704226153</v>
      </c>
      <c r="I8">
        <v>851.40907964335042</v>
      </c>
      <c r="J8">
        <v>865.80554571910579</v>
      </c>
      <c r="K8">
        <v>882.58695744138345</v>
      </c>
      <c r="L8">
        <v>901.08760287403163</v>
      </c>
      <c r="M8">
        <v>922.29575878803564</v>
      </c>
      <c r="N8">
        <v>946.48301013484729</v>
      </c>
      <c r="O8">
        <v>972.56369289450174</v>
      </c>
      <c r="P8">
        <v>995.53698251290314</v>
      </c>
      <c r="Q8">
        <v>1012.0503431650669</v>
      </c>
      <c r="R8">
        <v>1022.09495559741</v>
      </c>
      <c r="S8">
        <v>1027.4347507793793</v>
      </c>
      <c r="T8">
        <v>1029.4998914846944</v>
      </c>
      <c r="U8">
        <v>1031.4069893499043</v>
      </c>
      <c r="V8">
        <v>1036.0565479161151</v>
      </c>
      <c r="W8">
        <v>1042.2598459362762</v>
      </c>
    </row>
    <row r="9" spans="1:28" x14ac:dyDescent="0.3">
      <c r="A9" s="57" t="s">
        <v>44</v>
      </c>
      <c r="B9">
        <v>860.99700308726244</v>
      </c>
      <c r="C9">
        <v>855.8609057959892</v>
      </c>
      <c r="D9">
        <v>849.28488552507758</v>
      </c>
      <c r="E9">
        <v>843.32918272144536</v>
      </c>
      <c r="F9">
        <v>839.64113574590624</v>
      </c>
      <c r="G9">
        <v>839.20486295161436</v>
      </c>
      <c r="H9">
        <v>842.4618932070947</v>
      </c>
      <c r="I9">
        <v>849.63725244037687</v>
      </c>
      <c r="J9">
        <v>861.0202536721896</v>
      </c>
      <c r="K9">
        <v>876.98834359694467</v>
      </c>
      <c r="L9">
        <v>897.70756503001496</v>
      </c>
      <c r="M9">
        <v>922.63163045109809</v>
      </c>
      <c r="N9">
        <v>950.07351139599916</v>
      </c>
      <c r="O9">
        <v>977.17763063407472</v>
      </c>
      <c r="P9">
        <v>1000.5187939179551</v>
      </c>
      <c r="Q9">
        <v>1017.2493378005669</v>
      </c>
      <c r="R9">
        <v>1026.3045984903515</v>
      </c>
      <c r="S9">
        <v>1028.977627808225</v>
      </c>
      <c r="T9">
        <v>1028.4647108639263</v>
      </c>
      <c r="U9">
        <v>1028.598514421687</v>
      </c>
      <c r="V9">
        <v>1032.415979321444</v>
      </c>
      <c r="W9">
        <v>1041.1744072341303</v>
      </c>
    </row>
    <row r="10" spans="1:28" s="59" customFormat="1" ht="15" thickBot="1" x14ac:dyDescent="0.35">
      <c r="A10" s="58" t="s">
        <v>46</v>
      </c>
    </row>
    <row r="11" spans="1:28" ht="15" thickTop="1" x14ac:dyDescent="0.3"/>
    <row r="12" spans="1:28" x14ac:dyDescent="0.3">
      <c r="B12" s="3">
        <f>(B7-B5)/B5</f>
        <v>-6.8795238456072577E-2</v>
      </c>
      <c r="C12" s="3">
        <f t="shared" ref="C12:W12" si="0">(C7-C5)/C5</f>
        <v>-3.2876171718397643E-2</v>
      </c>
      <c r="D12" s="3">
        <f t="shared" si="0"/>
        <v>-1.5015931269800437E-2</v>
      </c>
      <c r="E12" s="3">
        <f t="shared" si="0"/>
        <v>-2.965530449838646E-3</v>
      </c>
      <c r="F12" s="3">
        <f t="shared" si="0"/>
        <v>3.1952126038545553E-2</v>
      </c>
      <c r="G12" s="3">
        <f t="shared" si="0"/>
        <v>-2.3855395542241083E-3</v>
      </c>
      <c r="H12" s="3">
        <f t="shared" si="0"/>
        <v>6.5634381618748419E-2</v>
      </c>
      <c r="I12" s="3">
        <f t="shared" si="0"/>
        <v>7.0509628029326893E-2</v>
      </c>
      <c r="J12" s="3">
        <f t="shared" si="0"/>
        <v>1.5781134862936173E-2</v>
      </c>
      <c r="K12" s="3">
        <f t="shared" si="0"/>
        <v>1.9053222402214742E-2</v>
      </c>
      <c r="L12" s="3">
        <f t="shared" si="0"/>
        <v>2.8058409471789659E-2</v>
      </c>
      <c r="M12" s="3">
        <f t="shared" si="0"/>
        <v>2.0741610353193531E-2</v>
      </c>
      <c r="N12" s="3">
        <f t="shared" si="0"/>
        <v>2.2265132862995418E-2</v>
      </c>
      <c r="O12" s="3">
        <f t="shared" si="0"/>
        <v>-2.8887502749852422E-2</v>
      </c>
      <c r="P12" s="3">
        <f t="shared" si="0"/>
        <v>-4.7120423996048939E-2</v>
      </c>
      <c r="Q12" s="3">
        <f t="shared" si="0"/>
        <v>-4.0136133450592776E-2</v>
      </c>
      <c r="R12" s="3">
        <f t="shared" si="0"/>
        <v>-2.5216924912251075E-2</v>
      </c>
      <c r="S12" s="3">
        <f t="shared" si="0"/>
        <v>-3.0401962875159141E-2</v>
      </c>
      <c r="T12" s="3">
        <f t="shared" si="0"/>
        <v>-8.873514746180684E-3</v>
      </c>
      <c r="U12" s="3">
        <f t="shared" si="0"/>
        <v>2.5488880867352872E-2</v>
      </c>
      <c r="V12" s="3">
        <f t="shared" si="0"/>
        <v>1.0269876509621913E-2</v>
      </c>
      <c r="W12" s="3">
        <f t="shared" si="0"/>
        <v>5.7817273772801606E-3</v>
      </c>
    </row>
    <row r="13" spans="1:28" x14ac:dyDescent="0.3">
      <c r="B13">
        <f>(B8-B5)/B5</f>
        <v>-9.9331691381457643E-3</v>
      </c>
      <c r="C13">
        <f t="shared" ref="C13:W13" si="1">(C8-C5)/C5</f>
        <v>5.122334400291269E-3</v>
      </c>
      <c r="D13">
        <f t="shared" si="1"/>
        <v>2.2527134960016511E-3</v>
      </c>
      <c r="E13">
        <f t="shared" si="1"/>
        <v>-4.3613870433461656E-3</v>
      </c>
      <c r="F13">
        <f t="shared" si="1"/>
        <v>1.4166480515001436E-2</v>
      </c>
      <c r="G13">
        <f t="shared" si="1"/>
        <v>-3.1340330892511148E-2</v>
      </c>
      <c r="H13">
        <f t="shared" si="1"/>
        <v>2.5143486581922246E-2</v>
      </c>
      <c r="I13">
        <f t="shared" si="1"/>
        <v>2.7224266793969529E-2</v>
      </c>
      <c r="J13">
        <f t="shared" si="1"/>
        <v>-2.1188641040975668E-2</v>
      </c>
      <c r="K13">
        <f t="shared" si="1"/>
        <v>-1.1503933483062766E-2</v>
      </c>
      <c r="L13">
        <f t="shared" si="1"/>
        <v>5.4198545505138151E-3</v>
      </c>
      <c r="M13">
        <f t="shared" si="1"/>
        <v>8.9990611720088022E-3</v>
      </c>
      <c r="N13">
        <f t="shared" si="1"/>
        <v>2.405476181236622E-2</v>
      </c>
      <c r="O13">
        <f t="shared" si="1"/>
        <v>-1.2865148182543818E-2</v>
      </c>
      <c r="P13">
        <f t="shared" si="1"/>
        <v>-2.0901500671839466E-2</v>
      </c>
      <c r="Q13">
        <f t="shared" si="1"/>
        <v>-9.8868984760837764E-3</v>
      </c>
      <c r="R13">
        <f t="shared" si="1"/>
        <v>2.8000605222547499E-3</v>
      </c>
      <c r="S13">
        <f t="shared" si="1"/>
        <v>-9.8450021835761788E-3</v>
      </c>
      <c r="T13">
        <f t="shared" si="1"/>
        <v>1.5085734194079489E-3</v>
      </c>
      <c r="U13">
        <f t="shared" si="1"/>
        <v>2.5185345274168727E-2</v>
      </c>
      <c r="V13">
        <f t="shared" si="1"/>
        <v>1.8536992558328147E-3</v>
      </c>
      <c r="W13">
        <f t="shared" si="1"/>
        <v>-9.1560331720019553E-3</v>
      </c>
    </row>
    <row r="14" spans="1:28" x14ac:dyDescent="0.3">
      <c r="B14" s="60">
        <f>(B9-B5)/B5</f>
        <v>-1.3291907024087633E-2</v>
      </c>
      <c r="C14" s="60">
        <f t="shared" ref="C14:W14" si="2">(C9-C5)/C5</f>
        <v>5.9333675283260966E-3</v>
      </c>
      <c r="D14" s="60">
        <f t="shared" si="2"/>
        <v>3.9419965768250362E-3</v>
      </c>
      <c r="E14" s="60">
        <f t="shared" si="2"/>
        <v>-3.5043629942497359E-3</v>
      </c>
      <c r="F14" s="60">
        <f t="shared" si="2"/>
        <v>1.4059495475732573E-2</v>
      </c>
      <c r="G14" s="60">
        <f t="shared" si="2"/>
        <v>-3.242868422778062E-2</v>
      </c>
      <c r="H14" s="60">
        <f t="shared" si="2"/>
        <v>2.4596401743295578E-2</v>
      </c>
      <c r="I14" s="60">
        <f t="shared" si="2"/>
        <v>2.5086558913026406E-2</v>
      </c>
      <c r="J14" s="60">
        <f t="shared" si="2"/>
        <v>-2.6598514233191806E-2</v>
      </c>
      <c r="K14" s="60">
        <f t="shared" si="2"/>
        <v>-1.7774372578626386E-2</v>
      </c>
      <c r="L14" s="60">
        <f t="shared" si="2"/>
        <v>1.6484596864990801E-3</v>
      </c>
      <c r="M14" s="60">
        <f t="shared" si="2"/>
        <v>9.3665075030530034E-3</v>
      </c>
      <c r="N14" s="60">
        <f t="shared" si="2"/>
        <v>2.7939532985651234E-2</v>
      </c>
      <c r="O14" s="60">
        <f t="shared" si="2"/>
        <v>-8.1820834330329686E-3</v>
      </c>
      <c r="P14" s="60">
        <f t="shared" si="2"/>
        <v>-1.6001949820086861E-2</v>
      </c>
      <c r="Q14" s="60">
        <f t="shared" si="2"/>
        <v>-4.8005974455811009E-3</v>
      </c>
      <c r="R14" s="60">
        <f t="shared" si="2"/>
        <v>6.9302346559793242E-3</v>
      </c>
      <c r="S14" s="60">
        <f t="shared" si="2"/>
        <v>-8.3581073710649271E-3</v>
      </c>
      <c r="T14" s="60">
        <f t="shared" si="2"/>
        <v>5.0153857140828033E-4</v>
      </c>
      <c r="U14" s="60">
        <f t="shared" si="2"/>
        <v>2.2393811603456423E-2</v>
      </c>
      <c r="V14" s="60">
        <f t="shared" si="2"/>
        <v>-1.6666849561119102E-3</v>
      </c>
      <c r="W14" s="60">
        <f t="shared" si="2"/>
        <v>-1.018792593231139E-2</v>
      </c>
    </row>
    <row r="19" spans="2:10" x14ac:dyDescent="0.3">
      <c r="D19" s="31" t="s">
        <v>27</v>
      </c>
      <c r="E19" s="32" t="s">
        <v>28</v>
      </c>
      <c r="F19" s="33" t="s">
        <v>29</v>
      </c>
      <c r="G19" s="5"/>
      <c r="H19" s="31" t="s">
        <v>27</v>
      </c>
      <c r="I19" s="32" t="s">
        <v>28</v>
      </c>
      <c r="J19" s="33" t="s">
        <v>29</v>
      </c>
    </row>
    <row r="20" spans="2:10" x14ac:dyDescent="0.3">
      <c r="B20" s="23" t="s">
        <v>3</v>
      </c>
      <c r="C20" s="23" t="s">
        <v>25</v>
      </c>
      <c r="D20" s="23" t="s">
        <v>26</v>
      </c>
      <c r="E20" s="23" t="s">
        <v>26</v>
      </c>
      <c r="F20" s="23" t="s">
        <v>26</v>
      </c>
      <c r="G20" s="21"/>
      <c r="H20" s="17" t="s">
        <v>30</v>
      </c>
      <c r="I20" s="17" t="s">
        <v>30</v>
      </c>
      <c r="J20" s="17" t="s">
        <v>30</v>
      </c>
    </row>
    <row r="21" spans="2:10" x14ac:dyDescent="0.3">
      <c r="B21" s="24">
        <f>'Output Gap estimators'!C11</f>
        <v>872.59546082215138</v>
      </c>
      <c r="C21" s="25">
        <f>LN(B21)</f>
        <v>6.7714720587760837</v>
      </c>
      <c r="D21" s="47" cm="1">
        <f t="array" ref="D21:D42">'Output Gap estimators'!J11:J32</f>
        <v>812.56504801920494</v>
      </c>
      <c r="E21" s="47" cm="1">
        <f t="array" ref="E21:E42">'Output Gap estimators'!O11:O32</f>
        <v>863.92782252062671</v>
      </c>
      <c r="F21" s="48" cm="1">
        <f t="array" ref="F21:F42">'Output Gap estimators'!V11:V32</f>
        <v>860.99700308726244</v>
      </c>
      <c r="G21" s="21"/>
      <c r="H21" s="34" cm="1">
        <f t="array" ref="H21:H42">'Output Gap estimators'!AC11:AC32</f>
        <v>7.3877670408397416</v>
      </c>
      <c r="I21" s="25" cm="1">
        <f t="array" ref="I21:I42">'Output Gap estimators'!AD11:AD32</f>
        <v>1.0032826904724068</v>
      </c>
      <c r="J21" s="35" cm="1">
        <f t="array" ref="J21:J42">'Output Gap estimators'!AE11:AE32</f>
        <v>1.3470961795802427</v>
      </c>
    </row>
    <row r="22" spans="2:10" x14ac:dyDescent="0.3">
      <c r="B22" s="26">
        <f>'Output Gap estimators'!C12</f>
        <v>850.81272122319672</v>
      </c>
      <c r="C22" s="27">
        <f t="shared" ref="C22:C42" si="3">LN(B22)</f>
        <v>6.7461920352866995</v>
      </c>
      <c r="D22" s="49">
        <v>822.84125610006572</v>
      </c>
      <c r="E22" s="49">
        <v>855.17086849332372</v>
      </c>
      <c r="F22" s="50">
        <v>855.8609057959892</v>
      </c>
      <c r="G22" s="21"/>
      <c r="H22" s="36">
        <v>3.3993756287457453</v>
      </c>
      <c r="I22" s="27">
        <v>-0.50962298070388323</v>
      </c>
      <c r="J22" s="37">
        <v>-0.58983703293439271</v>
      </c>
    </row>
    <row r="23" spans="2:10" x14ac:dyDescent="0.3">
      <c r="B23" s="26">
        <f>'Output Gap estimators'!C13</f>
        <v>845.95015291810978</v>
      </c>
      <c r="C23" s="27">
        <f t="shared" si="3"/>
        <v>6.7404604369697392</v>
      </c>
      <c r="D23" s="49">
        <v>833.24742356421427</v>
      </c>
      <c r="E23" s="49">
        <v>847.85583624453307</v>
      </c>
      <c r="F23" s="50">
        <v>849.28488552507758</v>
      </c>
      <c r="G23" s="21"/>
      <c r="H23" s="36">
        <v>1.5244846842201569</v>
      </c>
      <c r="I23" s="27">
        <v>-0.22476501840976715</v>
      </c>
      <c r="J23" s="37">
        <v>-0.39265182553037681</v>
      </c>
    </row>
    <row r="24" spans="2:10" x14ac:dyDescent="0.3">
      <c r="B24" s="26">
        <f>'Output Gap estimators'!C14</f>
        <v>846.29490727672794</v>
      </c>
      <c r="C24" s="27">
        <f t="shared" si="3"/>
        <v>6.7408678890244058</v>
      </c>
      <c r="D24" s="49">
        <v>843.78519395965543</v>
      </c>
      <c r="E24" s="49">
        <v>842.60388763328137</v>
      </c>
      <c r="F24" s="50">
        <v>843.32918272144536</v>
      </c>
      <c r="G24" s="21"/>
      <c r="H24" s="36">
        <v>0.29743509782331035</v>
      </c>
      <c r="I24" s="27">
        <v>0.43804920646806078</v>
      </c>
      <c r="J24" s="37">
        <v>0.35166867411278169</v>
      </c>
    </row>
    <row r="25" spans="2:10" x14ac:dyDescent="0.3">
      <c r="B25" s="26">
        <f>'Output Gap estimators'!C15</f>
        <v>827.99987524597827</v>
      </c>
      <c r="C25" s="27">
        <f t="shared" si="3"/>
        <v>6.7190130037161397</v>
      </c>
      <c r="D25" s="49">
        <v>854.45623161973776</v>
      </c>
      <c r="E25" s="49">
        <v>839.72971934507405</v>
      </c>
      <c r="F25" s="50">
        <v>839.64113574590624</v>
      </c>
      <c r="G25" s="21"/>
      <c r="H25" s="36">
        <v>-3.0962798789129171</v>
      </c>
      <c r="I25" s="27">
        <v>-1.3968594690496605</v>
      </c>
      <c r="J25" s="37">
        <v>-1.3864566663454703</v>
      </c>
    </row>
    <row r="26" spans="2:10" x14ac:dyDescent="0.3">
      <c r="B26" s="26">
        <f>'Output Gap estimators'!C16</f>
        <v>867.33127498911472</v>
      </c>
      <c r="C26" s="27">
        <f t="shared" si="3"/>
        <v>6.7654209972144939</v>
      </c>
      <c r="D26" s="49">
        <v>865.26222192601256</v>
      </c>
      <c r="E26" s="49">
        <v>840.14882583753229</v>
      </c>
      <c r="F26" s="50">
        <v>839.20486295161436</v>
      </c>
      <c r="G26" s="21"/>
      <c r="H26" s="36">
        <v>0.23912439612775355</v>
      </c>
      <c r="I26" s="27">
        <v>3.2354326180822346</v>
      </c>
      <c r="J26" s="37">
        <v>3.3515549395859434</v>
      </c>
    </row>
    <row r="27" spans="2:10" x14ac:dyDescent="0.3">
      <c r="B27" s="26">
        <f>'Output Gap estimators'!C17</f>
        <v>822.23780190296509</v>
      </c>
      <c r="C27" s="27">
        <f t="shared" si="3"/>
        <v>6.7120296499368886</v>
      </c>
      <c r="D27" s="49">
        <v>876.20487157442517</v>
      </c>
      <c r="E27" s="49">
        <v>842.91172704226153</v>
      </c>
      <c r="F27" s="50">
        <v>842.4618932070947</v>
      </c>
      <c r="G27" s="21"/>
      <c r="H27" s="36">
        <v>-6.1591839331466325</v>
      </c>
      <c r="I27" s="27">
        <v>-2.4526797381073662</v>
      </c>
      <c r="J27" s="37">
        <v>-2.4005941950846377</v>
      </c>
    </row>
    <row r="28" spans="2:10" x14ac:dyDescent="0.3">
      <c r="B28" s="26">
        <f>'Output Gap estimators'!C18</f>
        <v>828.8443986050396</v>
      </c>
      <c r="C28" s="27">
        <f t="shared" si="3"/>
        <v>6.7200324398158742</v>
      </c>
      <c r="D28" s="49">
        <v>887.2859088448721</v>
      </c>
      <c r="E28" s="49">
        <v>851.40907964335042</v>
      </c>
      <c r="F28" s="50">
        <v>849.63725244037687</v>
      </c>
      <c r="G28" s="21"/>
      <c r="H28" s="36">
        <v>-6.5865477696941621</v>
      </c>
      <c r="I28" s="27">
        <v>-2.6502748887483163</v>
      </c>
      <c r="J28" s="37">
        <v>-2.44726249650834</v>
      </c>
    </row>
    <row r="29" spans="2:10" x14ac:dyDescent="0.3">
      <c r="B29" s="26">
        <f>'Output Gap estimators'!C19</f>
        <v>884.5479139513651</v>
      </c>
      <c r="C29" s="27">
        <f t="shared" si="3"/>
        <v>6.7850766827955962</v>
      </c>
      <c r="D29" s="49">
        <v>898.50708387416046</v>
      </c>
      <c r="E29" s="49">
        <v>865.80554571910579</v>
      </c>
      <c r="F29" s="50">
        <v>861.0202536721896</v>
      </c>
      <c r="G29" s="21"/>
      <c r="H29" s="36">
        <v>-1.5535959786323055</v>
      </c>
      <c r="I29" s="27">
        <v>2.1647318297889351</v>
      </c>
      <c r="J29" s="37">
        <v>2.7325327341408912</v>
      </c>
    </row>
    <row r="30" spans="2:10" x14ac:dyDescent="0.3">
      <c r="B30" s="26">
        <f>'Output Gap estimators'!C20</f>
        <v>892.85834039913289</v>
      </c>
      <c r="C30" s="27">
        <f t="shared" si="3"/>
        <v>6.7944279349212628</v>
      </c>
      <c r="D30" s="49">
        <v>909.87016893242992</v>
      </c>
      <c r="E30" s="49">
        <v>882.58695744138345</v>
      </c>
      <c r="F30" s="50">
        <v>876.98834359694467</v>
      </c>
      <c r="G30" s="21"/>
      <c r="H30" s="36">
        <v>-1.8696984596447839</v>
      </c>
      <c r="I30" s="27">
        <v>1.1637814122617662</v>
      </c>
      <c r="J30" s="37">
        <v>1.8096017943748155</v>
      </c>
    </row>
    <row r="31" spans="2:10" x14ac:dyDescent="0.3">
      <c r="B31" s="26">
        <f>'Output Gap estimators'!C21</f>
        <v>896.2301657319814</v>
      </c>
      <c r="C31" s="27">
        <f t="shared" si="3"/>
        <v>6.7981972613838542</v>
      </c>
      <c r="D31" s="49">
        <v>921.37695870305924</v>
      </c>
      <c r="E31" s="49">
        <v>901.08760287403163</v>
      </c>
      <c r="F31" s="50">
        <v>897.70756503001496</v>
      </c>
      <c r="G31" s="21"/>
      <c r="H31" s="36">
        <v>-2.7292621910661579</v>
      </c>
      <c r="I31" s="27">
        <v>-0.53906380762063222</v>
      </c>
      <c r="J31" s="37">
        <v>-0.16457467393450331</v>
      </c>
    </row>
    <row r="32" spans="2:10" x14ac:dyDescent="0.3">
      <c r="B32" s="26">
        <f>'Output Gap estimators'!C22</f>
        <v>914.06998705899446</v>
      </c>
      <c r="C32" s="27">
        <f t="shared" si="3"/>
        <v>6.8179071407972538</v>
      </c>
      <c r="D32" s="49">
        <v>933.02927056612077</v>
      </c>
      <c r="E32" s="49">
        <v>922.29575878803564</v>
      </c>
      <c r="F32" s="50">
        <v>922.63163045109809</v>
      </c>
      <c r="G32" s="21"/>
      <c r="H32" s="36">
        <v>-2.0320137969115013</v>
      </c>
      <c r="I32" s="27">
        <v>-0.89188003421488693</v>
      </c>
      <c r="J32" s="37">
        <v>-0.92795901522665369</v>
      </c>
    </row>
    <row r="33" spans="2:10" x14ac:dyDescent="0.3">
      <c r="B33" s="26">
        <f>'Output Gap estimators'!C23</f>
        <v>924.25038721539374</v>
      </c>
      <c r="C33" s="27">
        <f t="shared" si="3"/>
        <v>6.8289830167675802</v>
      </c>
      <c r="D33" s="49">
        <v>944.82894488541945</v>
      </c>
      <c r="E33" s="49">
        <v>946.48301013484729</v>
      </c>
      <c r="F33" s="50">
        <v>950.07351139599916</v>
      </c>
      <c r="G33" s="21"/>
      <c r="H33" s="36">
        <v>-2.1780193950896889</v>
      </c>
      <c r="I33" s="27">
        <v>-2.348972214122047</v>
      </c>
      <c r="J33" s="37">
        <v>-2.7180132769581089</v>
      </c>
    </row>
    <row r="34" spans="2:10" x14ac:dyDescent="0.3">
      <c r="B34" s="26">
        <f>'Output Gap estimators'!C24</f>
        <v>985.23893782483026</v>
      </c>
      <c r="C34" s="27">
        <f t="shared" si="3"/>
        <v>6.8928841882270824</v>
      </c>
      <c r="D34" s="49">
        <v>956.7778452991538</v>
      </c>
      <c r="E34" s="49">
        <v>972.56369289450174</v>
      </c>
      <c r="F34" s="50">
        <v>977.17763063407472</v>
      </c>
      <c r="G34" s="21"/>
      <c r="H34" s="36">
        <v>2.9746813918729056</v>
      </c>
      <c r="I34" s="27">
        <v>1.3032817308453071</v>
      </c>
      <c r="J34" s="37">
        <v>0.82495822029047261</v>
      </c>
    </row>
    <row r="35" spans="2:10" x14ac:dyDescent="0.3">
      <c r="B35" s="26">
        <f>'Output Gap estimators'!C25</f>
        <v>1016.7894069861433</v>
      </c>
      <c r="C35" s="27">
        <f t="shared" si="3"/>
        <v>6.9244053018293785</v>
      </c>
      <c r="D35" s="49">
        <v>968.87785901426503</v>
      </c>
      <c r="E35" s="49">
        <v>995.53698251290314</v>
      </c>
      <c r="F35" s="50">
        <v>1000.5187939179551</v>
      </c>
      <c r="G35" s="21"/>
      <c r="H35" s="36">
        <v>4.9450555120150419</v>
      </c>
      <c r="I35" s="27">
        <v>2.1347699629998163</v>
      </c>
      <c r="J35" s="37">
        <v>1.6262176350005042</v>
      </c>
    </row>
    <row r="36" spans="2:10" x14ac:dyDescent="0.3">
      <c r="B36" s="26">
        <f>'Output Gap estimators'!C26</f>
        <v>1022.1562987171732</v>
      </c>
      <c r="C36" s="27">
        <f t="shared" si="3"/>
        <v>6.9296696932359438</v>
      </c>
      <c r="D36" s="49">
        <v>981.13089710449674</v>
      </c>
      <c r="E36" s="49">
        <v>1012.0503431650669</v>
      </c>
      <c r="F36" s="50">
        <v>1017.2493378005669</v>
      </c>
      <c r="G36" s="21"/>
      <c r="H36" s="36">
        <v>4.1814401863961441</v>
      </c>
      <c r="I36" s="27">
        <v>0.99856253400409933</v>
      </c>
      <c r="J36" s="37">
        <v>0.48237543483840017</v>
      </c>
    </row>
    <row r="37" spans="2:10" x14ac:dyDescent="0.3">
      <c r="B37" s="26">
        <f>'Output Gap estimators'!C27</f>
        <v>1019.241019057285</v>
      </c>
      <c r="C37" s="27">
        <f t="shared" si="3"/>
        <v>6.9268135303358287</v>
      </c>
      <c r="D37" s="49">
        <v>993.53889481223121</v>
      </c>
      <c r="E37" s="49">
        <v>1022.09495559741</v>
      </c>
      <c r="F37" s="50">
        <v>1026.3045984903515</v>
      </c>
      <c r="G37" s="21"/>
      <c r="H37" s="36">
        <v>2.5869268308727125</v>
      </c>
      <c r="I37" s="27">
        <v>-0.27922420754507016</v>
      </c>
      <c r="J37" s="37">
        <v>-0.68825370591311108</v>
      </c>
    </row>
    <row r="38" spans="2:10" x14ac:dyDescent="0.3">
      <c r="B38" s="26">
        <f>'Output Gap estimators'!C28</f>
        <v>1037.6504214442871</v>
      </c>
      <c r="C38" s="27">
        <f t="shared" si="3"/>
        <v>6.9447142261202268</v>
      </c>
      <c r="D38" s="49">
        <v>1006.1038118541446</v>
      </c>
      <c r="E38" s="49">
        <v>1027.4347507793793</v>
      </c>
      <c r="F38" s="50">
        <v>1028.977627808225</v>
      </c>
      <c r="G38" s="21"/>
      <c r="H38" s="36">
        <v>3.135522320704196</v>
      </c>
      <c r="I38" s="27">
        <v>0.99428899569129481</v>
      </c>
      <c r="J38" s="37">
        <v>0.84285541314785828</v>
      </c>
    </row>
    <row r="39" spans="2:10" x14ac:dyDescent="0.3">
      <c r="B39" s="26">
        <f>'Output Gap estimators'!C29</f>
        <v>1027.949154713391</v>
      </c>
      <c r="C39" s="27">
        <f t="shared" si="3"/>
        <v>6.9353209843963706</v>
      </c>
      <c r="D39" s="49">
        <v>1018.8276327307177</v>
      </c>
      <c r="E39" s="49">
        <v>1029.4998914846944</v>
      </c>
      <c r="F39" s="50">
        <v>1028.4647108639263</v>
      </c>
      <c r="G39" s="21"/>
      <c r="H39" s="36">
        <v>0.89529589595300241</v>
      </c>
      <c r="I39" s="27">
        <v>-0.15063010536767729</v>
      </c>
      <c r="J39" s="37">
        <v>-5.012871565639454E-2</v>
      </c>
    </row>
    <row r="40" spans="2:10" x14ac:dyDescent="0.3">
      <c r="B40" s="26">
        <f>'Output Gap estimators'!C30</f>
        <v>1006.0687992707033</v>
      </c>
      <c r="C40" s="27">
        <f t="shared" si="3"/>
        <v>6.9138057372583486</v>
      </c>
      <c r="D40" s="49">
        <v>1031.712367039675</v>
      </c>
      <c r="E40" s="49">
        <v>1031.4069893499043</v>
      </c>
      <c r="F40" s="50">
        <v>1028.598514421687</v>
      </c>
      <c r="G40" s="21"/>
      <c r="H40" s="36">
        <v>-2.4855345916373581</v>
      </c>
      <c r="I40" s="27">
        <v>-2.456662630837092</v>
      </c>
      <c r="J40" s="37">
        <v>-2.1903312939986819</v>
      </c>
    </row>
    <row r="41" spans="2:10" x14ac:dyDescent="0.3">
      <c r="B41" s="26">
        <f>'Output Gap estimators'!C31</f>
        <v>1034.1395641755755</v>
      </c>
      <c r="C41" s="27">
        <f t="shared" si="3"/>
        <v>6.9413250209847996</v>
      </c>
      <c r="D41" s="49">
        <v>1044.7600497933729</v>
      </c>
      <c r="E41" s="49">
        <v>1036.0565479161151</v>
      </c>
      <c r="F41" s="50">
        <v>1032.415979321444</v>
      </c>
      <c r="G41" s="21"/>
      <c r="H41" s="36">
        <v>-1.0165478302791009</v>
      </c>
      <c r="I41" s="27">
        <v>-0.18502694127991992</v>
      </c>
      <c r="J41" s="37">
        <v>0.16694674323660674</v>
      </c>
    </row>
    <row r="42" spans="2:10" x14ac:dyDescent="0.3">
      <c r="B42" s="28">
        <f>'Output Gap estimators'!C32</f>
        <v>1051.8909947777918</v>
      </c>
      <c r="C42" s="29">
        <f t="shared" si="3"/>
        <v>6.9583447707976527</v>
      </c>
      <c r="D42" s="51">
        <v>1057.972741740213</v>
      </c>
      <c r="E42" s="51">
        <v>1042.2598459362762</v>
      </c>
      <c r="F42" s="52">
        <v>1041.1744072341303</v>
      </c>
      <c r="G42" s="21"/>
      <c r="H42" s="38">
        <v>-0.57484911685131146</v>
      </c>
      <c r="I42" s="29">
        <v>0.92406407855651906</v>
      </c>
      <c r="J42" s="39">
        <v>1.0292788095060956</v>
      </c>
    </row>
    <row r="44" spans="2:10" x14ac:dyDescent="0.3">
      <c r="C44" s="30" t="s">
        <v>35</v>
      </c>
      <c r="D44" s="42" t="s">
        <v>36</v>
      </c>
      <c r="E44" s="43" t="s">
        <v>37</v>
      </c>
      <c r="F44" s="44" t="s">
        <v>38</v>
      </c>
    </row>
    <row r="45" spans="2:10" x14ac:dyDescent="0.3">
      <c r="C45" s="34" cm="1">
        <f t="array" ref="C45:C65">'Output Gap estimators'!D12:D32</f>
        <v>-2.4963159421470205</v>
      </c>
      <c r="D45" s="25" cm="1">
        <f t="array" ref="D45:D65">'Output Gap estimators'!K12:K32</f>
        <v>1.2646628237223734</v>
      </c>
      <c r="E45" s="25" cm="1">
        <f t="array" ref="E45:E65">'Output Gap estimators'!P12:P32</f>
        <v>-1.0136210223851139</v>
      </c>
      <c r="F45" s="35" cm="1">
        <f t="array" ref="F45:F65">'Output Gap estimators'!W12:W32</f>
        <v>-0.59652905560144687</v>
      </c>
    </row>
    <row r="46" spans="2:10" x14ac:dyDescent="0.3">
      <c r="C46" s="36">
        <v>-0.57152040440769936</v>
      </c>
      <c r="D46" s="27">
        <v>1.2646628237224622</v>
      </c>
      <c r="E46" s="27">
        <v>-0.85538838123410121</v>
      </c>
      <c r="F46" s="37">
        <v>-0.76835151908190014</v>
      </c>
    </row>
    <row r="47" spans="2:10" x14ac:dyDescent="0.3">
      <c r="C47" s="36">
        <v>4.0753507453006321E-2</v>
      </c>
      <c r="D47" s="27">
        <v>1.2646628237223734</v>
      </c>
      <c r="E47" s="27">
        <v>-0.61943886999876741</v>
      </c>
      <c r="F47" s="37">
        <v>-0.70126089668368641</v>
      </c>
    </row>
    <row r="48" spans="2:10" x14ac:dyDescent="0.3">
      <c r="C48" s="36">
        <v>-2.1617797618114998</v>
      </c>
      <c r="D48" s="27">
        <v>1.2646628237224844</v>
      </c>
      <c r="E48" s="27">
        <v>-0.34110551000189338</v>
      </c>
      <c r="F48" s="37">
        <v>-0.43731997553289048</v>
      </c>
    </row>
    <row r="49" spans="3:23" x14ac:dyDescent="0.3">
      <c r="C49" s="36">
        <v>4.7501697668072884</v>
      </c>
      <c r="D49" s="27">
        <v>1.2646628237224622</v>
      </c>
      <c r="E49" s="27">
        <v>4.9909689130100965E-2</v>
      </c>
      <c r="F49" s="37">
        <v>-5.1959435491966133E-2</v>
      </c>
    </row>
    <row r="50" spans="3:23" x14ac:dyDescent="0.3">
      <c r="C50" s="36">
        <v>-5.1991060839718495</v>
      </c>
      <c r="D50" s="27">
        <v>1.2646628237223956</v>
      </c>
      <c r="E50" s="27">
        <v>0.32885854502919809</v>
      </c>
      <c r="F50" s="37">
        <v>0.38810907792226068</v>
      </c>
    </row>
    <row r="51" spans="3:23" x14ac:dyDescent="0.3">
      <c r="C51" s="36">
        <v>0.80348977957280798</v>
      </c>
      <c r="D51" s="27">
        <v>1.2646628237224622</v>
      </c>
      <c r="E51" s="27">
        <v>1.0080951929457349</v>
      </c>
      <c r="F51" s="37">
        <v>0.85171320995505173</v>
      </c>
    </row>
    <row r="52" spans="3:23" x14ac:dyDescent="0.3">
      <c r="C52" s="36">
        <v>6.7206239723735184</v>
      </c>
      <c r="D52" s="27">
        <v>1.2646628237223734</v>
      </c>
      <c r="E52" s="27">
        <v>1.6908988193766961</v>
      </c>
      <c r="F52" s="37">
        <v>1.3397483689795653</v>
      </c>
      <c r="W52" t="s">
        <v>39</v>
      </c>
    </row>
    <row r="53" spans="3:23" x14ac:dyDescent="0.3">
      <c r="C53" s="36">
        <v>0.93951116911736854</v>
      </c>
      <c r="D53" s="27">
        <v>1.2646628237224844</v>
      </c>
      <c r="E53" s="27">
        <v>1.9382425771296674</v>
      </c>
      <c r="F53" s="37">
        <v>1.8545545074755587</v>
      </c>
      <c r="W53" t="s">
        <v>40</v>
      </c>
    </row>
    <row r="54" spans="3:23" x14ac:dyDescent="0.3">
      <c r="C54" s="36">
        <v>0.37764393076522573</v>
      </c>
      <c r="D54" s="27">
        <v>1.2646628237224844</v>
      </c>
      <c r="E54" s="27">
        <v>2.0961838690978896</v>
      </c>
      <c r="F54" s="37">
        <v>2.3625423968682391</v>
      </c>
    </row>
    <row r="55" spans="3:23" x14ac:dyDescent="0.3">
      <c r="C55" s="36">
        <v>1.9905401546535417</v>
      </c>
      <c r="D55" s="27">
        <v>1.2646628237223734</v>
      </c>
      <c r="E55" s="27">
        <v>2.3536175446605023</v>
      </c>
      <c r="F55" s="37">
        <v>2.7764125414549534</v>
      </c>
    </row>
    <row r="56" spans="3:23" x14ac:dyDescent="0.3">
      <c r="C56" s="36">
        <v>1.1137440568587786</v>
      </c>
      <c r="D56" s="27">
        <v>1.2646628237224622</v>
      </c>
      <c r="E56" s="27">
        <v>2.6225048870001766</v>
      </c>
      <c r="F56" s="37">
        <v>2.974305241571229</v>
      </c>
    </row>
    <row r="57" spans="3:23" x14ac:dyDescent="0.3">
      <c r="C57" s="36">
        <v>6.598704361183394</v>
      </c>
      <c r="D57" s="27">
        <v>1.2646628237223734</v>
      </c>
      <c r="E57" s="27">
        <v>2.7555362833125541</v>
      </c>
      <c r="F57" s="37">
        <v>2.8528444286642474</v>
      </c>
    </row>
    <row r="58" spans="3:23" x14ac:dyDescent="0.3">
      <c r="C58" s="36">
        <v>3.2023165092285977</v>
      </c>
      <c r="D58" s="27">
        <v>1.2646628237224622</v>
      </c>
      <c r="E58" s="27">
        <v>2.3621372858397827</v>
      </c>
      <c r="F58" s="37">
        <v>2.3886305367770921</v>
      </c>
    </row>
    <row r="59" spans="3:23" x14ac:dyDescent="0.3">
      <c r="C59" s="36">
        <v>0.52782726631050991</v>
      </c>
      <c r="D59" s="27">
        <v>1.2646628237224844</v>
      </c>
      <c r="E59" s="27">
        <v>1.6587390465878205</v>
      </c>
      <c r="F59" s="37">
        <v>1.6721868678844398</v>
      </c>
    </row>
    <row r="60" spans="3:23" x14ac:dyDescent="0.3">
      <c r="C60" s="36">
        <v>-0.28520879473588057</v>
      </c>
      <c r="D60" s="27">
        <v>1.2646628237223734</v>
      </c>
      <c r="E60" s="27">
        <v>0.99250126243026759</v>
      </c>
      <c r="F60" s="37">
        <v>0.89017120516030612</v>
      </c>
    </row>
    <row r="61" spans="3:23" x14ac:dyDescent="0.3">
      <c r="C61" s="36">
        <v>1.8061873534121808</v>
      </c>
      <c r="D61" s="27">
        <v>1.2646628237224844</v>
      </c>
      <c r="E61" s="27">
        <v>0.52243631110069355</v>
      </c>
      <c r="F61" s="37">
        <v>0.2604518504355724</v>
      </c>
    </row>
    <row r="62" spans="3:23" x14ac:dyDescent="0.3">
      <c r="C62" s="36">
        <v>-0.93492630373465113</v>
      </c>
      <c r="D62" s="27">
        <v>1.2646628237223734</v>
      </c>
      <c r="E62" s="27">
        <v>0.2009996940193659</v>
      </c>
      <c r="F62" s="37">
        <v>-4.9847239671407806E-2</v>
      </c>
    </row>
    <row r="63" spans="3:23" x14ac:dyDescent="0.3">
      <c r="C63" s="36">
        <v>-2.1285445240517009</v>
      </c>
      <c r="D63" s="27">
        <v>1.2646628237224844</v>
      </c>
      <c r="E63" s="27">
        <v>0.18524507685566682</v>
      </c>
      <c r="F63" s="37">
        <v>1.3010029060533945E-2</v>
      </c>
    </row>
    <row r="64" spans="3:23" x14ac:dyDescent="0.3">
      <c r="C64" s="36">
        <v>2.7901436686259107</v>
      </c>
      <c r="D64" s="27">
        <v>1.2646628237224844</v>
      </c>
      <c r="E64" s="27">
        <v>0.45079765933537796</v>
      </c>
      <c r="F64" s="37">
        <v>0.37113264760091358</v>
      </c>
    </row>
    <row r="65" spans="3:6" x14ac:dyDescent="0.3">
      <c r="C65" s="38">
        <v>1.7165410953373428</v>
      </c>
      <c r="D65" s="29">
        <v>1.2646628237223734</v>
      </c>
      <c r="E65" s="29">
        <v>0.59874125911738574</v>
      </c>
      <c r="F65" s="39">
        <v>0.84834292456832383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A0A3-59B2-4592-9312-FF56633FC81B}">
  <dimension ref="B4:AE41"/>
  <sheetViews>
    <sheetView zoomScale="56" workbookViewId="0">
      <selection activeCell="AC11" sqref="AC11"/>
    </sheetView>
  </sheetViews>
  <sheetFormatPr defaultRowHeight="14.4" x14ac:dyDescent="0.3"/>
  <cols>
    <col min="4" max="5" width="20.77734375" customWidth="1"/>
    <col min="6" max="6" width="0" hidden="1" customWidth="1"/>
    <col min="8" max="8" width="11.21875" bestFit="1" customWidth="1"/>
    <col min="9" max="11" width="20.77734375" customWidth="1"/>
    <col min="13" max="13" width="10.77734375" bestFit="1" customWidth="1"/>
    <col min="14" max="15" width="15.6640625" bestFit="1" customWidth="1"/>
    <col min="16" max="16" width="23.44140625" bestFit="1" customWidth="1"/>
    <col min="18" max="19" width="0" hidden="1" customWidth="1"/>
    <col min="20" max="20" width="12.44140625" bestFit="1" customWidth="1"/>
    <col min="21" max="21" width="28.5546875" bestFit="1" customWidth="1"/>
    <col min="22" max="22" width="15.6640625" bestFit="1" customWidth="1"/>
    <col min="23" max="23" width="23" bestFit="1" customWidth="1"/>
    <col min="25" max="28" width="0" hidden="1" customWidth="1"/>
    <col min="29" max="29" width="24.5546875" bestFit="1" customWidth="1"/>
    <col min="30" max="30" width="21.21875" bestFit="1" customWidth="1"/>
    <col min="31" max="31" width="14" bestFit="1" customWidth="1"/>
  </cols>
  <sheetData>
    <row r="4" spans="2:31" x14ac:dyDescent="0.3">
      <c r="I4" s="16" t="s">
        <v>12</v>
      </c>
      <c r="J4" s="16"/>
      <c r="V4" s="16" t="s">
        <v>23</v>
      </c>
      <c r="W4" s="16"/>
    </row>
    <row r="5" spans="2:31" x14ac:dyDescent="0.3">
      <c r="I5" s="17" t="s">
        <v>9</v>
      </c>
      <c r="J5" s="17">
        <f>INTERCEPT(E11:E32,_xlfn.ANCHORARRAY(H11))</f>
        <v>6.6876286425743787</v>
      </c>
      <c r="N5" s="16" t="s">
        <v>19</v>
      </c>
      <c r="O5" s="16"/>
      <c r="V5" s="20" t="s">
        <v>21</v>
      </c>
      <c r="W5" s="19">
        <v>2</v>
      </c>
    </row>
    <row r="6" spans="2:31" x14ac:dyDescent="0.3">
      <c r="I6" s="17" t="s">
        <v>10</v>
      </c>
      <c r="J6" s="17">
        <f>SLOPE(E11:E32,_xlfn.ANCHORARRAY(H11))</f>
        <v>1.2567327525514574E-2</v>
      </c>
      <c r="N6" s="17" t="s">
        <v>17</v>
      </c>
      <c r="O6" s="17">
        <f>6.25</f>
        <v>6.25</v>
      </c>
      <c r="V6" s="20" t="s">
        <v>22</v>
      </c>
      <c r="W6" s="19">
        <v>8</v>
      </c>
    </row>
    <row r="9" spans="2:31" x14ac:dyDescent="0.3">
      <c r="B9" s="10"/>
      <c r="C9" s="10"/>
      <c r="D9" s="11" t="s">
        <v>3</v>
      </c>
      <c r="E9" s="10"/>
      <c r="H9" s="13" t="s">
        <v>8</v>
      </c>
      <c r="I9" s="13"/>
      <c r="J9" s="13"/>
      <c r="K9" s="13"/>
      <c r="N9" s="13" t="s">
        <v>18</v>
      </c>
      <c r="O9" s="13"/>
      <c r="P9" s="13"/>
      <c r="U9" s="13" t="s">
        <v>20</v>
      </c>
      <c r="V9" s="13"/>
      <c r="W9" s="13"/>
      <c r="AC9" s="45" t="s">
        <v>34</v>
      </c>
      <c r="AD9" s="45"/>
      <c r="AE9" s="45"/>
    </row>
    <row r="10" spans="2:31" ht="28.8" x14ac:dyDescent="0.3">
      <c r="B10" s="6"/>
      <c r="C10" s="7" t="s">
        <v>0</v>
      </c>
      <c r="D10" s="8" t="s">
        <v>1</v>
      </c>
      <c r="E10" s="9" t="s">
        <v>2</v>
      </c>
      <c r="H10" s="8" t="s">
        <v>4</v>
      </c>
      <c r="I10" s="8" t="s">
        <v>5</v>
      </c>
      <c r="J10" s="9" t="s">
        <v>6</v>
      </c>
      <c r="K10" s="8" t="s">
        <v>7</v>
      </c>
      <c r="N10" s="18" t="s">
        <v>14</v>
      </c>
      <c r="O10" s="18" t="s">
        <v>15</v>
      </c>
      <c r="P10" s="18" t="s">
        <v>16</v>
      </c>
      <c r="U10" s="18" t="s">
        <v>24</v>
      </c>
      <c r="V10" s="18" t="s">
        <v>15</v>
      </c>
      <c r="W10" s="18" t="s">
        <v>16</v>
      </c>
      <c r="AC10" s="46" t="s">
        <v>31</v>
      </c>
      <c r="AD10" s="46" t="s">
        <v>32</v>
      </c>
      <c r="AE10" s="46" t="s">
        <v>33</v>
      </c>
    </row>
    <row r="11" spans="2:31" x14ac:dyDescent="0.3">
      <c r="B11">
        <v>2003</v>
      </c>
      <c r="C11" s="1">
        <v>872.59546082215138</v>
      </c>
      <c r="E11" s="4">
        <f>LN(C11)</f>
        <v>6.7714720587760837</v>
      </c>
      <c r="H11" s="5" cm="1">
        <f t="array" ref="H11:H32">_xlfn.SEQUENCE(22,1)</f>
        <v>1</v>
      </c>
      <c r="I11" s="4">
        <f>$J$5 + $J$6*H11</f>
        <v>6.7001959700998936</v>
      </c>
      <c r="J11" s="4">
        <f>EXP(I11)</f>
        <v>812.56504801920494</v>
      </c>
      <c r="K11" s="4"/>
      <c r="N11" s="4" cm="1">
        <f t="array" ref="N11:N32">[1]!hp(E11:E32,O6)</f>
        <v>6.7614892265652253</v>
      </c>
      <c r="O11" s="4">
        <f>EXP(N11)</f>
        <v>863.92782252062671</v>
      </c>
      <c r="P11" s="4"/>
      <c r="U11" s="2" cm="1">
        <f t="array" ref="U11:U32">[2]!bpass(E11:E32,W5,W6)</f>
        <v>1.3381035089297345E-2</v>
      </c>
      <c r="V11" s="4">
        <f>EXP(E11-U11)</f>
        <v>860.99700308726244</v>
      </c>
      <c r="W11" s="4"/>
      <c r="AC11" s="22">
        <f>((C11-J11)/J11)*100</f>
        <v>7.3877670408397416</v>
      </c>
      <c r="AD11" s="22">
        <f>(C11/O11-1)*100</f>
        <v>1.0032826904724068</v>
      </c>
      <c r="AE11" s="22">
        <f>(C11/V11-1)*100</f>
        <v>1.3470961795802427</v>
      </c>
    </row>
    <row r="12" spans="2:31" x14ac:dyDescent="0.3">
      <c r="B12">
        <v>2004</v>
      </c>
      <c r="C12" s="1">
        <v>850.81272122319672</v>
      </c>
      <c r="D12" s="12">
        <f>(C12/C11-1)*100</f>
        <v>-2.4963159421470205</v>
      </c>
      <c r="E12" s="4">
        <f t="shared" ref="E12:E32" si="0">LN(C12)</f>
        <v>6.7461920352866995</v>
      </c>
      <c r="H12" s="5">
        <v>2</v>
      </c>
      <c r="I12" s="4">
        <f t="shared" ref="I12:I32" si="1">$J$5 + $J$6*H12</f>
        <v>6.7127632976254077</v>
      </c>
      <c r="J12" s="4">
        <f t="shared" ref="J12:J32" si="2">EXP(I12)</f>
        <v>822.84125610006572</v>
      </c>
      <c r="K12" s="4">
        <f>(J12/J11-1)*100</f>
        <v>1.2646628237223734</v>
      </c>
      <c r="N12" s="4">
        <v>6.7513012951611922</v>
      </c>
      <c r="O12" s="4">
        <f t="shared" ref="O12:O32" si="3">EXP(N12)</f>
        <v>855.17086849332372</v>
      </c>
      <c r="P12" s="4">
        <f>100*(O12/O11-1)</f>
        <v>-1.0136210223851139</v>
      </c>
      <c r="U12" s="2">
        <v>-5.9158344226030455E-3</v>
      </c>
      <c r="V12" s="4">
        <f t="shared" ref="V12:V32" si="4">EXP(E12-U12)</f>
        <v>855.8609057959892</v>
      </c>
      <c r="W12" s="4">
        <f>100*(V12/V11-1)</f>
        <v>-0.59652905560144687</v>
      </c>
      <c r="AC12" s="22">
        <f>((C12-J12)/J12)*100</f>
        <v>3.3993756287457453</v>
      </c>
      <c r="AD12" s="22">
        <f t="shared" ref="AD12:AD32" si="5">(C12/O12-1)*100</f>
        <v>-0.50962298070388323</v>
      </c>
      <c r="AE12" s="22">
        <f t="shared" ref="AE12:AE32" si="6">(C12/V12-1)*100</f>
        <v>-0.58983703293439271</v>
      </c>
    </row>
    <row r="13" spans="2:31" x14ac:dyDescent="0.3">
      <c r="B13">
        <v>2005</v>
      </c>
      <c r="C13" s="1">
        <v>845.95015291810978</v>
      </c>
      <c r="D13" s="12">
        <f t="shared" ref="D13:D32" si="7">(C13/C12-1)*100</f>
        <v>-0.57152040440769936</v>
      </c>
      <c r="E13" s="4">
        <f t="shared" si="0"/>
        <v>6.7404604369697392</v>
      </c>
      <c r="H13" s="5">
        <v>3</v>
      </c>
      <c r="I13" s="4">
        <f t="shared" si="1"/>
        <v>6.7253306251509226</v>
      </c>
      <c r="J13" s="4">
        <f t="shared" si="2"/>
        <v>833.24742356421427</v>
      </c>
      <c r="K13" s="4">
        <f t="shared" ref="K13:K32" si="8">(J13/J12-1)*100</f>
        <v>1.2646628237224622</v>
      </c>
      <c r="N13" s="4">
        <v>6.7427106169108955</v>
      </c>
      <c r="O13" s="4">
        <f t="shared" si="3"/>
        <v>847.85583624453307</v>
      </c>
      <c r="P13" s="4">
        <f t="shared" ref="P13:P32" si="9">100*(O13/O12-1)</f>
        <v>-0.85538838123410121</v>
      </c>
      <c r="U13" s="2">
        <v>-3.9342472668124524E-3</v>
      </c>
      <c r="V13" s="4">
        <f t="shared" si="4"/>
        <v>849.28488552507758</v>
      </c>
      <c r="W13" s="4">
        <f t="shared" ref="W13:W32" si="10">100*(V13/V12-1)</f>
        <v>-0.76835151908190014</v>
      </c>
      <c r="AC13" s="22">
        <f>((C13-J13)/J13)*100</f>
        <v>1.5244846842201569</v>
      </c>
      <c r="AD13" s="22">
        <f t="shared" si="5"/>
        <v>-0.22476501840976715</v>
      </c>
      <c r="AE13" s="22">
        <f t="shared" si="6"/>
        <v>-0.39265182553037681</v>
      </c>
    </row>
    <row r="14" spans="2:31" x14ac:dyDescent="0.3">
      <c r="B14">
        <v>2006</v>
      </c>
      <c r="C14" s="1">
        <v>846.29490727672794</v>
      </c>
      <c r="D14" s="12">
        <f t="shared" si="7"/>
        <v>4.0753507453006321E-2</v>
      </c>
      <c r="E14" s="4">
        <f t="shared" si="0"/>
        <v>6.7408678890244058</v>
      </c>
      <c r="H14" s="5">
        <v>4</v>
      </c>
      <c r="I14" s="4">
        <f t="shared" si="1"/>
        <v>6.7378979526764367</v>
      </c>
      <c r="J14" s="4">
        <f t="shared" si="2"/>
        <v>843.78519395965543</v>
      </c>
      <c r="K14" s="4">
        <f t="shared" si="8"/>
        <v>1.2646628237223734</v>
      </c>
      <c r="N14" s="4">
        <v>6.7364969633881548</v>
      </c>
      <c r="O14" s="4">
        <f t="shared" si="3"/>
        <v>842.60388763328137</v>
      </c>
      <c r="P14" s="4">
        <f t="shared" si="9"/>
        <v>-0.61943886999876741</v>
      </c>
      <c r="U14" s="2">
        <v>3.5105176572366283E-3</v>
      </c>
      <c r="V14" s="4">
        <f t="shared" si="4"/>
        <v>843.32918272144536</v>
      </c>
      <c r="W14" s="4">
        <f t="shared" si="10"/>
        <v>-0.70126089668368641</v>
      </c>
      <c r="AC14" s="22">
        <f>((C14-J14)/J14)*100</f>
        <v>0.29743509782331035</v>
      </c>
      <c r="AD14" s="22">
        <f t="shared" si="5"/>
        <v>0.43804920646806078</v>
      </c>
      <c r="AE14" s="22">
        <f t="shared" si="6"/>
        <v>0.35166867411278169</v>
      </c>
    </row>
    <row r="15" spans="2:31" x14ac:dyDescent="0.3">
      <c r="B15">
        <v>2007</v>
      </c>
      <c r="C15" s="1">
        <v>827.99987524597827</v>
      </c>
      <c r="D15" s="12">
        <f t="shared" si="7"/>
        <v>-2.1617797618114998</v>
      </c>
      <c r="E15" s="4">
        <f t="shared" si="0"/>
        <v>6.7190130037161397</v>
      </c>
      <c r="H15" s="5">
        <v>5</v>
      </c>
      <c r="I15" s="4">
        <f t="shared" si="1"/>
        <v>6.7504652802019516</v>
      </c>
      <c r="J15" s="4">
        <f t="shared" si="2"/>
        <v>854.45623161973776</v>
      </c>
      <c r="K15" s="4">
        <f t="shared" si="8"/>
        <v>1.2646628237224844</v>
      </c>
      <c r="N15" s="4">
        <v>6.7330800773762043</v>
      </c>
      <c r="O15" s="4">
        <f t="shared" si="3"/>
        <v>839.72971934507405</v>
      </c>
      <c r="P15" s="4">
        <f t="shared" si="9"/>
        <v>-0.34110551000189338</v>
      </c>
      <c r="U15" s="2">
        <v>-1.3961577486921201E-2</v>
      </c>
      <c r="V15" s="4">
        <f t="shared" si="4"/>
        <v>839.64113574590624</v>
      </c>
      <c r="W15" s="4">
        <f t="shared" si="10"/>
        <v>-0.43731997553289048</v>
      </c>
      <c r="AC15" s="22">
        <f>((C15-J15)/J15)*100</f>
        <v>-3.0962798789129171</v>
      </c>
      <c r="AD15" s="22">
        <f t="shared" si="5"/>
        <v>-1.3968594690496605</v>
      </c>
      <c r="AE15" s="22">
        <f t="shared" si="6"/>
        <v>-1.3864566663454703</v>
      </c>
    </row>
    <row r="16" spans="2:31" x14ac:dyDescent="0.3">
      <c r="B16">
        <v>2008</v>
      </c>
      <c r="C16" s="1">
        <v>867.33127498911472</v>
      </c>
      <c r="D16" s="12">
        <f t="shared" si="7"/>
        <v>4.7501697668072884</v>
      </c>
      <c r="E16" s="4">
        <f t="shared" si="0"/>
        <v>6.7654209972144939</v>
      </c>
      <c r="H16" s="5">
        <v>6</v>
      </c>
      <c r="I16" s="4">
        <f t="shared" si="1"/>
        <v>6.7630326077274665</v>
      </c>
      <c r="J16" s="4">
        <f t="shared" si="2"/>
        <v>865.26222192601256</v>
      </c>
      <c r="K16" s="4">
        <f t="shared" si="8"/>
        <v>1.2646628237224622</v>
      </c>
      <c r="N16" s="4">
        <v>6.7335790497600776</v>
      </c>
      <c r="O16" s="4">
        <f t="shared" si="3"/>
        <v>840.14882583753229</v>
      </c>
      <c r="P16" s="4">
        <f t="shared" si="9"/>
        <v>4.9909689130100965E-2</v>
      </c>
      <c r="U16" s="2">
        <v>3.2966145402277325E-2</v>
      </c>
      <c r="V16" s="4">
        <f t="shared" si="4"/>
        <v>839.20486295161436</v>
      </c>
      <c r="W16" s="4">
        <f t="shared" si="10"/>
        <v>-5.1959435491966133E-2</v>
      </c>
      <c r="AC16" s="22">
        <f>((C16-J16)/J16)*100</f>
        <v>0.23912439612775355</v>
      </c>
      <c r="AD16" s="22">
        <f t="shared" si="5"/>
        <v>3.2354326180822346</v>
      </c>
      <c r="AE16" s="22">
        <f t="shared" si="6"/>
        <v>3.3515549395859434</v>
      </c>
    </row>
    <row r="17" spans="2:31" x14ac:dyDescent="0.3">
      <c r="B17">
        <v>2009</v>
      </c>
      <c r="C17" s="1">
        <v>822.23780190296509</v>
      </c>
      <c r="D17" s="12">
        <f t="shared" si="7"/>
        <v>-5.1991060839718495</v>
      </c>
      <c r="E17" s="4">
        <f t="shared" si="0"/>
        <v>6.7120296499368886</v>
      </c>
      <c r="H17" s="5">
        <v>7</v>
      </c>
      <c r="I17" s="4">
        <f t="shared" si="1"/>
        <v>6.7755999352529805</v>
      </c>
      <c r="J17" s="4">
        <f t="shared" si="2"/>
        <v>876.20487157442517</v>
      </c>
      <c r="K17" s="4">
        <f t="shared" si="8"/>
        <v>1.2646628237223956</v>
      </c>
      <c r="N17" s="4">
        <v>6.7368622396391995</v>
      </c>
      <c r="O17" s="4">
        <f t="shared" si="3"/>
        <v>842.91172704226153</v>
      </c>
      <c r="P17" s="4">
        <f t="shared" si="9"/>
        <v>0.32885854502919809</v>
      </c>
      <c r="U17" s="2">
        <v>-2.4298780651969217E-2</v>
      </c>
      <c r="V17" s="4">
        <f t="shared" si="4"/>
        <v>842.4618932070947</v>
      </c>
      <c r="W17" s="4">
        <f t="shared" si="10"/>
        <v>0.38810907792226068</v>
      </c>
      <c r="AC17" s="22">
        <f>((C17-J17)/J17)*100</f>
        <v>-6.1591839331466325</v>
      </c>
      <c r="AD17" s="22">
        <f t="shared" si="5"/>
        <v>-2.4526797381073662</v>
      </c>
      <c r="AE17" s="22">
        <f t="shared" si="6"/>
        <v>-2.4005941950846377</v>
      </c>
    </row>
    <row r="18" spans="2:31" x14ac:dyDescent="0.3">
      <c r="B18">
        <v>2010</v>
      </c>
      <c r="C18" s="1">
        <v>828.8443986050396</v>
      </c>
      <c r="D18" s="12">
        <f t="shared" si="7"/>
        <v>0.80348977957280798</v>
      </c>
      <c r="E18" s="4">
        <f t="shared" si="0"/>
        <v>6.7200324398158742</v>
      </c>
      <c r="H18" s="5">
        <v>8</v>
      </c>
      <c r="I18" s="4">
        <f t="shared" si="1"/>
        <v>6.7881672627784955</v>
      </c>
      <c r="J18" s="4">
        <f t="shared" si="2"/>
        <v>887.2859088448721</v>
      </c>
      <c r="K18" s="4">
        <f t="shared" si="8"/>
        <v>1.2646628237224622</v>
      </c>
      <c r="N18" s="4">
        <v>6.7468927177056992</v>
      </c>
      <c r="O18" s="4">
        <f t="shared" si="3"/>
        <v>851.40907964335042</v>
      </c>
      <c r="P18" s="4">
        <f t="shared" si="9"/>
        <v>1.0080951929457349</v>
      </c>
      <c r="U18" s="2">
        <v>-2.4777056744888969E-2</v>
      </c>
      <c r="V18" s="4">
        <f t="shared" si="4"/>
        <v>849.63725244037687</v>
      </c>
      <c r="W18" s="4">
        <f t="shared" si="10"/>
        <v>0.85171320995505173</v>
      </c>
      <c r="AC18" s="22">
        <f>((C18-J18)/J18)*100</f>
        <v>-6.5865477696941621</v>
      </c>
      <c r="AD18" s="22">
        <f t="shared" si="5"/>
        <v>-2.6502748887483163</v>
      </c>
      <c r="AE18" s="22">
        <f t="shared" si="6"/>
        <v>-2.44726249650834</v>
      </c>
    </row>
    <row r="19" spans="2:31" x14ac:dyDescent="0.3">
      <c r="B19">
        <v>2011</v>
      </c>
      <c r="C19" s="1">
        <v>884.5479139513651</v>
      </c>
      <c r="D19" s="12">
        <f t="shared" si="7"/>
        <v>6.7206239723735184</v>
      </c>
      <c r="E19" s="4">
        <f t="shared" si="0"/>
        <v>6.7850766827955962</v>
      </c>
      <c r="H19" s="5">
        <v>9</v>
      </c>
      <c r="I19" s="4">
        <f t="shared" si="1"/>
        <v>6.8007345903040095</v>
      </c>
      <c r="J19" s="4">
        <f t="shared" si="2"/>
        <v>898.50708387416046</v>
      </c>
      <c r="K19" s="4">
        <f t="shared" si="8"/>
        <v>1.2646628237223734</v>
      </c>
      <c r="N19" s="4">
        <v>6.7636603402993387</v>
      </c>
      <c r="O19" s="4">
        <f t="shared" si="3"/>
        <v>865.80554571910579</v>
      </c>
      <c r="P19" s="4">
        <f t="shared" si="9"/>
        <v>1.6908988193766961</v>
      </c>
      <c r="U19" s="2">
        <v>2.6958655215745198E-2</v>
      </c>
      <c r="V19" s="4">
        <f t="shared" si="4"/>
        <v>861.0202536721896</v>
      </c>
      <c r="W19" s="4">
        <f t="shared" si="10"/>
        <v>1.3397483689795653</v>
      </c>
      <c r="AC19" s="22">
        <f>((C19-J19)/J19)*100</f>
        <v>-1.5535959786323055</v>
      </c>
      <c r="AD19" s="22">
        <f t="shared" si="5"/>
        <v>2.1647318297889351</v>
      </c>
      <c r="AE19" s="22">
        <f t="shared" si="6"/>
        <v>2.7325327341408912</v>
      </c>
    </row>
    <row r="20" spans="2:31" x14ac:dyDescent="0.3">
      <c r="B20">
        <v>2012</v>
      </c>
      <c r="C20" s="1">
        <v>892.85834039913289</v>
      </c>
      <c r="D20" s="12">
        <f t="shared" si="7"/>
        <v>0.93951116911736854</v>
      </c>
      <c r="E20" s="4">
        <f t="shared" si="0"/>
        <v>6.7944279349212628</v>
      </c>
      <c r="H20" s="5">
        <v>10</v>
      </c>
      <c r="I20" s="4">
        <f t="shared" si="1"/>
        <v>6.8133019178295244</v>
      </c>
      <c r="J20" s="4">
        <f t="shared" si="2"/>
        <v>909.87016893242992</v>
      </c>
      <c r="K20" s="4">
        <f t="shared" si="8"/>
        <v>1.2646628237224844</v>
      </c>
      <c r="N20" s="4">
        <v>6.7828573192975075</v>
      </c>
      <c r="O20" s="4">
        <f t="shared" si="3"/>
        <v>882.58695744138345</v>
      </c>
      <c r="P20" s="4">
        <f t="shared" si="9"/>
        <v>1.9382425771296674</v>
      </c>
      <c r="U20" s="2">
        <v>1.7934233860961168E-2</v>
      </c>
      <c r="V20" s="4">
        <f t="shared" si="4"/>
        <v>876.98834359694467</v>
      </c>
      <c r="W20" s="4">
        <f t="shared" si="10"/>
        <v>1.8545545074755587</v>
      </c>
      <c r="AC20" s="22">
        <f>((C20-J20)/J20)*100</f>
        <v>-1.8696984596447839</v>
      </c>
      <c r="AD20" s="22">
        <f t="shared" si="5"/>
        <v>1.1637814122617662</v>
      </c>
      <c r="AE20" s="22">
        <f t="shared" si="6"/>
        <v>1.8096017943748155</v>
      </c>
    </row>
    <row r="21" spans="2:31" x14ac:dyDescent="0.3">
      <c r="B21">
        <v>2013</v>
      </c>
      <c r="C21" s="1">
        <v>896.2301657319814</v>
      </c>
      <c r="D21" s="12">
        <f t="shared" si="7"/>
        <v>0.37764393076522573</v>
      </c>
      <c r="E21" s="4">
        <f t="shared" si="0"/>
        <v>6.7981972613838542</v>
      </c>
      <c r="H21" s="5">
        <v>11</v>
      </c>
      <c r="I21" s="4">
        <f t="shared" si="1"/>
        <v>6.8258692453550394</v>
      </c>
      <c r="J21" s="4">
        <f t="shared" si="2"/>
        <v>921.37695870305924</v>
      </c>
      <c r="K21" s="4">
        <f t="shared" si="8"/>
        <v>1.2646628237224844</v>
      </c>
      <c r="N21" s="4">
        <v>6.8036024813769949</v>
      </c>
      <c r="O21" s="4">
        <f t="shared" si="3"/>
        <v>901.08760287403163</v>
      </c>
      <c r="P21" s="4">
        <f t="shared" si="9"/>
        <v>2.0961838690978896</v>
      </c>
      <c r="U21" s="2">
        <v>-1.6471024681714733E-3</v>
      </c>
      <c r="V21" s="4">
        <f t="shared" si="4"/>
        <v>897.70756503001496</v>
      </c>
      <c r="W21" s="4">
        <f t="shared" si="10"/>
        <v>2.3625423968682391</v>
      </c>
      <c r="AC21" s="22">
        <f>((C21-J21)/J21)*100</f>
        <v>-2.7292621910661579</v>
      </c>
      <c r="AD21" s="22">
        <f t="shared" si="5"/>
        <v>-0.53906380762063222</v>
      </c>
      <c r="AE21" s="22">
        <f t="shared" si="6"/>
        <v>-0.16457467393450331</v>
      </c>
    </row>
    <row r="22" spans="2:31" x14ac:dyDescent="0.3">
      <c r="B22">
        <v>2014</v>
      </c>
      <c r="C22" s="1">
        <v>914.06998705899446</v>
      </c>
      <c r="D22" s="12">
        <f t="shared" si="7"/>
        <v>1.9905401546535417</v>
      </c>
      <c r="E22" s="4">
        <f t="shared" si="0"/>
        <v>6.8179071407972538</v>
      </c>
      <c r="H22" s="5">
        <v>12</v>
      </c>
      <c r="I22" s="4">
        <f t="shared" si="1"/>
        <v>6.8384365728805534</v>
      </c>
      <c r="J22" s="4">
        <f t="shared" si="2"/>
        <v>933.02927056612077</v>
      </c>
      <c r="K22" s="4">
        <f t="shared" si="8"/>
        <v>1.2646628237223734</v>
      </c>
      <c r="N22" s="4">
        <v>6.826865951714387</v>
      </c>
      <c r="O22" s="4">
        <f t="shared" si="3"/>
        <v>922.29575878803564</v>
      </c>
      <c r="P22" s="4">
        <f t="shared" si="9"/>
        <v>2.3536175446605023</v>
      </c>
      <c r="U22" s="2">
        <v>-9.3229137742235346E-3</v>
      </c>
      <c r="V22" s="4">
        <f t="shared" si="4"/>
        <v>922.63163045109809</v>
      </c>
      <c r="W22" s="4">
        <f t="shared" si="10"/>
        <v>2.7764125414549534</v>
      </c>
      <c r="AC22" s="22">
        <f>((C22-J22)/J22)*100</f>
        <v>-2.0320137969115013</v>
      </c>
      <c r="AD22" s="22">
        <f t="shared" si="5"/>
        <v>-0.89188003421488693</v>
      </c>
      <c r="AE22" s="22">
        <f t="shared" si="6"/>
        <v>-0.92795901522665369</v>
      </c>
    </row>
    <row r="23" spans="2:31" x14ac:dyDescent="0.3">
      <c r="B23">
        <v>2015</v>
      </c>
      <c r="C23" s="1">
        <v>924.25038721539374</v>
      </c>
      <c r="D23" s="12">
        <f t="shared" si="7"/>
        <v>1.1137440568587786</v>
      </c>
      <c r="E23" s="4">
        <f t="shared" si="0"/>
        <v>6.8289830167675802</v>
      </c>
      <c r="H23" s="5">
        <v>13</v>
      </c>
      <c r="I23" s="4">
        <f t="shared" si="1"/>
        <v>6.8510039004060683</v>
      </c>
      <c r="J23" s="4">
        <f t="shared" si="2"/>
        <v>944.82894488541945</v>
      </c>
      <c r="K23" s="4">
        <f t="shared" si="8"/>
        <v>1.2646628237224622</v>
      </c>
      <c r="N23" s="4">
        <v>6.8527530202873699</v>
      </c>
      <c r="O23" s="4">
        <f t="shared" si="3"/>
        <v>946.48301013484729</v>
      </c>
      <c r="P23" s="4">
        <f t="shared" si="9"/>
        <v>2.6225048870001766</v>
      </c>
      <c r="U23" s="2">
        <v>-2.7556345250137268E-2</v>
      </c>
      <c r="V23" s="4">
        <f t="shared" si="4"/>
        <v>950.07351139599916</v>
      </c>
      <c r="W23" s="4">
        <f t="shared" si="10"/>
        <v>2.974305241571229</v>
      </c>
      <c r="AC23" s="22">
        <f>((C23-J23)/J23)*100</f>
        <v>-2.1780193950896889</v>
      </c>
      <c r="AD23" s="22">
        <f t="shared" si="5"/>
        <v>-2.348972214122047</v>
      </c>
      <c r="AE23" s="22">
        <f t="shared" si="6"/>
        <v>-2.7180132769581089</v>
      </c>
    </row>
    <row r="24" spans="2:31" x14ac:dyDescent="0.3">
      <c r="B24">
        <v>2016</v>
      </c>
      <c r="C24" s="1">
        <v>985.23893782483026</v>
      </c>
      <c r="D24" s="12">
        <f t="shared" si="7"/>
        <v>6.598704361183394</v>
      </c>
      <c r="E24" s="4">
        <f t="shared" si="0"/>
        <v>6.8928841882270824</v>
      </c>
      <c r="H24" s="5">
        <v>14</v>
      </c>
      <c r="I24" s="4">
        <f t="shared" si="1"/>
        <v>6.8635712279315824</v>
      </c>
      <c r="J24" s="4">
        <f t="shared" si="2"/>
        <v>956.7778452991538</v>
      </c>
      <c r="K24" s="4">
        <f t="shared" si="8"/>
        <v>1.2646628237223734</v>
      </c>
      <c r="N24" s="4">
        <v>6.8799355673268865</v>
      </c>
      <c r="O24" s="4">
        <f t="shared" si="3"/>
        <v>972.56369289450174</v>
      </c>
      <c r="P24" s="4">
        <f t="shared" si="9"/>
        <v>2.7555362833125541</v>
      </c>
      <c r="U24" s="2">
        <v>8.2157403927814628E-3</v>
      </c>
      <c r="V24" s="4">
        <f t="shared" si="4"/>
        <v>977.17763063407472</v>
      </c>
      <c r="W24" s="4">
        <f t="shared" si="10"/>
        <v>2.8528444286642474</v>
      </c>
      <c r="AC24" s="22">
        <f>((C24-J24)/J24)*100</f>
        <v>2.9746813918729056</v>
      </c>
      <c r="AD24" s="22">
        <f t="shared" si="5"/>
        <v>1.3032817308453071</v>
      </c>
      <c r="AE24" s="22">
        <f t="shared" si="6"/>
        <v>0.82495822029047261</v>
      </c>
    </row>
    <row r="25" spans="2:31" x14ac:dyDescent="0.3">
      <c r="B25">
        <v>2017</v>
      </c>
      <c r="C25" s="1">
        <v>1016.7894069861433</v>
      </c>
      <c r="D25" s="12">
        <f t="shared" si="7"/>
        <v>3.2023165092285977</v>
      </c>
      <c r="E25" s="4">
        <f t="shared" si="0"/>
        <v>6.9244053018293785</v>
      </c>
      <c r="H25" s="5">
        <v>15</v>
      </c>
      <c r="I25" s="4">
        <f t="shared" si="1"/>
        <v>6.8761385554570973</v>
      </c>
      <c r="J25" s="4">
        <f t="shared" si="2"/>
        <v>968.87785901426503</v>
      </c>
      <c r="K25" s="4">
        <f t="shared" si="8"/>
        <v>1.2646628237224622</v>
      </c>
      <c r="N25" s="4">
        <v>6.9032822725007108</v>
      </c>
      <c r="O25" s="4">
        <f t="shared" si="3"/>
        <v>995.53698251290314</v>
      </c>
      <c r="P25" s="4">
        <f t="shared" si="9"/>
        <v>2.3621372858397827</v>
      </c>
      <c r="U25" s="2">
        <v>1.6131363456325071E-2</v>
      </c>
      <c r="V25" s="4">
        <f t="shared" si="4"/>
        <v>1000.5187939179551</v>
      </c>
      <c r="W25" s="4">
        <f t="shared" si="10"/>
        <v>2.3886305367770921</v>
      </c>
      <c r="AC25" s="22">
        <f>((C25-J25)/J25)*100</f>
        <v>4.9450555120150419</v>
      </c>
      <c r="AD25" s="22">
        <f t="shared" si="5"/>
        <v>2.1347699629998163</v>
      </c>
      <c r="AE25" s="22">
        <f t="shared" si="6"/>
        <v>1.6262176350005042</v>
      </c>
    </row>
    <row r="26" spans="2:31" x14ac:dyDescent="0.3">
      <c r="B26">
        <v>2018</v>
      </c>
      <c r="C26" s="1">
        <v>1022.1562987171732</v>
      </c>
      <c r="D26" s="12">
        <f t="shared" si="7"/>
        <v>0.52782726631050991</v>
      </c>
      <c r="E26" s="4">
        <f t="shared" si="0"/>
        <v>6.9296696932359438</v>
      </c>
      <c r="H26" s="5">
        <v>16</v>
      </c>
      <c r="I26" s="4">
        <f t="shared" si="1"/>
        <v>6.8887058829826122</v>
      </c>
      <c r="J26" s="4">
        <f t="shared" si="2"/>
        <v>981.13089710449674</v>
      </c>
      <c r="K26" s="4">
        <f t="shared" si="8"/>
        <v>1.2646628237224844</v>
      </c>
      <c r="N26" s="4">
        <v>6.9197335948206495</v>
      </c>
      <c r="O26" s="4">
        <f t="shared" si="3"/>
        <v>1012.0503431650669</v>
      </c>
      <c r="P26" s="4">
        <f t="shared" si="9"/>
        <v>1.6587390465878205</v>
      </c>
      <c r="U26" s="2">
        <v>4.8121573245539897E-3</v>
      </c>
      <c r="V26" s="4">
        <f t="shared" si="4"/>
        <v>1017.2493378005669</v>
      </c>
      <c r="W26" s="4">
        <f t="shared" si="10"/>
        <v>1.6721868678844398</v>
      </c>
      <c r="AC26" s="22">
        <f>((C26-J26)/J26)*100</f>
        <v>4.1814401863961441</v>
      </c>
      <c r="AD26" s="22">
        <f t="shared" si="5"/>
        <v>0.99856253400409933</v>
      </c>
      <c r="AE26" s="22">
        <f t="shared" si="6"/>
        <v>0.48237543483840017</v>
      </c>
    </row>
    <row r="27" spans="2:31" x14ac:dyDescent="0.3">
      <c r="B27">
        <v>2019</v>
      </c>
      <c r="C27" s="1">
        <v>1019.241019057285</v>
      </c>
      <c r="D27" s="12">
        <f t="shared" si="7"/>
        <v>-0.28520879473588057</v>
      </c>
      <c r="E27" s="4">
        <f t="shared" si="0"/>
        <v>6.9268135303358287</v>
      </c>
      <c r="H27" s="5">
        <v>17</v>
      </c>
      <c r="I27" s="4">
        <f t="shared" si="1"/>
        <v>6.9012732105081263</v>
      </c>
      <c r="J27" s="4">
        <f t="shared" si="2"/>
        <v>993.53889481223121</v>
      </c>
      <c r="K27" s="4">
        <f t="shared" si="8"/>
        <v>1.2646628237223734</v>
      </c>
      <c r="N27" s="4">
        <v>6.9296096779910936</v>
      </c>
      <c r="O27" s="4">
        <f t="shared" si="3"/>
        <v>1022.09495559741</v>
      </c>
      <c r="P27" s="4">
        <f t="shared" si="9"/>
        <v>0.99250126243026759</v>
      </c>
      <c r="U27" s="2">
        <v>-6.9063309550775722E-3</v>
      </c>
      <c r="V27" s="4">
        <f t="shared" si="4"/>
        <v>1026.3045984903515</v>
      </c>
      <c r="W27" s="4">
        <f t="shared" si="10"/>
        <v>0.89017120516030612</v>
      </c>
      <c r="AC27" s="22">
        <f>((C27-J27)/J27)*100</f>
        <v>2.5869268308727125</v>
      </c>
      <c r="AD27" s="22">
        <f t="shared" si="5"/>
        <v>-0.27922420754507016</v>
      </c>
      <c r="AE27" s="22">
        <f t="shared" si="6"/>
        <v>-0.68825370591311108</v>
      </c>
    </row>
    <row r="28" spans="2:31" x14ac:dyDescent="0.3">
      <c r="B28">
        <v>2020</v>
      </c>
      <c r="C28" s="1">
        <v>1037.6504214442871</v>
      </c>
      <c r="D28" s="12">
        <f t="shared" si="7"/>
        <v>1.8061873534121808</v>
      </c>
      <c r="E28" s="4">
        <f t="shared" si="0"/>
        <v>6.9447142261202268</v>
      </c>
      <c r="H28" s="5">
        <v>18</v>
      </c>
      <c r="I28" s="4">
        <f t="shared" si="1"/>
        <v>6.9138405380336412</v>
      </c>
      <c r="J28" s="4">
        <f t="shared" si="2"/>
        <v>1006.1038118541446</v>
      </c>
      <c r="K28" s="4">
        <f t="shared" si="8"/>
        <v>1.2646628237224844</v>
      </c>
      <c r="N28" s="4">
        <v>6.9348204414628807</v>
      </c>
      <c r="O28" s="4">
        <f t="shared" si="3"/>
        <v>1027.4347507793793</v>
      </c>
      <c r="P28" s="4">
        <f t="shared" si="9"/>
        <v>0.52243631110069355</v>
      </c>
      <c r="U28" s="2">
        <v>8.3932322055002475E-3</v>
      </c>
      <c r="V28" s="4">
        <f t="shared" si="4"/>
        <v>1028.977627808225</v>
      </c>
      <c r="W28" s="4">
        <f t="shared" si="10"/>
        <v>0.2604518504355724</v>
      </c>
      <c r="AC28" s="22">
        <f>((C28-J28)/J28)*100</f>
        <v>3.135522320704196</v>
      </c>
      <c r="AD28" s="22">
        <f t="shared" si="5"/>
        <v>0.99428899569129481</v>
      </c>
      <c r="AE28" s="22">
        <f t="shared" si="6"/>
        <v>0.84285541314785828</v>
      </c>
    </row>
    <row r="29" spans="2:31" x14ac:dyDescent="0.3">
      <c r="B29">
        <v>2021</v>
      </c>
      <c r="C29" s="1">
        <v>1027.949154713391</v>
      </c>
      <c r="D29" s="12">
        <f t="shared" si="7"/>
        <v>-0.93492630373465113</v>
      </c>
      <c r="E29" s="4">
        <f t="shared" si="0"/>
        <v>6.9353209843963706</v>
      </c>
      <c r="H29" s="5">
        <v>19</v>
      </c>
      <c r="I29" s="4">
        <f t="shared" si="1"/>
        <v>6.9264078655591552</v>
      </c>
      <c r="J29" s="4">
        <f t="shared" si="2"/>
        <v>1018.8276327307177</v>
      </c>
      <c r="K29" s="4">
        <f t="shared" si="8"/>
        <v>1.2646628237223734</v>
      </c>
      <c r="N29" s="4">
        <v>6.936828421062005</v>
      </c>
      <c r="O29" s="4">
        <f t="shared" si="3"/>
        <v>1029.4998914846944</v>
      </c>
      <c r="P29" s="4">
        <f t="shared" si="9"/>
        <v>0.2009996940193659</v>
      </c>
      <c r="U29" s="2">
        <v>-5.0141284297594265E-4</v>
      </c>
      <c r="V29" s="4">
        <f t="shared" si="4"/>
        <v>1028.4647108639263</v>
      </c>
      <c r="W29" s="4">
        <f t="shared" si="10"/>
        <v>-4.9847239671407806E-2</v>
      </c>
      <c r="AC29" s="22">
        <f>((C29-J29)/J29)*100</f>
        <v>0.89529589595300241</v>
      </c>
      <c r="AD29" s="22">
        <f t="shared" si="5"/>
        <v>-0.15063010536767729</v>
      </c>
      <c r="AE29" s="22">
        <f t="shared" si="6"/>
        <v>-5.012871565639454E-2</v>
      </c>
    </row>
    <row r="30" spans="2:31" x14ac:dyDescent="0.3">
      <c r="B30">
        <v>2022</v>
      </c>
      <c r="C30" s="1">
        <v>1006.0687992707033</v>
      </c>
      <c r="D30" s="12">
        <f t="shared" si="7"/>
        <v>-2.1285445240517009</v>
      </c>
      <c r="E30" s="4">
        <f t="shared" si="0"/>
        <v>6.9138057372583486</v>
      </c>
      <c r="H30" s="5">
        <v>20</v>
      </c>
      <c r="I30" s="4">
        <f t="shared" si="1"/>
        <v>6.9389751930846701</v>
      </c>
      <c r="J30" s="4">
        <f t="shared" si="2"/>
        <v>1031.712367039675</v>
      </c>
      <c r="K30" s="4">
        <f t="shared" si="8"/>
        <v>1.2646628237224844</v>
      </c>
      <c r="N30" s="4">
        <v>6.9386791581596379</v>
      </c>
      <c r="O30" s="4">
        <f t="shared" si="3"/>
        <v>1031.4069893499043</v>
      </c>
      <c r="P30" s="4">
        <f t="shared" si="9"/>
        <v>0.18524507685566682</v>
      </c>
      <c r="U30" s="2">
        <v>-2.2146751809294037E-2</v>
      </c>
      <c r="V30" s="4">
        <f t="shared" si="4"/>
        <v>1028.598514421687</v>
      </c>
      <c r="W30" s="4">
        <f t="shared" si="10"/>
        <v>1.3010029060533945E-2</v>
      </c>
      <c r="AC30" s="22">
        <f>((C30-J30)/J30)*100</f>
        <v>-2.4855345916373581</v>
      </c>
      <c r="AD30" s="22">
        <f t="shared" si="5"/>
        <v>-2.456662630837092</v>
      </c>
      <c r="AE30" s="22">
        <f t="shared" si="6"/>
        <v>-2.1903312939986819</v>
      </c>
    </row>
    <row r="31" spans="2:31" x14ac:dyDescent="0.3">
      <c r="B31">
        <v>2023</v>
      </c>
      <c r="C31" s="1">
        <v>1034.1395641755755</v>
      </c>
      <c r="D31" s="12">
        <f t="shared" si="7"/>
        <v>2.7901436686259107</v>
      </c>
      <c r="E31" s="4">
        <f t="shared" si="0"/>
        <v>6.9413250209847996</v>
      </c>
      <c r="H31" s="5">
        <v>21</v>
      </c>
      <c r="I31" s="4">
        <f t="shared" si="1"/>
        <v>6.9515425206101851</v>
      </c>
      <c r="J31" s="4">
        <f t="shared" si="2"/>
        <v>1044.7600497933729</v>
      </c>
      <c r="K31" s="4">
        <f t="shared" si="8"/>
        <v>1.2646628237224844</v>
      </c>
      <c r="N31" s="4">
        <v>6.9431770042604475</v>
      </c>
      <c r="O31" s="4">
        <f t="shared" si="3"/>
        <v>1036.0565479161151</v>
      </c>
      <c r="P31" s="4">
        <f t="shared" si="9"/>
        <v>0.45079765933537796</v>
      </c>
      <c r="U31" s="2">
        <v>1.6680754206754855E-3</v>
      </c>
      <c r="V31" s="4">
        <f t="shared" si="4"/>
        <v>1032.415979321444</v>
      </c>
      <c r="W31" s="4">
        <f t="shared" si="10"/>
        <v>0.37113264760091358</v>
      </c>
      <c r="AC31" s="22">
        <f>((C31-J31)/J31)*100</f>
        <v>-1.0165478302791009</v>
      </c>
      <c r="AD31" s="22">
        <f t="shared" si="5"/>
        <v>-0.18502694127991992</v>
      </c>
      <c r="AE31" s="22">
        <f t="shared" si="6"/>
        <v>0.16694674323660674</v>
      </c>
    </row>
    <row r="32" spans="2:31" x14ac:dyDescent="0.3">
      <c r="B32">
        <v>2024</v>
      </c>
      <c r="C32" s="1">
        <v>1051.8909947777918</v>
      </c>
      <c r="D32" s="12">
        <f t="shared" si="7"/>
        <v>1.7165410953373428</v>
      </c>
      <c r="E32" s="4">
        <f t="shared" si="0"/>
        <v>6.9583447707976527</v>
      </c>
      <c r="H32" s="5">
        <v>22</v>
      </c>
      <c r="I32" s="4">
        <f t="shared" si="1"/>
        <v>6.9641098481356991</v>
      </c>
      <c r="J32" s="4">
        <f t="shared" si="2"/>
        <v>1057.972741740213</v>
      </c>
      <c r="K32" s="4">
        <f t="shared" si="8"/>
        <v>1.2646628237223734</v>
      </c>
      <c r="N32" s="4">
        <v>6.9491465635248977</v>
      </c>
      <c r="O32" s="4">
        <f t="shared" si="3"/>
        <v>1042.2598459362762</v>
      </c>
      <c r="P32" s="4">
        <f t="shared" si="9"/>
        <v>0.59874125911738574</v>
      </c>
      <c r="U32" s="2">
        <v>1.0240178046441617E-2</v>
      </c>
      <c r="V32" s="4">
        <f t="shared" si="4"/>
        <v>1041.1744072341303</v>
      </c>
      <c r="W32" s="4">
        <f t="shared" si="10"/>
        <v>0.84834292456832383</v>
      </c>
      <c r="AC32" s="22">
        <f>((C32-J32)/J32)*100</f>
        <v>-0.57484911685131146</v>
      </c>
      <c r="AD32" s="22">
        <f t="shared" si="5"/>
        <v>0.92406407855651906</v>
      </c>
      <c r="AE32" s="22">
        <f t="shared" si="6"/>
        <v>1.0292788095060956</v>
      </c>
    </row>
    <row r="35" spans="8:24" ht="25.05" customHeight="1" x14ac:dyDescent="0.3">
      <c r="H35" t="s">
        <v>11</v>
      </c>
      <c r="I35" s="14" t="s">
        <v>13</v>
      </c>
      <c r="J35" s="15"/>
      <c r="K35" s="15"/>
      <c r="M35" t="s">
        <v>11</v>
      </c>
      <c r="N35" s="41" t="s">
        <v>41</v>
      </c>
      <c r="O35" s="41"/>
      <c r="P35" s="41"/>
      <c r="T35" t="s">
        <v>11</v>
      </c>
      <c r="U35" s="40" t="s">
        <v>42</v>
      </c>
      <c r="V35" s="40"/>
      <c r="W35" s="40"/>
      <c r="X35" s="40"/>
    </row>
    <row r="36" spans="8:24" ht="25.05" customHeight="1" x14ac:dyDescent="0.3">
      <c r="I36" s="15"/>
      <c r="J36" s="15"/>
      <c r="K36" s="15"/>
      <c r="N36" s="41"/>
      <c r="O36" s="41"/>
      <c r="P36" s="41"/>
      <c r="U36" s="40"/>
      <c r="V36" s="40"/>
      <c r="W36" s="40"/>
      <c r="X36" s="40"/>
    </row>
    <row r="37" spans="8:24" ht="25.05" customHeight="1" x14ac:dyDescent="0.3">
      <c r="I37" s="15"/>
      <c r="J37" s="15"/>
      <c r="K37" s="15"/>
      <c r="N37" s="41"/>
      <c r="O37" s="41"/>
      <c r="P37" s="41"/>
      <c r="U37" s="40"/>
      <c r="V37" s="40"/>
      <c r="W37" s="40"/>
      <c r="X37" s="40"/>
    </row>
    <row r="38" spans="8:24" ht="25.05" customHeight="1" x14ac:dyDescent="0.3">
      <c r="I38" s="15"/>
      <c r="J38" s="15"/>
      <c r="K38" s="15"/>
      <c r="N38" s="41"/>
      <c r="O38" s="41"/>
      <c r="P38" s="41"/>
      <c r="U38" s="40"/>
      <c r="V38" s="40"/>
      <c r="W38" s="40"/>
      <c r="X38" s="40"/>
    </row>
    <row r="39" spans="8:24" ht="25.05" customHeight="1" x14ac:dyDescent="0.3">
      <c r="I39" s="15"/>
      <c r="J39" s="15"/>
      <c r="K39" s="15"/>
      <c r="N39" s="41"/>
      <c r="O39" s="41"/>
      <c r="P39" s="41"/>
      <c r="U39" s="40"/>
      <c r="V39" s="40"/>
      <c r="W39" s="40"/>
      <c r="X39" s="40"/>
    </row>
    <row r="40" spans="8:24" ht="25.05" customHeight="1" x14ac:dyDescent="0.3">
      <c r="I40" s="15"/>
      <c r="J40" s="15"/>
      <c r="K40" s="15"/>
      <c r="N40" s="41"/>
      <c r="O40" s="41"/>
      <c r="P40" s="41"/>
      <c r="U40" s="40"/>
      <c r="V40" s="40"/>
      <c r="W40" s="40"/>
      <c r="X40" s="40"/>
    </row>
    <row r="41" spans="8:24" ht="25.05" customHeight="1" x14ac:dyDescent="0.3">
      <c r="I41" s="15"/>
      <c r="J41" s="15"/>
      <c r="K41" s="15"/>
      <c r="N41" s="41"/>
      <c r="O41" s="41"/>
      <c r="P41" s="41"/>
      <c r="U41" s="40"/>
      <c r="V41" s="40"/>
      <c r="W41" s="40"/>
      <c r="X41" s="40"/>
    </row>
  </sheetData>
  <mergeCells count="10">
    <mergeCell ref="U9:W9"/>
    <mergeCell ref="V4:W4"/>
    <mergeCell ref="AC9:AE9"/>
    <mergeCell ref="U35:X41"/>
    <mergeCell ref="H9:K9"/>
    <mergeCell ref="I4:J4"/>
    <mergeCell ref="I35:K41"/>
    <mergeCell ref="N9:P9"/>
    <mergeCell ref="N35:P41"/>
    <mergeCell ref="N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table</vt:lpstr>
      <vt:lpstr>Output Gap estimators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2026-06-23T21:25:49Z</dcterms:created>
  <dcterms:modified xsi:type="dcterms:W3CDTF">2026-06-25T02:52:41Z</dcterms:modified>
</cp:coreProperties>
</file>